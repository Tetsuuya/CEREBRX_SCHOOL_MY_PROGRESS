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henel Jhon Sajol\Downloads\"/>
    </mc:Choice>
  </mc:AlternateContent>
  <xr:revisionPtr revIDLastSave="0" documentId="13_ncr:1_{8FFEFC38-4193-4C57-A021-8EEBA7FAC33A}" xr6:coauthVersionLast="47" xr6:coauthVersionMax="47" xr10:uidLastSave="{00000000-0000-0000-0000-000000000000}"/>
  <bookViews>
    <workbookView xWindow="-120" yWindow="-120" windowWidth="29040" windowHeight="15720" activeTab="1" xr2:uid="{00000000-000D-0000-FFFF-FFFF00000000}"/>
  </bookViews>
  <sheets>
    <sheet name="INPUT" sheetId="1" r:id="rId1"/>
    <sheet name="TERM1" sheetId="2" r:id="rId2"/>
    <sheet name="TERM2" sheetId="10" r:id="rId3"/>
    <sheet name="TERM3" sheetId="11" r:id="rId4"/>
    <sheet name="SUMMARY OF GRADES" sheetId="6" r:id="rId5"/>
    <sheet name="Helper (Do Not Delete)" sheetId="8" r:id="rId6"/>
  </sheets>
  <definedNames>
    <definedName name="_xlnm._FilterDatabase" localSheetId="0" hidden="1">INPUT!$C$10:$C$111</definedName>
    <definedName name="_xlnm._FilterDatabase" localSheetId="4" hidden="1">'SUMMARY OF GRADES'!$B$12:$B$115</definedName>
    <definedName name="DESCRIPTORS">'Helper (Do Not Delete)'!$T$3:$W$7</definedName>
    <definedName name="FemaleLearners">INPUT!$C$62:$C$111</definedName>
    <definedName name="MaleLearners">INPUT!$C$11:$C$60</definedName>
    <definedName name="NewTransmu">'Helper (Do Not Delete)'!$H$3:$K$43</definedName>
    <definedName name="_xlnm.Print_Area" localSheetId="0">INPUT!$A$1:$AA$111</definedName>
    <definedName name="_xlnm.Print_Area" localSheetId="4">'SUMMARY OF GRADES'!$A$1:$AB$115</definedName>
    <definedName name="_xlnm.Print_Area" localSheetId="1">TERM1!$A$1:$AB$113</definedName>
    <definedName name="_xlnm.Print_Area" localSheetId="2">TERM2!$A$1:$AB$113</definedName>
    <definedName name="_xlnm.Print_Area" localSheetId="3">TERM3!$A$1:$AB$113</definedName>
    <definedName name="T1_Names" localSheetId="2">TERM2!$B$13:$B$113</definedName>
    <definedName name="T1_Names" localSheetId="3">TERM3!$B$13:$B$113</definedName>
    <definedName name="T1_Names">TERM1!$B$13:$B$113</definedName>
    <definedName name="TRANSMUTATION_TABLE">#REF!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1" i="2" l="1"/>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AV114" i="11"/>
  <c r="AU114" i="11"/>
  <c r="AT114" i="11"/>
  <c r="Y114" i="11"/>
  <c r="Z114" i="11" s="1"/>
  <c r="X114" i="11"/>
  <c r="U114" i="11"/>
  <c r="V114" i="11" s="1"/>
  <c r="W114" i="11" s="1"/>
  <c r="O114" i="11"/>
  <c r="P114" i="11" s="1"/>
  <c r="Q114" i="11" s="1"/>
  <c r="I114" i="11"/>
  <c r="J114" i="11" s="1"/>
  <c r="K114" i="11" s="1"/>
  <c r="AV113" i="11"/>
  <c r="AU113" i="11"/>
  <c r="AT113" i="11"/>
  <c r="Y113" i="11"/>
  <c r="Z113" i="11" s="1"/>
  <c r="X113" i="11"/>
  <c r="U113" i="11"/>
  <c r="V113" i="11" s="1"/>
  <c r="W113" i="11" s="1"/>
  <c r="O113" i="11"/>
  <c r="P113" i="11" s="1"/>
  <c r="Q113" i="11" s="1"/>
  <c r="I113" i="11"/>
  <c r="J113" i="11" s="1"/>
  <c r="K113" i="11" s="1"/>
  <c r="C113" i="11"/>
  <c r="B113" i="11"/>
  <c r="A113" i="11"/>
  <c r="AV112" i="11"/>
  <c r="AU112" i="11"/>
  <c r="AT112" i="11"/>
  <c r="Y112" i="11"/>
  <c r="Z112" i="11" s="1"/>
  <c r="X112" i="11"/>
  <c r="U112" i="11"/>
  <c r="V112" i="11" s="1"/>
  <c r="W112" i="11" s="1"/>
  <c r="O112" i="11"/>
  <c r="P112" i="11" s="1"/>
  <c r="Q112" i="11" s="1"/>
  <c r="I112" i="11"/>
  <c r="J112" i="11" s="1"/>
  <c r="K112" i="11" s="1"/>
  <c r="C112" i="11"/>
  <c r="B112" i="11"/>
  <c r="A112" i="11"/>
  <c r="AV111" i="11"/>
  <c r="AU111" i="11"/>
  <c r="AT111" i="11"/>
  <c r="Y111" i="11"/>
  <c r="Z111" i="11" s="1"/>
  <c r="X111" i="11"/>
  <c r="U111" i="11"/>
  <c r="V111" i="11" s="1"/>
  <c r="W111" i="11" s="1"/>
  <c r="O111" i="11"/>
  <c r="P111" i="11" s="1"/>
  <c r="Q111" i="11" s="1"/>
  <c r="I111" i="11"/>
  <c r="J111" i="11" s="1"/>
  <c r="K111" i="11" s="1"/>
  <c r="C111" i="11"/>
  <c r="B111" i="11"/>
  <c r="A111" i="11"/>
  <c r="AV110" i="11"/>
  <c r="AU110" i="11"/>
  <c r="AT110" i="11"/>
  <c r="Y110" i="11"/>
  <c r="Z110" i="11" s="1"/>
  <c r="X110" i="11"/>
  <c r="U110" i="11"/>
  <c r="V110" i="11" s="1"/>
  <c r="W110" i="11" s="1"/>
  <c r="O110" i="11"/>
  <c r="P110" i="11" s="1"/>
  <c r="Q110" i="11" s="1"/>
  <c r="I110" i="11"/>
  <c r="J110" i="11" s="1"/>
  <c r="K110" i="11" s="1"/>
  <c r="C110" i="11"/>
  <c r="B110" i="11"/>
  <c r="A110" i="11"/>
  <c r="AV109" i="11"/>
  <c r="AU109" i="11"/>
  <c r="AT109" i="11"/>
  <c r="Y109" i="11"/>
  <c r="Z109" i="11" s="1"/>
  <c r="X109" i="11"/>
  <c r="U109" i="11"/>
  <c r="V109" i="11" s="1"/>
  <c r="W109" i="11" s="1"/>
  <c r="O109" i="11"/>
  <c r="P109" i="11" s="1"/>
  <c r="Q109" i="11" s="1"/>
  <c r="I109" i="11"/>
  <c r="J109" i="11" s="1"/>
  <c r="K109" i="11" s="1"/>
  <c r="C109" i="11"/>
  <c r="B109" i="11"/>
  <c r="A109" i="11"/>
  <c r="AV108" i="11"/>
  <c r="AU108" i="11"/>
  <c r="AT108" i="11"/>
  <c r="Y108" i="11"/>
  <c r="Z108" i="11" s="1"/>
  <c r="X108" i="11"/>
  <c r="U108" i="11"/>
  <c r="V108" i="11" s="1"/>
  <c r="W108" i="11" s="1"/>
  <c r="O108" i="11"/>
  <c r="P108" i="11" s="1"/>
  <c r="Q108" i="11" s="1"/>
  <c r="I108" i="11"/>
  <c r="J108" i="11" s="1"/>
  <c r="K108" i="11" s="1"/>
  <c r="C108" i="11"/>
  <c r="B108" i="11"/>
  <c r="A108" i="11"/>
  <c r="AV107" i="11"/>
  <c r="AU107" i="11"/>
  <c r="AT107" i="11"/>
  <c r="Y107" i="11"/>
  <c r="Z107" i="11" s="1"/>
  <c r="X107" i="11"/>
  <c r="U107" i="11"/>
  <c r="V107" i="11" s="1"/>
  <c r="W107" i="11" s="1"/>
  <c r="O107" i="11"/>
  <c r="P107" i="11" s="1"/>
  <c r="Q107" i="11" s="1"/>
  <c r="I107" i="11"/>
  <c r="J107" i="11" s="1"/>
  <c r="K107" i="11" s="1"/>
  <c r="C107" i="11"/>
  <c r="B107" i="11"/>
  <c r="A107" i="11"/>
  <c r="AV106" i="11"/>
  <c r="AU106" i="11"/>
  <c r="AT106" i="11"/>
  <c r="Y106" i="11"/>
  <c r="Z106" i="11" s="1"/>
  <c r="X106" i="11"/>
  <c r="U106" i="11"/>
  <c r="V106" i="11" s="1"/>
  <c r="W106" i="11" s="1"/>
  <c r="O106" i="11"/>
  <c r="P106" i="11" s="1"/>
  <c r="Q106" i="11" s="1"/>
  <c r="I106" i="11"/>
  <c r="J106" i="11" s="1"/>
  <c r="K106" i="11" s="1"/>
  <c r="C106" i="11"/>
  <c r="B106" i="11"/>
  <c r="A106" i="11"/>
  <c r="AV105" i="11"/>
  <c r="AU105" i="11"/>
  <c r="AT105" i="11"/>
  <c r="Y105" i="11"/>
  <c r="Z105" i="11" s="1"/>
  <c r="X105" i="11"/>
  <c r="U105" i="11"/>
  <c r="V105" i="11" s="1"/>
  <c r="W105" i="11" s="1"/>
  <c r="O105" i="11"/>
  <c r="P105" i="11" s="1"/>
  <c r="Q105" i="11" s="1"/>
  <c r="I105" i="11"/>
  <c r="J105" i="11" s="1"/>
  <c r="K105" i="11" s="1"/>
  <c r="C105" i="11"/>
  <c r="B105" i="11"/>
  <c r="A105" i="11"/>
  <c r="AV104" i="11"/>
  <c r="AU104" i="11"/>
  <c r="AT104" i="11"/>
  <c r="Y104" i="11"/>
  <c r="Z104" i="11" s="1"/>
  <c r="X104" i="11"/>
  <c r="U104" i="11"/>
  <c r="V104" i="11" s="1"/>
  <c r="W104" i="11" s="1"/>
  <c r="O104" i="11"/>
  <c r="P104" i="11" s="1"/>
  <c r="Q104" i="11" s="1"/>
  <c r="I104" i="11"/>
  <c r="J104" i="11" s="1"/>
  <c r="K104" i="11" s="1"/>
  <c r="C104" i="11"/>
  <c r="B104" i="11"/>
  <c r="A104" i="11"/>
  <c r="AV103" i="11"/>
  <c r="AU103" i="11"/>
  <c r="AT103" i="11"/>
  <c r="Y103" i="11"/>
  <c r="Z103" i="11" s="1"/>
  <c r="X103" i="11"/>
  <c r="U103" i="11"/>
  <c r="V103" i="11" s="1"/>
  <c r="W103" i="11" s="1"/>
  <c r="O103" i="11"/>
  <c r="P103" i="11" s="1"/>
  <c r="Q103" i="11" s="1"/>
  <c r="I103" i="11"/>
  <c r="J103" i="11" s="1"/>
  <c r="K103" i="11" s="1"/>
  <c r="C103" i="11"/>
  <c r="B103" i="11"/>
  <c r="A103" i="11"/>
  <c r="AV102" i="11"/>
  <c r="AU102" i="11"/>
  <c r="AT102" i="11"/>
  <c r="Y102" i="11"/>
  <c r="Z102" i="11" s="1"/>
  <c r="X102" i="11"/>
  <c r="U102" i="11"/>
  <c r="V102" i="11" s="1"/>
  <c r="W102" i="11" s="1"/>
  <c r="O102" i="11"/>
  <c r="P102" i="11" s="1"/>
  <c r="Q102" i="11" s="1"/>
  <c r="I102" i="11"/>
  <c r="J102" i="11" s="1"/>
  <c r="K102" i="11" s="1"/>
  <c r="C102" i="11"/>
  <c r="B102" i="11"/>
  <c r="A102" i="11"/>
  <c r="AV101" i="11"/>
  <c r="AU101" i="11"/>
  <c r="AT101" i="11"/>
  <c r="Y101" i="11"/>
  <c r="Z101" i="11" s="1"/>
  <c r="X101" i="11"/>
  <c r="U101" i="11"/>
  <c r="V101" i="11" s="1"/>
  <c r="W101" i="11" s="1"/>
  <c r="O101" i="11"/>
  <c r="P101" i="11" s="1"/>
  <c r="Q101" i="11" s="1"/>
  <c r="I101" i="11"/>
  <c r="J101" i="11" s="1"/>
  <c r="K101" i="11" s="1"/>
  <c r="C101" i="11"/>
  <c r="B101" i="11"/>
  <c r="A101" i="11"/>
  <c r="AV100" i="11"/>
  <c r="AU100" i="11"/>
  <c r="AT100" i="11"/>
  <c r="Y100" i="11"/>
  <c r="Z100" i="11" s="1"/>
  <c r="X100" i="11"/>
  <c r="U100" i="11"/>
  <c r="V100" i="11" s="1"/>
  <c r="W100" i="11" s="1"/>
  <c r="O100" i="11"/>
  <c r="P100" i="11" s="1"/>
  <c r="Q100" i="11" s="1"/>
  <c r="I100" i="11"/>
  <c r="J100" i="11" s="1"/>
  <c r="K100" i="11" s="1"/>
  <c r="C100" i="11"/>
  <c r="B100" i="11"/>
  <c r="A100" i="11"/>
  <c r="AV99" i="11"/>
  <c r="AU99" i="11"/>
  <c r="AT99" i="11"/>
  <c r="Y99" i="11"/>
  <c r="Z99" i="11" s="1"/>
  <c r="X99" i="11"/>
  <c r="U99" i="11"/>
  <c r="V99" i="11" s="1"/>
  <c r="W99" i="11" s="1"/>
  <c r="O99" i="11"/>
  <c r="P99" i="11" s="1"/>
  <c r="Q99" i="11" s="1"/>
  <c r="I99" i="11"/>
  <c r="J99" i="11" s="1"/>
  <c r="K99" i="11" s="1"/>
  <c r="C99" i="11"/>
  <c r="B99" i="11"/>
  <c r="A99" i="11"/>
  <c r="AV98" i="11"/>
  <c r="AU98" i="11"/>
  <c r="AT98" i="11"/>
  <c r="Y98" i="11"/>
  <c r="Z98" i="11" s="1"/>
  <c r="X98" i="11"/>
  <c r="U98" i="11"/>
  <c r="V98" i="11" s="1"/>
  <c r="W98" i="11" s="1"/>
  <c r="O98" i="11"/>
  <c r="P98" i="11" s="1"/>
  <c r="Q98" i="11" s="1"/>
  <c r="I98" i="11"/>
  <c r="J98" i="11" s="1"/>
  <c r="K98" i="11" s="1"/>
  <c r="C98" i="11"/>
  <c r="B98" i="11"/>
  <c r="A98" i="11"/>
  <c r="AV97" i="11"/>
  <c r="AU97" i="11"/>
  <c r="AT97" i="11"/>
  <c r="Y97" i="11"/>
  <c r="Z97" i="11" s="1"/>
  <c r="X97" i="11"/>
  <c r="U97" i="11"/>
  <c r="V97" i="11" s="1"/>
  <c r="W97" i="11" s="1"/>
  <c r="O97" i="11"/>
  <c r="P97" i="11" s="1"/>
  <c r="Q97" i="11" s="1"/>
  <c r="I97" i="11"/>
  <c r="J97" i="11" s="1"/>
  <c r="K97" i="11" s="1"/>
  <c r="C97" i="11"/>
  <c r="B97" i="11"/>
  <c r="A97" i="11"/>
  <c r="AV96" i="11"/>
  <c r="AU96" i="11"/>
  <c r="AT96" i="11"/>
  <c r="Y96" i="11"/>
  <c r="Z96" i="11" s="1"/>
  <c r="X96" i="11"/>
  <c r="U96" i="11"/>
  <c r="V96" i="11" s="1"/>
  <c r="W96" i="11" s="1"/>
  <c r="O96" i="11"/>
  <c r="P96" i="11" s="1"/>
  <c r="Q96" i="11" s="1"/>
  <c r="I96" i="11"/>
  <c r="J96" i="11" s="1"/>
  <c r="K96" i="11" s="1"/>
  <c r="C96" i="11"/>
  <c r="B96" i="11"/>
  <c r="A96" i="11"/>
  <c r="AV95" i="11"/>
  <c r="AU95" i="11"/>
  <c r="AT95" i="11"/>
  <c r="Y95" i="11"/>
  <c r="Z95" i="11" s="1"/>
  <c r="X95" i="11"/>
  <c r="U95" i="11"/>
  <c r="V95" i="11" s="1"/>
  <c r="W95" i="11" s="1"/>
  <c r="O95" i="11"/>
  <c r="P95" i="11" s="1"/>
  <c r="Q95" i="11" s="1"/>
  <c r="I95" i="11"/>
  <c r="J95" i="11" s="1"/>
  <c r="K95" i="11" s="1"/>
  <c r="C95" i="11"/>
  <c r="B95" i="11"/>
  <c r="A95" i="11"/>
  <c r="AV94" i="11"/>
  <c r="AU94" i="11"/>
  <c r="AT94" i="11"/>
  <c r="Y94" i="11"/>
  <c r="Z94" i="11" s="1"/>
  <c r="X94" i="11"/>
  <c r="U94" i="11"/>
  <c r="V94" i="11" s="1"/>
  <c r="W94" i="11" s="1"/>
  <c r="O94" i="11"/>
  <c r="P94" i="11" s="1"/>
  <c r="Q94" i="11" s="1"/>
  <c r="I94" i="11"/>
  <c r="J94" i="11" s="1"/>
  <c r="K94" i="11" s="1"/>
  <c r="C94" i="11"/>
  <c r="B94" i="11"/>
  <c r="A94" i="11"/>
  <c r="AV93" i="11"/>
  <c r="AU93" i="11"/>
  <c r="AT93" i="11"/>
  <c r="Y93" i="11"/>
  <c r="Z93" i="11" s="1"/>
  <c r="X93" i="11"/>
  <c r="U93" i="11"/>
  <c r="V93" i="11" s="1"/>
  <c r="W93" i="11" s="1"/>
  <c r="O93" i="11"/>
  <c r="P93" i="11" s="1"/>
  <c r="Q93" i="11" s="1"/>
  <c r="I93" i="11"/>
  <c r="J93" i="11" s="1"/>
  <c r="K93" i="11" s="1"/>
  <c r="C93" i="11"/>
  <c r="B93" i="11"/>
  <c r="A93" i="11"/>
  <c r="AV92" i="11"/>
  <c r="AU92" i="11"/>
  <c r="AT92" i="11"/>
  <c r="Y92" i="11"/>
  <c r="Z92" i="11" s="1"/>
  <c r="X92" i="11"/>
  <c r="U92" i="11"/>
  <c r="V92" i="11" s="1"/>
  <c r="W92" i="11" s="1"/>
  <c r="O92" i="11"/>
  <c r="P92" i="11" s="1"/>
  <c r="Q92" i="11" s="1"/>
  <c r="I92" i="11"/>
  <c r="J92" i="11" s="1"/>
  <c r="K92" i="11" s="1"/>
  <c r="C92" i="11"/>
  <c r="B92" i="11"/>
  <c r="A92" i="11"/>
  <c r="AV91" i="11"/>
  <c r="AU91" i="11"/>
  <c r="AT91" i="11"/>
  <c r="Y91" i="11"/>
  <c r="Z91" i="11" s="1"/>
  <c r="X91" i="11"/>
  <c r="U91" i="11"/>
  <c r="V91" i="11" s="1"/>
  <c r="W91" i="11" s="1"/>
  <c r="O91" i="11"/>
  <c r="P91" i="11" s="1"/>
  <c r="Q91" i="11" s="1"/>
  <c r="I91" i="11"/>
  <c r="J91" i="11" s="1"/>
  <c r="K91" i="11" s="1"/>
  <c r="C91" i="11"/>
  <c r="B91" i="11"/>
  <c r="A91" i="11"/>
  <c r="AV90" i="11"/>
  <c r="AU90" i="11"/>
  <c r="AT90" i="11"/>
  <c r="Y90" i="11"/>
  <c r="Z90" i="11" s="1"/>
  <c r="X90" i="11"/>
  <c r="U90" i="11"/>
  <c r="V90" i="11" s="1"/>
  <c r="W90" i="11" s="1"/>
  <c r="O90" i="11"/>
  <c r="P90" i="11" s="1"/>
  <c r="Q90" i="11" s="1"/>
  <c r="I90" i="11"/>
  <c r="J90" i="11" s="1"/>
  <c r="K90" i="11" s="1"/>
  <c r="C90" i="11"/>
  <c r="B90" i="11"/>
  <c r="A90" i="11"/>
  <c r="AV89" i="11"/>
  <c r="AU89" i="11"/>
  <c r="AT89" i="11"/>
  <c r="Y89" i="11"/>
  <c r="Z89" i="11" s="1"/>
  <c r="X89" i="11"/>
  <c r="U89" i="11"/>
  <c r="V89" i="11" s="1"/>
  <c r="W89" i="11" s="1"/>
  <c r="O89" i="11"/>
  <c r="P89" i="11" s="1"/>
  <c r="Q89" i="11" s="1"/>
  <c r="I89" i="11"/>
  <c r="J89" i="11" s="1"/>
  <c r="K89" i="11" s="1"/>
  <c r="C89" i="11"/>
  <c r="B89" i="11"/>
  <c r="A89" i="11"/>
  <c r="AV88" i="11"/>
  <c r="AU88" i="11"/>
  <c r="AT88" i="11"/>
  <c r="Y88" i="11"/>
  <c r="Z88" i="11" s="1"/>
  <c r="X88" i="11"/>
  <c r="U88" i="11"/>
  <c r="V88" i="11" s="1"/>
  <c r="W88" i="11" s="1"/>
  <c r="O88" i="11"/>
  <c r="P88" i="11" s="1"/>
  <c r="Q88" i="11" s="1"/>
  <c r="I88" i="11"/>
  <c r="J88" i="11" s="1"/>
  <c r="K88" i="11" s="1"/>
  <c r="C88" i="11"/>
  <c r="B88" i="11"/>
  <c r="A88" i="11"/>
  <c r="AV87" i="11"/>
  <c r="AU87" i="11"/>
  <c r="AT87" i="11"/>
  <c r="Y87" i="11"/>
  <c r="Z87" i="11" s="1"/>
  <c r="X87" i="11"/>
  <c r="U87" i="11"/>
  <c r="V87" i="11" s="1"/>
  <c r="W87" i="11" s="1"/>
  <c r="O87" i="11"/>
  <c r="P87" i="11" s="1"/>
  <c r="Q87" i="11" s="1"/>
  <c r="I87" i="11"/>
  <c r="J87" i="11" s="1"/>
  <c r="K87" i="11" s="1"/>
  <c r="C87" i="11"/>
  <c r="B87" i="11"/>
  <c r="A87" i="11"/>
  <c r="AV86" i="11"/>
  <c r="AU86" i="11"/>
  <c r="AT86" i="11"/>
  <c r="Y86" i="11"/>
  <c r="Z86" i="11" s="1"/>
  <c r="X86" i="11"/>
  <c r="U86" i="11"/>
  <c r="V86" i="11" s="1"/>
  <c r="W86" i="11" s="1"/>
  <c r="O86" i="11"/>
  <c r="P86" i="11" s="1"/>
  <c r="Q86" i="11" s="1"/>
  <c r="I86" i="11"/>
  <c r="J86" i="11" s="1"/>
  <c r="K86" i="11" s="1"/>
  <c r="C86" i="11"/>
  <c r="B86" i="11"/>
  <c r="A86" i="11"/>
  <c r="AV85" i="11"/>
  <c r="AU85" i="11"/>
  <c r="AT85" i="11"/>
  <c r="Y85" i="11"/>
  <c r="Z85" i="11" s="1"/>
  <c r="X85" i="11"/>
  <c r="U85" i="11"/>
  <c r="V85" i="11" s="1"/>
  <c r="W85" i="11" s="1"/>
  <c r="O85" i="11"/>
  <c r="P85" i="11" s="1"/>
  <c r="Q85" i="11" s="1"/>
  <c r="I85" i="11"/>
  <c r="J85" i="11" s="1"/>
  <c r="K85" i="11" s="1"/>
  <c r="C85" i="11"/>
  <c r="B85" i="11"/>
  <c r="A85" i="11"/>
  <c r="AV84" i="11"/>
  <c r="AU84" i="11"/>
  <c r="AT84" i="11"/>
  <c r="Y84" i="11"/>
  <c r="Z84" i="11" s="1"/>
  <c r="X84" i="11"/>
  <c r="U84" i="11"/>
  <c r="V84" i="11" s="1"/>
  <c r="W84" i="11" s="1"/>
  <c r="O84" i="11"/>
  <c r="P84" i="11" s="1"/>
  <c r="Q84" i="11" s="1"/>
  <c r="I84" i="11"/>
  <c r="J84" i="11" s="1"/>
  <c r="K84" i="11" s="1"/>
  <c r="C84" i="11"/>
  <c r="B84" i="11"/>
  <c r="A84" i="11"/>
  <c r="AV83" i="11"/>
  <c r="AU83" i="11"/>
  <c r="AT83" i="11"/>
  <c r="Y83" i="11"/>
  <c r="Z83" i="11" s="1"/>
  <c r="X83" i="11"/>
  <c r="U83" i="11"/>
  <c r="V83" i="11" s="1"/>
  <c r="W83" i="11" s="1"/>
  <c r="O83" i="11"/>
  <c r="P83" i="11" s="1"/>
  <c r="Q83" i="11" s="1"/>
  <c r="I83" i="11"/>
  <c r="J83" i="11" s="1"/>
  <c r="K83" i="11" s="1"/>
  <c r="C83" i="11"/>
  <c r="B83" i="11"/>
  <c r="A83" i="11"/>
  <c r="AV82" i="11"/>
  <c r="AU82" i="11"/>
  <c r="AT82" i="11"/>
  <c r="Y82" i="11"/>
  <c r="Z82" i="11" s="1"/>
  <c r="X82" i="11"/>
  <c r="U82" i="11"/>
  <c r="V82" i="11" s="1"/>
  <c r="W82" i="11" s="1"/>
  <c r="O82" i="11"/>
  <c r="P82" i="11" s="1"/>
  <c r="Q82" i="11" s="1"/>
  <c r="I82" i="11"/>
  <c r="J82" i="11" s="1"/>
  <c r="K82" i="11" s="1"/>
  <c r="C82" i="11"/>
  <c r="B82" i="11"/>
  <c r="A82" i="11"/>
  <c r="AV81" i="11"/>
  <c r="AU81" i="11"/>
  <c r="AT81" i="11"/>
  <c r="Y81" i="11"/>
  <c r="Z81" i="11" s="1"/>
  <c r="X81" i="11"/>
  <c r="U81" i="11"/>
  <c r="V81" i="11" s="1"/>
  <c r="W81" i="11" s="1"/>
  <c r="O81" i="11"/>
  <c r="P81" i="11" s="1"/>
  <c r="Q81" i="11" s="1"/>
  <c r="I81" i="11"/>
  <c r="J81" i="11" s="1"/>
  <c r="K81" i="11" s="1"/>
  <c r="C81" i="11"/>
  <c r="B81" i="11"/>
  <c r="A81" i="11"/>
  <c r="AV80" i="11"/>
  <c r="AU80" i="11"/>
  <c r="AT80" i="11"/>
  <c r="Y80" i="11"/>
  <c r="Z80" i="11" s="1"/>
  <c r="X80" i="11"/>
  <c r="U80" i="11"/>
  <c r="V80" i="11" s="1"/>
  <c r="W80" i="11" s="1"/>
  <c r="O80" i="11"/>
  <c r="P80" i="11" s="1"/>
  <c r="Q80" i="11" s="1"/>
  <c r="I80" i="11"/>
  <c r="J80" i="11" s="1"/>
  <c r="K80" i="11" s="1"/>
  <c r="C80" i="11"/>
  <c r="B80" i="11"/>
  <c r="A80" i="11"/>
  <c r="AV79" i="11"/>
  <c r="AU79" i="11"/>
  <c r="AT79" i="11"/>
  <c r="Y79" i="11"/>
  <c r="Z79" i="11" s="1"/>
  <c r="X79" i="11"/>
  <c r="U79" i="11"/>
  <c r="V79" i="11" s="1"/>
  <c r="W79" i="11" s="1"/>
  <c r="O79" i="11"/>
  <c r="P79" i="11" s="1"/>
  <c r="Q79" i="11" s="1"/>
  <c r="I79" i="11"/>
  <c r="J79" i="11" s="1"/>
  <c r="K79" i="11" s="1"/>
  <c r="C79" i="11"/>
  <c r="B79" i="11"/>
  <c r="A79" i="11"/>
  <c r="AV78" i="11"/>
  <c r="AU78" i="11"/>
  <c r="AT78" i="11"/>
  <c r="Y78" i="11"/>
  <c r="Z78" i="11" s="1"/>
  <c r="X78" i="11"/>
  <c r="U78" i="11"/>
  <c r="V78" i="11" s="1"/>
  <c r="W78" i="11" s="1"/>
  <c r="O78" i="11"/>
  <c r="P78" i="11" s="1"/>
  <c r="Q78" i="11" s="1"/>
  <c r="I78" i="11"/>
  <c r="J78" i="11" s="1"/>
  <c r="K78" i="11" s="1"/>
  <c r="C78" i="11"/>
  <c r="B78" i="11"/>
  <c r="A78" i="11"/>
  <c r="AV77" i="11"/>
  <c r="AU77" i="11"/>
  <c r="AT77" i="11"/>
  <c r="Y77" i="11"/>
  <c r="Z77" i="11" s="1"/>
  <c r="X77" i="11"/>
  <c r="U77" i="11"/>
  <c r="V77" i="11" s="1"/>
  <c r="W77" i="11" s="1"/>
  <c r="O77" i="11"/>
  <c r="P77" i="11" s="1"/>
  <c r="Q77" i="11" s="1"/>
  <c r="I77" i="11"/>
  <c r="J77" i="11" s="1"/>
  <c r="K77" i="11" s="1"/>
  <c r="C77" i="11"/>
  <c r="B77" i="11"/>
  <c r="A77" i="11"/>
  <c r="AV76" i="11"/>
  <c r="AU76" i="11"/>
  <c r="AT76" i="11"/>
  <c r="Y76" i="11"/>
  <c r="Z76" i="11" s="1"/>
  <c r="X76" i="11"/>
  <c r="U76" i="11"/>
  <c r="V76" i="11" s="1"/>
  <c r="W76" i="11" s="1"/>
  <c r="O76" i="11"/>
  <c r="P76" i="11" s="1"/>
  <c r="Q76" i="11" s="1"/>
  <c r="I76" i="11"/>
  <c r="J76" i="11" s="1"/>
  <c r="K76" i="11" s="1"/>
  <c r="C76" i="11"/>
  <c r="B76" i="11"/>
  <c r="A76" i="11"/>
  <c r="AV75" i="11"/>
  <c r="AU75" i="11"/>
  <c r="AT75" i="11"/>
  <c r="Y75" i="11"/>
  <c r="Z75" i="11" s="1"/>
  <c r="X75" i="11"/>
  <c r="U75" i="11"/>
  <c r="V75" i="11" s="1"/>
  <c r="W75" i="11" s="1"/>
  <c r="O75" i="11"/>
  <c r="P75" i="11" s="1"/>
  <c r="Q75" i="11" s="1"/>
  <c r="I75" i="11"/>
  <c r="J75" i="11" s="1"/>
  <c r="K75" i="11" s="1"/>
  <c r="C75" i="11"/>
  <c r="B75" i="11"/>
  <c r="A75" i="11"/>
  <c r="AV74" i="11"/>
  <c r="AU74" i="11"/>
  <c r="AT74" i="11"/>
  <c r="Y74" i="11"/>
  <c r="Z74" i="11" s="1"/>
  <c r="X74" i="11"/>
  <c r="U74" i="11"/>
  <c r="V74" i="11" s="1"/>
  <c r="W74" i="11" s="1"/>
  <c r="O74" i="11"/>
  <c r="P74" i="11" s="1"/>
  <c r="Q74" i="11" s="1"/>
  <c r="I74" i="11"/>
  <c r="J74" i="11" s="1"/>
  <c r="K74" i="11" s="1"/>
  <c r="C74" i="11"/>
  <c r="B74" i="11"/>
  <c r="A74" i="11"/>
  <c r="AV73" i="11"/>
  <c r="AU73" i="11"/>
  <c r="AT73" i="11"/>
  <c r="Y73" i="11"/>
  <c r="Z73" i="11" s="1"/>
  <c r="X73" i="11"/>
  <c r="U73" i="11"/>
  <c r="V73" i="11" s="1"/>
  <c r="W73" i="11" s="1"/>
  <c r="O73" i="11"/>
  <c r="P73" i="11" s="1"/>
  <c r="Q73" i="11" s="1"/>
  <c r="I73" i="11"/>
  <c r="J73" i="11" s="1"/>
  <c r="K73" i="11" s="1"/>
  <c r="C73" i="11"/>
  <c r="B73" i="11"/>
  <c r="A73" i="11"/>
  <c r="AV72" i="11"/>
  <c r="AU72" i="11"/>
  <c r="AT72" i="11"/>
  <c r="Y72" i="11"/>
  <c r="Z72" i="11" s="1"/>
  <c r="X72" i="11"/>
  <c r="U72" i="11"/>
  <c r="V72" i="11" s="1"/>
  <c r="W72" i="11" s="1"/>
  <c r="O72" i="11"/>
  <c r="P72" i="11" s="1"/>
  <c r="Q72" i="11" s="1"/>
  <c r="I72" i="11"/>
  <c r="J72" i="11" s="1"/>
  <c r="K72" i="11" s="1"/>
  <c r="C72" i="11"/>
  <c r="B72" i="11"/>
  <c r="A72" i="11"/>
  <c r="AV71" i="11"/>
  <c r="AU71" i="11"/>
  <c r="AT71" i="11"/>
  <c r="Y71" i="11"/>
  <c r="Z71" i="11" s="1"/>
  <c r="X71" i="11"/>
  <c r="U71" i="11"/>
  <c r="V71" i="11" s="1"/>
  <c r="W71" i="11" s="1"/>
  <c r="O71" i="11"/>
  <c r="P71" i="11" s="1"/>
  <c r="Q71" i="11" s="1"/>
  <c r="I71" i="11"/>
  <c r="J71" i="11" s="1"/>
  <c r="K71" i="11" s="1"/>
  <c r="C71" i="11"/>
  <c r="B71" i="11"/>
  <c r="A71" i="11"/>
  <c r="AV70" i="11"/>
  <c r="AU70" i="11"/>
  <c r="AT70" i="11"/>
  <c r="Y70" i="11"/>
  <c r="Z70" i="11" s="1"/>
  <c r="X70" i="11"/>
  <c r="U70" i="11"/>
  <c r="V70" i="11" s="1"/>
  <c r="W70" i="11" s="1"/>
  <c r="O70" i="11"/>
  <c r="P70" i="11" s="1"/>
  <c r="Q70" i="11" s="1"/>
  <c r="I70" i="11"/>
  <c r="J70" i="11" s="1"/>
  <c r="K70" i="11" s="1"/>
  <c r="C70" i="11"/>
  <c r="B70" i="11"/>
  <c r="A70" i="11"/>
  <c r="AV69" i="11"/>
  <c r="AU69" i="11"/>
  <c r="AT69" i="11"/>
  <c r="Y69" i="11"/>
  <c r="Z69" i="11" s="1"/>
  <c r="X69" i="11"/>
  <c r="U69" i="11"/>
  <c r="V69" i="11" s="1"/>
  <c r="W69" i="11" s="1"/>
  <c r="O69" i="11"/>
  <c r="P69" i="11" s="1"/>
  <c r="Q69" i="11" s="1"/>
  <c r="I69" i="11"/>
  <c r="J69" i="11" s="1"/>
  <c r="K69" i="11" s="1"/>
  <c r="C69" i="11"/>
  <c r="B69" i="11"/>
  <c r="A69" i="11"/>
  <c r="AV68" i="11"/>
  <c r="AU68" i="11"/>
  <c r="AT68" i="11"/>
  <c r="Y68" i="11"/>
  <c r="Z68" i="11" s="1"/>
  <c r="X68" i="11"/>
  <c r="U68" i="11"/>
  <c r="V68" i="11" s="1"/>
  <c r="W68" i="11" s="1"/>
  <c r="O68" i="11"/>
  <c r="P68" i="11" s="1"/>
  <c r="Q68" i="11" s="1"/>
  <c r="I68" i="11"/>
  <c r="J68" i="11" s="1"/>
  <c r="K68" i="11" s="1"/>
  <c r="C68" i="11"/>
  <c r="B68" i="11"/>
  <c r="A68" i="11"/>
  <c r="AV67" i="11"/>
  <c r="AU67" i="11"/>
  <c r="AT67" i="11"/>
  <c r="Y67" i="11"/>
  <c r="Z67" i="11" s="1"/>
  <c r="X67" i="11"/>
  <c r="U67" i="11"/>
  <c r="V67" i="11" s="1"/>
  <c r="W67" i="11" s="1"/>
  <c r="O67" i="11"/>
  <c r="P67" i="11" s="1"/>
  <c r="Q67" i="11" s="1"/>
  <c r="I67" i="11"/>
  <c r="J67" i="11" s="1"/>
  <c r="K67" i="11" s="1"/>
  <c r="C67" i="11"/>
  <c r="B67" i="11"/>
  <c r="A67" i="11"/>
  <c r="AV66" i="11"/>
  <c r="AU66" i="11"/>
  <c r="AT66" i="11"/>
  <c r="Y66" i="11"/>
  <c r="Z66" i="11" s="1"/>
  <c r="X66" i="11"/>
  <c r="U66" i="11"/>
  <c r="V66" i="11" s="1"/>
  <c r="W66" i="11" s="1"/>
  <c r="O66" i="11"/>
  <c r="P66" i="11" s="1"/>
  <c r="Q66" i="11" s="1"/>
  <c r="I66" i="11"/>
  <c r="J66" i="11" s="1"/>
  <c r="K66" i="11" s="1"/>
  <c r="C66" i="11"/>
  <c r="B66" i="11"/>
  <c r="A66" i="11"/>
  <c r="AV64" i="11"/>
  <c r="AU64" i="11"/>
  <c r="AT64" i="11"/>
  <c r="C63" i="11"/>
  <c r="AV62" i="11"/>
  <c r="AU62" i="11"/>
  <c r="AT62" i="11"/>
  <c r="Y62" i="11"/>
  <c r="Z62" i="11" s="1"/>
  <c r="X62" i="11"/>
  <c r="U62" i="11"/>
  <c r="V62" i="11" s="1"/>
  <c r="W62" i="11" s="1"/>
  <c r="O62" i="11"/>
  <c r="P62" i="11" s="1"/>
  <c r="Q62" i="11" s="1"/>
  <c r="I62" i="11"/>
  <c r="J62" i="11" s="1"/>
  <c r="K62" i="11" s="1"/>
  <c r="AV61" i="11"/>
  <c r="AU61" i="11"/>
  <c r="AT61" i="11"/>
  <c r="Y61" i="11"/>
  <c r="Z61" i="11" s="1"/>
  <c r="X61" i="11"/>
  <c r="U61" i="11"/>
  <c r="V61" i="11" s="1"/>
  <c r="W61" i="11" s="1"/>
  <c r="O61" i="11"/>
  <c r="P61" i="11" s="1"/>
  <c r="Q61" i="11" s="1"/>
  <c r="I61" i="11"/>
  <c r="J61" i="11" s="1"/>
  <c r="K61" i="11" s="1"/>
  <c r="C61" i="11"/>
  <c r="B61" i="11"/>
  <c r="A61" i="11"/>
  <c r="AV60" i="11"/>
  <c r="AU60" i="11"/>
  <c r="AT60" i="11"/>
  <c r="Y60" i="11"/>
  <c r="Z60" i="11" s="1"/>
  <c r="X60" i="11"/>
  <c r="U60" i="11"/>
  <c r="V60" i="11" s="1"/>
  <c r="W60" i="11" s="1"/>
  <c r="O60" i="11"/>
  <c r="P60" i="11" s="1"/>
  <c r="Q60" i="11" s="1"/>
  <c r="I60" i="11"/>
  <c r="J60" i="11" s="1"/>
  <c r="K60" i="11" s="1"/>
  <c r="C60" i="11"/>
  <c r="B60" i="11"/>
  <c r="A60" i="11"/>
  <c r="AV59" i="11"/>
  <c r="AU59" i="11"/>
  <c r="AT59" i="11"/>
  <c r="Y59" i="11"/>
  <c r="Z59" i="11" s="1"/>
  <c r="X59" i="11"/>
  <c r="U59" i="11"/>
  <c r="V59" i="11" s="1"/>
  <c r="W59" i="11" s="1"/>
  <c r="O59" i="11"/>
  <c r="P59" i="11" s="1"/>
  <c r="Q59" i="11" s="1"/>
  <c r="I59" i="11"/>
  <c r="J59" i="11" s="1"/>
  <c r="K59" i="11" s="1"/>
  <c r="C59" i="11"/>
  <c r="B59" i="11"/>
  <c r="A59" i="11"/>
  <c r="AV58" i="11"/>
  <c r="AU58" i="11"/>
  <c r="AT58" i="11"/>
  <c r="Y58" i="11"/>
  <c r="Z58" i="11" s="1"/>
  <c r="X58" i="11"/>
  <c r="U58" i="11"/>
  <c r="V58" i="11" s="1"/>
  <c r="W58" i="11" s="1"/>
  <c r="O58" i="11"/>
  <c r="P58" i="11" s="1"/>
  <c r="Q58" i="11" s="1"/>
  <c r="I58" i="11"/>
  <c r="J58" i="11" s="1"/>
  <c r="K58" i="11" s="1"/>
  <c r="C58" i="11"/>
  <c r="B58" i="11"/>
  <c r="A58" i="11"/>
  <c r="AV57" i="11"/>
  <c r="AU57" i="11"/>
  <c r="AT57" i="11"/>
  <c r="Y57" i="11"/>
  <c r="Z57" i="11" s="1"/>
  <c r="X57" i="11"/>
  <c r="U57" i="11"/>
  <c r="V57" i="11" s="1"/>
  <c r="W57" i="11" s="1"/>
  <c r="O57" i="11"/>
  <c r="P57" i="11" s="1"/>
  <c r="Q57" i="11" s="1"/>
  <c r="I57" i="11"/>
  <c r="J57" i="11" s="1"/>
  <c r="K57" i="11" s="1"/>
  <c r="C57" i="11"/>
  <c r="B57" i="11"/>
  <c r="A57" i="11"/>
  <c r="AV56" i="11"/>
  <c r="AU56" i="11"/>
  <c r="AT56" i="11"/>
  <c r="Y56" i="11"/>
  <c r="Z56" i="11" s="1"/>
  <c r="X56" i="11"/>
  <c r="U56" i="11"/>
  <c r="V56" i="11" s="1"/>
  <c r="W56" i="11" s="1"/>
  <c r="O56" i="11"/>
  <c r="P56" i="11" s="1"/>
  <c r="Q56" i="11" s="1"/>
  <c r="I56" i="11"/>
  <c r="J56" i="11" s="1"/>
  <c r="K56" i="11" s="1"/>
  <c r="C56" i="11"/>
  <c r="B56" i="11"/>
  <c r="A56" i="11"/>
  <c r="AV55" i="11"/>
  <c r="AU55" i="11"/>
  <c r="AT55" i="11"/>
  <c r="Y55" i="11"/>
  <c r="Z55" i="11" s="1"/>
  <c r="X55" i="11"/>
  <c r="U55" i="11"/>
  <c r="V55" i="11" s="1"/>
  <c r="W55" i="11" s="1"/>
  <c r="O55" i="11"/>
  <c r="P55" i="11" s="1"/>
  <c r="Q55" i="11" s="1"/>
  <c r="I55" i="11"/>
  <c r="J55" i="11" s="1"/>
  <c r="K55" i="11" s="1"/>
  <c r="C55" i="11"/>
  <c r="B55" i="11"/>
  <c r="A55" i="11"/>
  <c r="AV54" i="11"/>
  <c r="AU54" i="11"/>
  <c r="AT54" i="11"/>
  <c r="Y54" i="11"/>
  <c r="Z54" i="11" s="1"/>
  <c r="X54" i="11"/>
  <c r="U54" i="11"/>
  <c r="V54" i="11" s="1"/>
  <c r="W54" i="11" s="1"/>
  <c r="O54" i="11"/>
  <c r="P54" i="11" s="1"/>
  <c r="Q54" i="11" s="1"/>
  <c r="I54" i="11"/>
  <c r="J54" i="11" s="1"/>
  <c r="K54" i="11" s="1"/>
  <c r="C54" i="11"/>
  <c r="B54" i="11"/>
  <c r="A54" i="11"/>
  <c r="AV53" i="11"/>
  <c r="AU53" i="11"/>
  <c r="AT53" i="11"/>
  <c r="Y53" i="11"/>
  <c r="Z53" i="11" s="1"/>
  <c r="X53" i="11"/>
  <c r="U53" i="11"/>
  <c r="V53" i="11" s="1"/>
  <c r="W53" i="11" s="1"/>
  <c r="O53" i="11"/>
  <c r="P53" i="11" s="1"/>
  <c r="Q53" i="11" s="1"/>
  <c r="I53" i="11"/>
  <c r="J53" i="11" s="1"/>
  <c r="K53" i="11" s="1"/>
  <c r="C53" i="11"/>
  <c r="B53" i="11"/>
  <c r="A53" i="11"/>
  <c r="AV52" i="11"/>
  <c r="AU52" i="11"/>
  <c r="AT52" i="11"/>
  <c r="Y52" i="11"/>
  <c r="Z52" i="11" s="1"/>
  <c r="X52" i="11"/>
  <c r="U52" i="11"/>
  <c r="V52" i="11" s="1"/>
  <c r="W52" i="11" s="1"/>
  <c r="O52" i="11"/>
  <c r="P52" i="11" s="1"/>
  <c r="Q52" i="11" s="1"/>
  <c r="I52" i="11"/>
  <c r="J52" i="11" s="1"/>
  <c r="K52" i="11" s="1"/>
  <c r="C52" i="11"/>
  <c r="B52" i="11"/>
  <c r="A52" i="11"/>
  <c r="AV51" i="11"/>
  <c r="AU51" i="11"/>
  <c r="AT51" i="11"/>
  <c r="Y51" i="11"/>
  <c r="Z51" i="11" s="1"/>
  <c r="X51" i="11"/>
  <c r="U51" i="11"/>
  <c r="V51" i="11" s="1"/>
  <c r="W51" i="11" s="1"/>
  <c r="O51" i="11"/>
  <c r="P51" i="11" s="1"/>
  <c r="Q51" i="11" s="1"/>
  <c r="I51" i="11"/>
  <c r="J51" i="11" s="1"/>
  <c r="K51" i="11" s="1"/>
  <c r="C51" i="11"/>
  <c r="B51" i="11"/>
  <c r="A51" i="11"/>
  <c r="AV50" i="11"/>
  <c r="AU50" i="11"/>
  <c r="AT50" i="11"/>
  <c r="Y50" i="11"/>
  <c r="Z50" i="11" s="1"/>
  <c r="X50" i="11"/>
  <c r="U50" i="11"/>
  <c r="V50" i="11" s="1"/>
  <c r="W50" i="11" s="1"/>
  <c r="O50" i="11"/>
  <c r="P50" i="11" s="1"/>
  <c r="Q50" i="11" s="1"/>
  <c r="I50" i="11"/>
  <c r="J50" i="11" s="1"/>
  <c r="K50" i="11" s="1"/>
  <c r="C50" i="11"/>
  <c r="B50" i="11"/>
  <c r="A50" i="11"/>
  <c r="AV49" i="11"/>
  <c r="AU49" i="11"/>
  <c r="AT49" i="11"/>
  <c r="Y49" i="11"/>
  <c r="Z49" i="11" s="1"/>
  <c r="X49" i="11"/>
  <c r="U49" i="11"/>
  <c r="V49" i="11" s="1"/>
  <c r="W49" i="11" s="1"/>
  <c r="O49" i="11"/>
  <c r="P49" i="11" s="1"/>
  <c r="Q49" i="11" s="1"/>
  <c r="I49" i="11"/>
  <c r="J49" i="11" s="1"/>
  <c r="K49" i="11" s="1"/>
  <c r="C49" i="11"/>
  <c r="B49" i="11"/>
  <c r="A49" i="11"/>
  <c r="AV48" i="11"/>
  <c r="AU48" i="11"/>
  <c r="AT48" i="11"/>
  <c r="Y48" i="11"/>
  <c r="Z48" i="11" s="1"/>
  <c r="X48" i="11"/>
  <c r="U48" i="11"/>
  <c r="V48" i="11" s="1"/>
  <c r="W48" i="11" s="1"/>
  <c r="O48" i="11"/>
  <c r="P48" i="11" s="1"/>
  <c r="Q48" i="11" s="1"/>
  <c r="I48" i="11"/>
  <c r="J48" i="11" s="1"/>
  <c r="K48" i="11" s="1"/>
  <c r="C48" i="11"/>
  <c r="B48" i="11"/>
  <c r="A48" i="11"/>
  <c r="AV47" i="11"/>
  <c r="AU47" i="11"/>
  <c r="AT47" i="11"/>
  <c r="Y47" i="11"/>
  <c r="Z47" i="11" s="1"/>
  <c r="X47" i="11"/>
  <c r="U47" i="11"/>
  <c r="V47" i="11" s="1"/>
  <c r="W47" i="11" s="1"/>
  <c r="O47" i="11"/>
  <c r="P47" i="11" s="1"/>
  <c r="Q47" i="11" s="1"/>
  <c r="I47" i="11"/>
  <c r="J47" i="11" s="1"/>
  <c r="K47" i="11" s="1"/>
  <c r="C47" i="11"/>
  <c r="B47" i="11"/>
  <c r="A47" i="11"/>
  <c r="AV46" i="11"/>
  <c r="AU46" i="11"/>
  <c r="AT46" i="11"/>
  <c r="Y46" i="11"/>
  <c r="Z46" i="11" s="1"/>
  <c r="X46" i="11"/>
  <c r="U46" i="11"/>
  <c r="V46" i="11" s="1"/>
  <c r="W46" i="11" s="1"/>
  <c r="O46" i="11"/>
  <c r="P46" i="11" s="1"/>
  <c r="Q46" i="11" s="1"/>
  <c r="I46" i="11"/>
  <c r="J46" i="11" s="1"/>
  <c r="K46" i="11" s="1"/>
  <c r="C46" i="11"/>
  <c r="B46" i="11"/>
  <c r="A46" i="11"/>
  <c r="AV45" i="11"/>
  <c r="AU45" i="11"/>
  <c r="AT45" i="11"/>
  <c r="Y45" i="11"/>
  <c r="Z45" i="11" s="1"/>
  <c r="X45" i="11"/>
  <c r="U45" i="11"/>
  <c r="V45" i="11" s="1"/>
  <c r="W45" i="11" s="1"/>
  <c r="O45" i="11"/>
  <c r="P45" i="11" s="1"/>
  <c r="Q45" i="11" s="1"/>
  <c r="I45" i="11"/>
  <c r="J45" i="11" s="1"/>
  <c r="K45" i="11" s="1"/>
  <c r="C45" i="11"/>
  <c r="B45" i="11"/>
  <c r="A45" i="11"/>
  <c r="AV44" i="11"/>
  <c r="AU44" i="11"/>
  <c r="AT44" i="11"/>
  <c r="Y44" i="11"/>
  <c r="Z44" i="11" s="1"/>
  <c r="X44" i="11"/>
  <c r="U44" i="11"/>
  <c r="V44" i="11" s="1"/>
  <c r="W44" i="11" s="1"/>
  <c r="O44" i="11"/>
  <c r="P44" i="11" s="1"/>
  <c r="Q44" i="11" s="1"/>
  <c r="I44" i="11"/>
  <c r="J44" i="11" s="1"/>
  <c r="K44" i="11" s="1"/>
  <c r="C44" i="11"/>
  <c r="B44" i="11"/>
  <c r="A44" i="11"/>
  <c r="AV43" i="11"/>
  <c r="AU43" i="11"/>
  <c r="AT43" i="11"/>
  <c r="Y43" i="11"/>
  <c r="Z43" i="11" s="1"/>
  <c r="X43" i="11"/>
  <c r="U43" i="11"/>
  <c r="V43" i="11" s="1"/>
  <c r="W43" i="11" s="1"/>
  <c r="O43" i="11"/>
  <c r="P43" i="11" s="1"/>
  <c r="Q43" i="11" s="1"/>
  <c r="I43" i="11"/>
  <c r="J43" i="11" s="1"/>
  <c r="K43" i="11" s="1"/>
  <c r="C43" i="11"/>
  <c r="B43" i="11"/>
  <c r="A43" i="11"/>
  <c r="AV42" i="11"/>
  <c r="AU42" i="11"/>
  <c r="AT42" i="11"/>
  <c r="Y42" i="11"/>
  <c r="Z42" i="11" s="1"/>
  <c r="X42" i="11"/>
  <c r="U42" i="11"/>
  <c r="V42" i="11" s="1"/>
  <c r="W42" i="11" s="1"/>
  <c r="O42" i="11"/>
  <c r="P42" i="11" s="1"/>
  <c r="Q42" i="11" s="1"/>
  <c r="I42" i="11"/>
  <c r="J42" i="11" s="1"/>
  <c r="K42" i="11" s="1"/>
  <c r="C42" i="11"/>
  <c r="B42" i="11"/>
  <c r="A42" i="11"/>
  <c r="AV41" i="11"/>
  <c r="AU41" i="11"/>
  <c r="AT41" i="11"/>
  <c r="Y41" i="11"/>
  <c r="Z41" i="11" s="1"/>
  <c r="X41" i="11"/>
  <c r="U41" i="11"/>
  <c r="V41" i="11" s="1"/>
  <c r="W41" i="11" s="1"/>
  <c r="O41" i="11"/>
  <c r="P41" i="11" s="1"/>
  <c r="Q41" i="11" s="1"/>
  <c r="I41" i="11"/>
  <c r="J41" i="11" s="1"/>
  <c r="K41" i="11" s="1"/>
  <c r="C41" i="11"/>
  <c r="B41" i="11"/>
  <c r="A41" i="11"/>
  <c r="AV40" i="11"/>
  <c r="AU40" i="11"/>
  <c r="AT40" i="11"/>
  <c r="Y40" i="11"/>
  <c r="Z40" i="11" s="1"/>
  <c r="X40" i="11"/>
  <c r="U40" i="11"/>
  <c r="V40" i="11" s="1"/>
  <c r="W40" i="11" s="1"/>
  <c r="O40" i="11"/>
  <c r="P40" i="11" s="1"/>
  <c r="Q40" i="11" s="1"/>
  <c r="I40" i="11"/>
  <c r="J40" i="11" s="1"/>
  <c r="K40" i="11" s="1"/>
  <c r="C40" i="11"/>
  <c r="B40" i="11"/>
  <c r="A40" i="11"/>
  <c r="AV39" i="11"/>
  <c r="AU39" i="11"/>
  <c r="AT39" i="11"/>
  <c r="Y39" i="11"/>
  <c r="N40" i="6" s="1"/>
  <c r="X39" i="11"/>
  <c r="U39" i="11"/>
  <c r="V39" i="11" s="1"/>
  <c r="W39" i="11" s="1"/>
  <c r="O39" i="11"/>
  <c r="P39" i="11" s="1"/>
  <c r="Q39" i="11" s="1"/>
  <c r="I39" i="11"/>
  <c r="J39" i="11" s="1"/>
  <c r="K39" i="11" s="1"/>
  <c r="C39" i="11"/>
  <c r="B39" i="11"/>
  <c r="A39" i="11"/>
  <c r="AV38" i="11"/>
  <c r="AU38" i="11"/>
  <c r="AT38" i="11"/>
  <c r="Y38" i="11"/>
  <c r="Z38" i="11" s="1"/>
  <c r="X38" i="11"/>
  <c r="U38" i="11"/>
  <c r="V38" i="11" s="1"/>
  <c r="W38" i="11" s="1"/>
  <c r="O38" i="11"/>
  <c r="P38" i="11" s="1"/>
  <c r="Q38" i="11" s="1"/>
  <c r="I38" i="11"/>
  <c r="J38" i="11" s="1"/>
  <c r="K38" i="11" s="1"/>
  <c r="C38" i="11"/>
  <c r="B38" i="11"/>
  <c r="A38" i="11"/>
  <c r="AV37" i="11"/>
  <c r="AU37" i="11"/>
  <c r="AT37" i="11"/>
  <c r="Y37" i="11"/>
  <c r="Z37" i="11" s="1"/>
  <c r="X37" i="11"/>
  <c r="U37" i="11"/>
  <c r="V37" i="11" s="1"/>
  <c r="W37" i="11" s="1"/>
  <c r="O37" i="11"/>
  <c r="P37" i="11" s="1"/>
  <c r="Q37" i="11" s="1"/>
  <c r="I37" i="11"/>
  <c r="J37" i="11" s="1"/>
  <c r="K37" i="11" s="1"/>
  <c r="C37" i="11"/>
  <c r="B37" i="11"/>
  <c r="A37" i="11"/>
  <c r="AV36" i="11"/>
  <c r="AU36" i="11"/>
  <c r="AT36" i="11"/>
  <c r="Y36" i="11"/>
  <c r="Z36" i="11" s="1"/>
  <c r="X36" i="11"/>
  <c r="U36" i="11"/>
  <c r="V36" i="11" s="1"/>
  <c r="W36" i="11" s="1"/>
  <c r="O36" i="11"/>
  <c r="P36" i="11" s="1"/>
  <c r="Q36" i="11" s="1"/>
  <c r="I36" i="11"/>
  <c r="J36" i="11" s="1"/>
  <c r="K36" i="11" s="1"/>
  <c r="C36" i="11"/>
  <c r="B36" i="11"/>
  <c r="A36" i="11"/>
  <c r="AV35" i="11"/>
  <c r="AU35" i="11"/>
  <c r="AT35" i="11"/>
  <c r="Y35" i="11"/>
  <c r="Z35" i="11" s="1"/>
  <c r="X35" i="11"/>
  <c r="U35" i="11"/>
  <c r="V35" i="11" s="1"/>
  <c r="W35" i="11" s="1"/>
  <c r="O35" i="11"/>
  <c r="P35" i="11" s="1"/>
  <c r="Q35" i="11" s="1"/>
  <c r="I35" i="11"/>
  <c r="J35" i="11" s="1"/>
  <c r="K35" i="11" s="1"/>
  <c r="C35" i="11"/>
  <c r="B35" i="11"/>
  <c r="A35" i="11"/>
  <c r="AV34" i="11"/>
  <c r="AU34" i="11"/>
  <c r="AT34" i="11"/>
  <c r="Y34" i="11"/>
  <c r="Z34" i="11" s="1"/>
  <c r="X34" i="11"/>
  <c r="U34" i="11"/>
  <c r="V34" i="11" s="1"/>
  <c r="W34" i="11" s="1"/>
  <c r="O34" i="11"/>
  <c r="P34" i="11" s="1"/>
  <c r="Q34" i="11" s="1"/>
  <c r="I34" i="11"/>
  <c r="J34" i="11" s="1"/>
  <c r="K34" i="11" s="1"/>
  <c r="C34" i="11"/>
  <c r="B34" i="11"/>
  <c r="A34" i="11"/>
  <c r="AV33" i="11"/>
  <c r="AU33" i="11"/>
  <c r="AT33" i="11"/>
  <c r="AE33" i="11"/>
  <c r="AD33" i="11"/>
  <c r="AC33" i="11"/>
  <c r="Y33" i="11"/>
  <c r="Z33" i="11" s="1"/>
  <c r="X33" i="11"/>
  <c r="U33" i="11"/>
  <c r="V33" i="11" s="1"/>
  <c r="W33" i="11" s="1"/>
  <c r="O33" i="11"/>
  <c r="P33" i="11" s="1"/>
  <c r="Q33" i="11" s="1"/>
  <c r="I33" i="11"/>
  <c r="J33" i="11" s="1"/>
  <c r="K33" i="11" s="1"/>
  <c r="C33" i="11"/>
  <c r="B33" i="11"/>
  <c r="A33" i="11"/>
  <c r="AV32" i="11"/>
  <c r="AU32" i="11"/>
  <c r="AT32" i="11"/>
  <c r="AE32" i="11"/>
  <c r="AD32" i="11"/>
  <c r="AC32" i="11"/>
  <c r="Y32" i="11"/>
  <c r="Z32" i="11" s="1"/>
  <c r="X32" i="11"/>
  <c r="U32" i="11"/>
  <c r="V32" i="11" s="1"/>
  <c r="W32" i="11" s="1"/>
  <c r="O32" i="11"/>
  <c r="P32" i="11" s="1"/>
  <c r="Q32" i="11" s="1"/>
  <c r="I32" i="11"/>
  <c r="J32" i="11" s="1"/>
  <c r="K32" i="11" s="1"/>
  <c r="C32" i="11"/>
  <c r="B32" i="11"/>
  <c r="A32" i="11"/>
  <c r="AV31" i="11"/>
  <c r="AU31" i="11"/>
  <c r="AT31" i="11"/>
  <c r="AE31" i="11"/>
  <c r="AD31" i="11"/>
  <c r="AC31" i="11"/>
  <c r="Y31" i="11"/>
  <c r="Z31" i="11" s="1"/>
  <c r="X31" i="11"/>
  <c r="U31" i="11"/>
  <c r="V31" i="11" s="1"/>
  <c r="W31" i="11" s="1"/>
  <c r="O31" i="11"/>
  <c r="P31" i="11" s="1"/>
  <c r="Q31" i="11" s="1"/>
  <c r="I31" i="11"/>
  <c r="J31" i="11" s="1"/>
  <c r="K31" i="11" s="1"/>
  <c r="C31" i="11"/>
  <c r="B31" i="11"/>
  <c r="A31" i="11"/>
  <c r="AV30" i="11"/>
  <c r="AU30" i="11"/>
  <c r="AT30" i="11"/>
  <c r="Y30" i="11"/>
  <c r="Z30" i="11" s="1"/>
  <c r="X30" i="11"/>
  <c r="U30" i="11"/>
  <c r="V30" i="11" s="1"/>
  <c r="W30" i="11" s="1"/>
  <c r="O30" i="11"/>
  <c r="P30" i="11" s="1"/>
  <c r="Q30" i="11" s="1"/>
  <c r="I30" i="11"/>
  <c r="J30" i="11" s="1"/>
  <c r="K30" i="11" s="1"/>
  <c r="C30" i="11"/>
  <c r="B30" i="11"/>
  <c r="A30" i="11"/>
  <c r="AV29" i="11"/>
  <c r="AU29" i="11"/>
  <c r="AT29" i="11"/>
  <c r="Y29" i="11"/>
  <c r="Z29" i="11" s="1"/>
  <c r="X29" i="11"/>
  <c r="U29" i="11"/>
  <c r="V29" i="11" s="1"/>
  <c r="W29" i="11" s="1"/>
  <c r="O29" i="11"/>
  <c r="P29" i="11" s="1"/>
  <c r="Q29" i="11" s="1"/>
  <c r="I29" i="11"/>
  <c r="J29" i="11" s="1"/>
  <c r="K29" i="11" s="1"/>
  <c r="C29" i="11"/>
  <c r="B29" i="11"/>
  <c r="A29" i="11"/>
  <c r="AV28" i="11"/>
  <c r="AU28" i="11"/>
  <c r="AT28" i="11"/>
  <c r="Y28" i="11"/>
  <c r="Z28" i="11" s="1"/>
  <c r="X28" i="11"/>
  <c r="U28" i="11"/>
  <c r="V28" i="11" s="1"/>
  <c r="W28" i="11" s="1"/>
  <c r="O28" i="11"/>
  <c r="P28" i="11" s="1"/>
  <c r="Q28" i="11" s="1"/>
  <c r="I28" i="11"/>
  <c r="J28" i="11" s="1"/>
  <c r="K28" i="11" s="1"/>
  <c r="C28" i="11"/>
  <c r="B28" i="11"/>
  <c r="A28" i="11"/>
  <c r="AV27" i="11"/>
  <c r="AU27" i="11"/>
  <c r="AT27" i="11"/>
  <c r="AE27" i="11"/>
  <c r="AD27" i="11"/>
  <c r="AC27" i="11"/>
  <c r="Y27" i="11"/>
  <c r="Z27" i="11" s="1"/>
  <c r="X27" i="11"/>
  <c r="U27" i="11"/>
  <c r="V27" i="11" s="1"/>
  <c r="W27" i="11" s="1"/>
  <c r="O27" i="11"/>
  <c r="P27" i="11" s="1"/>
  <c r="Q27" i="11" s="1"/>
  <c r="I27" i="11"/>
  <c r="J27" i="11" s="1"/>
  <c r="K27" i="11" s="1"/>
  <c r="C27" i="11"/>
  <c r="B27" i="11"/>
  <c r="A27" i="11"/>
  <c r="AV26" i="11"/>
  <c r="AU26" i="11"/>
  <c r="AT26" i="11"/>
  <c r="AE26" i="11"/>
  <c r="AD26" i="11"/>
  <c r="AC26" i="11"/>
  <c r="Y26" i="11"/>
  <c r="Z26" i="11" s="1"/>
  <c r="X26" i="11"/>
  <c r="U26" i="11"/>
  <c r="V26" i="11" s="1"/>
  <c r="W26" i="11" s="1"/>
  <c r="O26" i="11"/>
  <c r="P26" i="11" s="1"/>
  <c r="Q26" i="11" s="1"/>
  <c r="I26" i="11"/>
  <c r="J26" i="11" s="1"/>
  <c r="K26" i="11" s="1"/>
  <c r="C26" i="11"/>
  <c r="B26" i="11"/>
  <c r="A26" i="11"/>
  <c r="AV25" i="11"/>
  <c r="AU25" i="11"/>
  <c r="AT25" i="11"/>
  <c r="AE25" i="11"/>
  <c r="AD25" i="11"/>
  <c r="AC25" i="11"/>
  <c r="Y25" i="11"/>
  <c r="Z25" i="11" s="1"/>
  <c r="X25" i="11"/>
  <c r="U25" i="11"/>
  <c r="V25" i="11" s="1"/>
  <c r="W25" i="11" s="1"/>
  <c r="O25" i="11"/>
  <c r="P25" i="11" s="1"/>
  <c r="Q25" i="11" s="1"/>
  <c r="I25" i="11"/>
  <c r="J25" i="11" s="1"/>
  <c r="K25" i="11" s="1"/>
  <c r="C25" i="11"/>
  <c r="B25" i="11"/>
  <c r="A25" i="11"/>
  <c r="AV24" i="11"/>
  <c r="AU24" i="11"/>
  <c r="AT24" i="11"/>
  <c r="Y24" i="11"/>
  <c r="Z24" i="11" s="1"/>
  <c r="X24" i="11"/>
  <c r="U24" i="11"/>
  <c r="V24" i="11" s="1"/>
  <c r="W24" i="11" s="1"/>
  <c r="O24" i="11"/>
  <c r="P24" i="11" s="1"/>
  <c r="Q24" i="11" s="1"/>
  <c r="I24" i="11"/>
  <c r="J24" i="11" s="1"/>
  <c r="K24" i="11" s="1"/>
  <c r="C24" i="11"/>
  <c r="B24" i="11"/>
  <c r="A24" i="11"/>
  <c r="AV23" i="11"/>
  <c r="AU23" i="11"/>
  <c r="AT23" i="11"/>
  <c r="Y23" i="11"/>
  <c r="Z23" i="11" s="1"/>
  <c r="X23" i="11"/>
  <c r="U23" i="11"/>
  <c r="V23" i="11" s="1"/>
  <c r="W23" i="11" s="1"/>
  <c r="O23" i="11"/>
  <c r="P23" i="11" s="1"/>
  <c r="Q23" i="11" s="1"/>
  <c r="I23" i="11"/>
  <c r="J23" i="11" s="1"/>
  <c r="K23" i="11" s="1"/>
  <c r="C23" i="11"/>
  <c r="B23" i="11"/>
  <c r="A23" i="11"/>
  <c r="AV22" i="11"/>
  <c r="AU22" i="11"/>
  <c r="AT22" i="11"/>
  <c r="Y22" i="11"/>
  <c r="Z22" i="11" s="1"/>
  <c r="X22" i="11"/>
  <c r="U22" i="11"/>
  <c r="V22" i="11" s="1"/>
  <c r="W22" i="11" s="1"/>
  <c r="O22" i="11"/>
  <c r="P22" i="11" s="1"/>
  <c r="Q22" i="11" s="1"/>
  <c r="I22" i="11"/>
  <c r="J22" i="11" s="1"/>
  <c r="K22" i="11" s="1"/>
  <c r="C22" i="11"/>
  <c r="B22" i="11"/>
  <c r="A22" i="11"/>
  <c r="AV21" i="11"/>
  <c r="AU21" i="11"/>
  <c r="AT21" i="11"/>
  <c r="Y21" i="11"/>
  <c r="Z21" i="11" s="1"/>
  <c r="X21" i="11"/>
  <c r="U21" i="11"/>
  <c r="V21" i="11" s="1"/>
  <c r="W21" i="11" s="1"/>
  <c r="O21" i="11"/>
  <c r="P21" i="11" s="1"/>
  <c r="Q21" i="11" s="1"/>
  <c r="I21" i="11"/>
  <c r="J21" i="11" s="1"/>
  <c r="K21" i="11" s="1"/>
  <c r="C21" i="11"/>
  <c r="B21" i="11"/>
  <c r="A21" i="11"/>
  <c r="AV20" i="11"/>
  <c r="AU20" i="11"/>
  <c r="AT20" i="11"/>
  <c r="Y20" i="11"/>
  <c r="Z20" i="11" s="1"/>
  <c r="X20" i="11"/>
  <c r="U20" i="11"/>
  <c r="V20" i="11" s="1"/>
  <c r="W20" i="11" s="1"/>
  <c r="O20" i="11"/>
  <c r="P20" i="11" s="1"/>
  <c r="Q20" i="11" s="1"/>
  <c r="I20" i="11"/>
  <c r="J20" i="11" s="1"/>
  <c r="K20" i="11" s="1"/>
  <c r="C20" i="11"/>
  <c r="B20" i="11"/>
  <c r="A20" i="11"/>
  <c r="AV19" i="11"/>
  <c r="AU19" i="11"/>
  <c r="AT19" i="11"/>
  <c r="Y19" i="11"/>
  <c r="Z19" i="11" s="1"/>
  <c r="X19" i="11"/>
  <c r="U19" i="11"/>
  <c r="V19" i="11" s="1"/>
  <c r="W19" i="11" s="1"/>
  <c r="O19" i="11"/>
  <c r="P19" i="11" s="1"/>
  <c r="Q19" i="11" s="1"/>
  <c r="I19" i="11"/>
  <c r="J19" i="11" s="1"/>
  <c r="K19" i="11" s="1"/>
  <c r="C19" i="11"/>
  <c r="B19" i="11"/>
  <c r="A19" i="11"/>
  <c r="AV18" i="11"/>
  <c r="AU18" i="11"/>
  <c r="AT18" i="11"/>
  <c r="Y18" i="11"/>
  <c r="Z18" i="11" s="1"/>
  <c r="X18" i="11"/>
  <c r="U18" i="11"/>
  <c r="V18" i="11" s="1"/>
  <c r="W18" i="11" s="1"/>
  <c r="O18" i="11"/>
  <c r="P18" i="11" s="1"/>
  <c r="Q18" i="11" s="1"/>
  <c r="I18" i="11"/>
  <c r="J18" i="11" s="1"/>
  <c r="K18" i="11" s="1"/>
  <c r="C18" i="11"/>
  <c r="B18" i="11"/>
  <c r="A18" i="11"/>
  <c r="AV17" i="11"/>
  <c r="AU17" i="11"/>
  <c r="AT17" i="11"/>
  <c r="Y17" i="11"/>
  <c r="Z17" i="11" s="1"/>
  <c r="X17" i="11"/>
  <c r="U17" i="11"/>
  <c r="V17" i="11" s="1"/>
  <c r="W17" i="11" s="1"/>
  <c r="O17" i="11"/>
  <c r="P17" i="11" s="1"/>
  <c r="Q17" i="11" s="1"/>
  <c r="I17" i="11"/>
  <c r="J17" i="11" s="1"/>
  <c r="K17" i="11" s="1"/>
  <c r="C17" i="11"/>
  <c r="B17" i="11"/>
  <c r="A17" i="11"/>
  <c r="AV16" i="11"/>
  <c r="AU16" i="11"/>
  <c r="AT16" i="11"/>
  <c r="AE16" i="11"/>
  <c r="AD16" i="11"/>
  <c r="AC16" i="11"/>
  <c r="Y16" i="11"/>
  <c r="Z16" i="11" s="1"/>
  <c r="X16" i="11"/>
  <c r="U16" i="11"/>
  <c r="V16" i="11" s="1"/>
  <c r="W16" i="11" s="1"/>
  <c r="O16" i="11"/>
  <c r="P16" i="11" s="1"/>
  <c r="Q16" i="11" s="1"/>
  <c r="I16" i="11"/>
  <c r="J16" i="11" s="1"/>
  <c r="K16" i="11" s="1"/>
  <c r="C16" i="11"/>
  <c r="B16" i="11"/>
  <c r="A16" i="11"/>
  <c r="AV15" i="11"/>
  <c r="AU15" i="11"/>
  <c r="AT15" i="11"/>
  <c r="AE15" i="11"/>
  <c r="AD15" i="11"/>
  <c r="AC15" i="11"/>
  <c r="Y15" i="11"/>
  <c r="Z15" i="11" s="1"/>
  <c r="X15" i="11"/>
  <c r="U15" i="11"/>
  <c r="V15" i="11" s="1"/>
  <c r="W15" i="11" s="1"/>
  <c r="O15" i="11"/>
  <c r="P15" i="11" s="1"/>
  <c r="Q15" i="11" s="1"/>
  <c r="I15" i="11"/>
  <c r="J15" i="11" s="1"/>
  <c r="K15" i="11" s="1"/>
  <c r="C15" i="11"/>
  <c r="B15" i="11"/>
  <c r="A15" i="11"/>
  <c r="AV14" i="11"/>
  <c r="AU14" i="11"/>
  <c r="AT14" i="11"/>
  <c r="Y14" i="11"/>
  <c r="Z14" i="11" s="1"/>
  <c r="X14" i="11"/>
  <c r="U14" i="11"/>
  <c r="V14" i="11" s="1"/>
  <c r="W14" i="11" s="1"/>
  <c r="O14" i="11"/>
  <c r="P14" i="11" s="1"/>
  <c r="Q14" i="11" s="1"/>
  <c r="I14" i="11"/>
  <c r="J14" i="11" s="1"/>
  <c r="K14" i="11" s="1"/>
  <c r="C14" i="11"/>
  <c r="B14" i="11"/>
  <c r="A14" i="11"/>
  <c r="AV13" i="11"/>
  <c r="AU13" i="11"/>
  <c r="AT13" i="11"/>
  <c r="U13" i="11"/>
  <c r="Y13" i="11" s="1"/>
  <c r="Z13" i="11" s="1"/>
  <c r="O13" i="11"/>
  <c r="P13" i="11" s="1"/>
  <c r="Q13" i="11" s="1"/>
  <c r="I13" i="11"/>
  <c r="J13" i="11" s="1"/>
  <c r="K13" i="11" s="1"/>
  <c r="C13" i="11"/>
  <c r="B13" i="11"/>
  <c r="A13" i="11"/>
  <c r="W10" i="11"/>
  <c r="U10" i="11" a="1"/>
  <c r="U10" i="11" s="1"/>
  <c r="Q10" i="11"/>
  <c r="O10" i="11"/>
  <c r="K10" i="11"/>
  <c r="I10" i="11"/>
  <c r="R8" i="11"/>
  <c r="L8" i="11"/>
  <c r="D8" i="11"/>
  <c r="U7" i="11"/>
  <c r="O7" i="11"/>
  <c r="I7" i="11"/>
  <c r="W5" i="11"/>
  <c r="P5" i="11"/>
  <c r="D5" i="11"/>
  <c r="I4" i="11"/>
  <c r="D4" i="11"/>
  <c r="B2" i="11"/>
  <c r="O1" i="11"/>
  <c r="AV114" i="10"/>
  <c r="AU114" i="10"/>
  <c r="AT114" i="10"/>
  <c r="Y114" i="10"/>
  <c r="Z114" i="10" s="1"/>
  <c r="X114" i="10"/>
  <c r="U114" i="10"/>
  <c r="V114" i="10" s="1"/>
  <c r="W114" i="10" s="1"/>
  <c r="O114" i="10"/>
  <c r="P114" i="10" s="1"/>
  <c r="Q114" i="10" s="1"/>
  <c r="I114" i="10"/>
  <c r="J114" i="10" s="1"/>
  <c r="K114" i="10" s="1"/>
  <c r="AV113" i="10"/>
  <c r="AU113" i="10"/>
  <c r="AT113" i="10"/>
  <c r="Y113" i="10"/>
  <c r="Z113" i="10" s="1"/>
  <c r="X113" i="10"/>
  <c r="U113" i="10"/>
  <c r="V113" i="10" s="1"/>
  <c r="W113" i="10" s="1"/>
  <c r="O113" i="10"/>
  <c r="P113" i="10" s="1"/>
  <c r="Q113" i="10" s="1"/>
  <c r="I113" i="10"/>
  <c r="J113" i="10" s="1"/>
  <c r="K113" i="10" s="1"/>
  <c r="C113" i="10"/>
  <c r="B113" i="10"/>
  <c r="A113" i="10"/>
  <c r="AV112" i="10"/>
  <c r="AU112" i="10"/>
  <c r="AT112" i="10"/>
  <c r="Y112" i="10"/>
  <c r="Z112" i="10" s="1"/>
  <c r="X112" i="10"/>
  <c r="U112" i="10"/>
  <c r="V112" i="10" s="1"/>
  <c r="W112" i="10" s="1"/>
  <c r="O112" i="10"/>
  <c r="P112" i="10" s="1"/>
  <c r="Q112" i="10" s="1"/>
  <c r="I112" i="10"/>
  <c r="J112" i="10" s="1"/>
  <c r="K112" i="10" s="1"/>
  <c r="C112" i="10"/>
  <c r="B112" i="10"/>
  <c r="A112" i="10"/>
  <c r="AV111" i="10"/>
  <c r="AU111" i="10"/>
  <c r="AT111" i="10"/>
  <c r="Y111" i="10"/>
  <c r="Z111" i="10" s="1"/>
  <c r="X111" i="10"/>
  <c r="U111" i="10"/>
  <c r="V111" i="10" s="1"/>
  <c r="W111" i="10" s="1"/>
  <c r="O111" i="10"/>
  <c r="P111" i="10" s="1"/>
  <c r="Q111" i="10" s="1"/>
  <c r="I111" i="10"/>
  <c r="J111" i="10" s="1"/>
  <c r="K111" i="10" s="1"/>
  <c r="C111" i="10"/>
  <c r="B111" i="10"/>
  <c r="A111" i="10"/>
  <c r="AV110" i="10"/>
  <c r="AU110" i="10"/>
  <c r="AT110" i="10"/>
  <c r="Y110" i="10"/>
  <c r="Z110" i="10" s="1"/>
  <c r="X110" i="10"/>
  <c r="U110" i="10"/>
  <c r="V110" i="10" s="1"/>
  <c r="W110" i="10" s="1"/>
  <c r="O110" i="10"/>
  <c r="P110" i="10" s="1"/>
  <c r="Q110" i="10" s="1"/>
  <c r="I110" i="10"/>
  <c r="J110" i="10" s="1"/>
  <c r="K110" i="10" s="1"/>
  <c r="C110" i="10"/>
  <c r="B110" i="10"/>
  <c r="A110" i="10"/>
  <c r="AV109" i="10"/>
  <c r="AU109" i="10"/>
  <c r="AT109" i="10"/>
  <c r="Y109" i="10"/>
  <c r="Z109" i="10" s="1"/>
  <c r="X109" i="10"/>
  <c r="U109" i="10"/>
  <c r="V109" i="10" s="1"/>
  <c r="W109" i="10" s="1"/>
  <c r="O109" i="10"/>
  <c r="P109" i="10" s="1"/>
  <c r="Q109" i="10" s="1"/>
  <c r="I109" i="10"/>
  <c r="J109" i="10" s="1"/>
  <c r="K109" i="10" s="1"/>
  <c r="C109" i="10"/>
  <c r="B109" i="10"/>
  <c r="A109" i="10"/>
  <c r="AV108" i="10"/>
  <c r="AU108" i="10"/>
  <c r="AT108" i="10"/>
  <c r="Y108" i="10"/>
  <c r="Z108" i="10" s="1"/>
  <c r="X108" i="10"/>
  <c r="U108" i="10"/>
  <c r="V108" i="10" s="1"/>
  <c r="W108" i="10" s="1"/>
  <c r="O108" i="10"/>
  <c r="P108" i="10" s="1"/>
  <c r="Q108" i="10" s="1"/>
  <c r="I108" i="10"/>
  <c r="J108" i="10" s="1"/>
  <c r="K108" i="10" s="1"/>
  <c r="C108" i="10"/>
  <c r="B108" i="10"/>
  <c r="A108" i="10"/>
  <c r="AV107" i="10"/>
  <c r="AU107" i="10"/>
  <c r="AT107" i="10"/>
  <c r="Y107" i="10"/>
  <c r="Z107" i="10" s="1"/>
  <c r="X107" i="10"/>
  <c r="U107" i="10"/>
  <c r="V107" i="10" s="1"/>
  <c r="W107" i="10" s="1"/>
  <c r="O107" i="10"/>
  <c r="P107" i="10" s="1"/>
  <c r="Q107" i="10" s="1"/>
  <c r="I107" i="10"/>
  <c r="J107" i="10" s="1"/>
  <c r="K107" i="10" s="1"/>
  <c r="C107" i="10"/>
  <c r="B107" i="10"/>
  <c r="A107" i="10"/>
  <c r="AV106" i="10"/>
  <c r="AU106" i="10"/>
  <c r="AT106" i="10"/>
  <c r="Y106" i="10"/>
  <c r="Z106" i="10" s="1"/>
  <c r="X106" i="10"/>
  <c r="U106" i="10"/>
  <c r="V106" i="10" s="1"/>
  <c r="W106" i="10" s="1"/>
  <c r="O106" i="10"/>
  <c r="P106" i="10" s="1"/>
  <c r="Q106" i="10" s="1"/>
  <c r="I106" i="10"/>
  <c r="J106" i="10" s="1"/>
  <c r="K106" i="10" s="1"/>
  <c r="C106" i="10"/>
  <c r="B106" i="10"/>
  <c r="A106" i="10"/>
  <c r="AV105" i="10"/>
  <c r="AU105" i="10"/>
  <c r="AT105" i="10"/>
  <c r="Y105" i="10"/>
  <c r="Z105" i="10" s="1"/>
  <c r="X105" i="10"/>
  <c r="U105" i="10"/>
  <c r="V105" i="10" s="1"/>
  <c r="W105" i="10" s="1"/>
  <c r="O105" i="10"/>
  <c r="P105" i="10" s="1"/>
  <c r="Q105" i="10" s="1"/>
  <c r="I105" i="10"/>
  <c r="J105" i="10" s="1"/>
  <c r="K105" i="10" s="1"/>
  <c r="C105" i="10"/>
  <c r="B105" i="10"/>
  <c r="A105" i="10"/>
  <c r="AV104" i="10"/>
  <c r="AU104" i="10"/>
  <c r="AT104" i="10"/>
  <c r="Y104" i="10"/>
  <c r="Z104" i="10" s="1"/>
  <c r="X104" i="10"/>
  <c r="U104" i="10"/>
  <c r="V104" i="10" s="1"/>
  <c r="W104" i="10" s="1"/>
  <c r="O104" i="10"/>
  <c r="P104" i="10" s="1"/>
  <c r="Q104" i="10" s="1"/>
  <c r="I104" i="10"/>
  <c r="J104" i="10" s="1"/>
  <c r="K104" i="10" s="1"/>
  <c r="C104" i="10"/>
  <c r="B104" i="10"/>
  <c r="A104" i="10"/>
  <c r="AV103" i="10"/>
  <c r="AU103" i="10"/>
  <c r="AT103" i="10"/>
  <c r="Y103" i="10"/>
  <c r="Z103" i="10" s="1"/>
  <c r="X103" i="10"/>
  <c r="U103" i="10"/>
  <c r="V103" i="10" s="1"/>
  <c r="W103" i="10" s="1"/>
  <c r="O103" i="10"/>
  <c r="P103" i="10" s="1"/>
  <c r="Q103" i="10" s="1"/>
  <c r="I103" i="10"/>
  <c r="J103" i="10" s="1"/>
  <c r="K103" i="10" s="1"/>
  <c r="C103" i="10"/>
  <c r="B103" i="10"/>
  <c r="A103" i="10"/>
  <c r="AV102" i="10"/>
  <c r="AU102" i="10"/>
  <c r="AT102" i="10"/>
  <c r="Y102" i="10"/>
  <c r="Z102" i="10" s="1"/>
  <c r="X102" i="10"/>
  <c r="U102" i="10"/>
  <c r="V102" i="10" s="1"/>
  <c r="W102" i="10" s="1"/>
  <c r="O102" i="10"/>
  <c r="P102" i="10" s="1"/>
  <c r="Q102" i="10" s="1"/>
  <c r="I102" i="10"/>
  <c r="J102" i="10" s="1"/>
  <c r="K102" i="10" s="1"/>
  <c r="C102" i="10"/>
  <c r="B102" i="10"/>
  <c r="A102" i="10"/>
  <c r="AV101" i="10"/>
  <c r="AU101" i="10"/>
  <c r="AT101" i="10"/>
  <c r="Y101" i="10"/>
  <c r="Z101" i="10" s="1"/>
  <c r="X101" i="10"/>
  <c r="U101" i="10"/>
  <c r="V101" i="10" s="1"/>
  <c r="W101" i="10" s="1"/>
  <c r="O101" i="10"/>
  <c r="P101" i="10" s="1"/>
  <c r="Q101" i="10" s="1"/>
  <c r="I101" i="10"/>
  <c r="J101" i="10" s="1"/>
  <c r="K101" i="10" s="1"/>
  <c r="C101" i="10"/>
  <c r="B101" i="10"/>
  <c r="A101" i="10"/>
  <c r="AV100" i="10"/>
  <c r="AU100" i="10"/>
  <c r="AT100" i="10"/>
  <c r="Y100" i="10"/>
  <c r="Z100" i="10" s="1"/>
  <c r="X100" i="10"/>
  <c r="U100" i="10"/>
  <c r="V100" i="10" s="1"/>
  <c r="W100" i="10" s="1"/>
  <c r="O100" i="10"/>
  <c r="P100" i="10" s="1"/>
  <c r="Q100" i="10" s="1"/>
  <c r="I100" i="10"/>
  <c r="J100" i="10" s="1"/>
  <c r="K100" i="10" s="1"/>
  <c r="C100" i="10"/>
  <c r="B100" i="10"/>
  <c r="A100" i="10"/>
  <c r="AV99" i="10"/>
  <c r="AU99" i="10"/>
  <c r="AT99" i="10"/>
  <c r="Y99" i="10"/>
  <c r="Z99" i="10" s="1"/>
  <c r="X99" i="10"/>
  <c r="U99" i="10"/>
  <c r="V99" i="10" s="1"/>
  <c r="W99" i="10" s="1"/>
  <c r="O99" i="10"/>
  <c r="P99" i="10" s="1"/>
  <c r="Q99" i="10" s="1"/>
  <c r="I99" i="10"/>
  <c r="J99" i="10" s="1"/>
  <c r="K99" i="10" s="1"/>
  <c r="C99" i="10"/>
  <c r="B99" i="10"/>
  <c r="A99" i="10"/>
  <c r="AV98" i="10"/>
  <c r="AU98" i="10"/>
  <c r="AT98" i="10"/>
  <c r="Y98" i="10"/>
  <c r="Z98" i="10" s="1"/>
  <c r="X98" i="10"/>
  <c r="U98" i="10"/>
  <c r="V98" i="10" s="1"/>
  <c r="W98" i="10" s="1"/>
  <c r="O98" i="10"/>
  <c r="P98" i="10" s="1"/>
  <c r="Q98" i="10" s="1"/>
  <c r="I98" i="10"/>
  <c r="J98" i="10" s="1"/>
  <c r="K98" i="10" s="1"/>
  <c r="C98" i="10"/>
  <c r="B98" i="10"/>
  <c r="A98" i="10"/>
  <c r="AV97" i="10"/>
  <c r="AU97" i="10"/>
  <c r="AT97" i="10"/>
  <c r="Y97" i="10"/>
  <c r="Z97" i="10" s="1"/>
  <c r="X97" i="10"/>
  <c r="U97" i="10"/>
  <c r="V97" i="10" s="1"/>
  <c r="W97" i="10" s="1"/>
  <c r="O97" i="10"/>
  <c r="P97" i="10" s="1"/>
  <c r="Q97" i="10" s="1"/>
  <c r="I97" i="10"/>
  <c r="J97" i="10" s="1"/>
  <c r="K97" i="10" s="1"/>
  <c r="C97" i="10"/>
  <c r="B97" i="10"/>
  <c r="A97" i="10"/>
  <c r="AV96" i="10"/>
  <c r="AU96" i="10"/>
  <c r="AT96" i="10"/>
  <c r="Y96" i="10"/>
  <c r="Z96" i="10" s="1"/>
  <c r="X96" i="10"/>
  <c r="U96" i="10"/>
  <c r="V96" i="10" s="1"/>
  <c r="W96" i="10" s="1"/>
  <c r="O96" i="10"/>
  <c r="P96" i="10" s="1"/>
  <c r="Q96" i="10" s="1"/>
  <c r="I96" i="10"/>
  <c r="J96" i="10" s="1"/>
  <c r="K96" i="10" s="1"/>
  <c r="C96" i="10"/>
  <c r="B96" i="10"/>
  <c r="A96" i="10"/>
  <c r="AV95" i="10"/>
  <c r="AU95" i="10"/>
  <c r="AT95" i="10"/>
  <c r="Y95" i="10"/>
  <c r="Z95" i="10" s="1"/>
  <c r="X95" i="10"/>
  <c r="U95" i="10"/>
  <c r="V95" i="10" s="1"/>
  <c r="W95" i="10" s="1"/>
  <c r="O95" i="10"/>
  <c r="P95" i="10" s="1"/>
  <c r="Q95" i="10" s="1"/>
  <c r="I95" i="10"/>
  <c r="J95" i="10" s="1"/>
  <c r="K95" i="10" s="1"/>
  <c r="C95" i="10"/>
  <c r="B95" i="10"/>
  <c r="A95" i="10"/>
  <c r="AV94" i="10"/>
  <c r="AU94" i="10"/>
  <c r="AT94" i="10"/>
  <c r="Y94" i="10"/>
  <c r="Z94" i="10" s="1"/>
  <c r="X94" i="10"/>
  <c r="U94" i="10"/>
  <c r="V94" i="10" s="1"/>
  <c r="W94" i="10" s="1"/>
  <c r="O94" i="10"/>
  <c r="P94" i="10" s="1"/>
  <c r="Q94" i="10" s="1"/>
  <c r="I94" i="10"/>
  <c r="J94" i="10" s="1"/>
  <c r="K94" i="10" s="1"/>
  <c r="C94" i="10"/>
  <c r="B94" i="10"/>
  <c r="A94" i="10"/>
  <c r="AV93" i="10"/>
  <c r="AU93" i="10"/>
  <c r="AT93" i="10"/>
  <c r="Y93" i="10"/>
  <c r="Z93" i="10" s="1"/>
  <c r="X93" i="10"/>
  <c r="U93" i="10"/>
  <c r="V93" i="10" s="1"/>
  <c r="W93" i="10" s="1"/>
  <c r="O93" i="10"/>
  <c r="P93" i="10" s="1"/>
  <c r="Q93" i="10" s="1"/>
  <c r="I93" i="10"/>
  <c r="J93" i="10" s="1"/>
  <c r="K93" i="10" s="1"/>
  <c r="C93" i="10"/>
  <c r="B93" i="10"/>
  <c r="A93" i="10"/>
  <c r="AV92" i="10"/>
  <c r="AU92" i="10"/>
  <c r="AT92" i="10"/>
  <c r="Y92" i="10"/>
  <c r="Z92" i="10" s="1"/>
  <c r="X92" i="10"/>
  <c r="U92" i="10"/>
  <c r="V92" i="10" s="1"/>
  <c r="W92" i="10" s="1"/>
  <c r="O92" i="10"/>
  <c r="P92" i="10" s="1"/>
  <c r="Q92" i="10" s="1"/>
  <c r="I92" i="10"/>
  <c r="J92" i="10" s="1"/>
  <c r="K92" i="10" s="1"/>
  <c r="C92" i="10"/>
  <c r="B92" i="10"/>
  <c r="A92" i="10"/>
  <c r="AV91" i="10"/>
  <c r="AU91" i="10"/>
  <c r="AT91" i="10"/>
  <c r="Y91" i="10"/>
  <c r="Z91" i="10" s="1"/>
  <c r="X91" i="10"/>
  <c r="U91" i="10"/>
  <c r="V91" i="10" s="1"/>
  <c r="W91" i="10" s="1"/>
  <c r="O91" i="10"/>
  <c r="P91" i="10" s="1"/>
  <c r="Q91" i="10" s="1"/>
  <c r="I91" i="10"/>
  <c r="J91" i="10" s="1"/>
  <c r="K91" i="10" s="1"/>
  <c r="C91" i="10"/>
  <c r="B91" i="10"/>
  <c r="A91" i="10"/>
  <c r="AV90" i="10"/>
  <c r="AU90" i="10"/>
  <c r="AT90" i="10"/>
  <c r="Y90" i="10"/>
  <c r="Z90" i="10" s="1"/>
  <c r="X90" i="10"/>
  <c r="U90" i="10"/>
  <c r="V90" i="10" s="1"/>
  <c r="W90" i="10" s="1"/>
  <c r="O90" i="10"/>
  <c r="P90" i="10" s="1"/>
  <c r="Q90" i="10" s="1"/>
  <c r="I90" i="10"/>
  <c r="J90" i="10" s="1"/>
  <c r="K90" i="10" s="1"/>
  <c r="C90" i="10"/>
  <c r="B90" i="10"/>
  <c r="A90" i="10"/>
  <c r="AV89" i="10"/>
  <c r="AU89" i="10"/>
  <c r="AT89" i="10"/>
  <c r="Y89" i="10"/>
  <c r="Z89" i="10" s="1"/>
  <c r="X89" i="10"/>
  <c r="U89" i="10"/>
  <c r="V89" i="10" s="1"/>
  <c r="W89" i="10" s="1"/>
  <c r="O89" i="10"/>
  <c r="P89" i="10" s="1"/>
  <c r="Q89" i="10" s="1"/>
  <c r="I89" i="10"/>
  <c r="J89" i="10" s="1"/>
  <c r="K89" i="10" s="1"/>
  <c r="C89" i="10"/>
  <c r="B89" i="10"/>
  <c r="A89" i="10"/>
  <c r="AV88" i="10"/>
  <c r="AU88" i="10"/>
  <c r="AT88" i="10"/>
  <c r="Y88" i="10"/>
  <c r="Z88" i="10" s="1"/>
  <c r="X88" i="10"/>
  <c r="U88" i="10"/>
  <c r="V88" i="10" s="1"/>
  <c r="W88" i="10" s="1"/>
  <c r="O88" i="10"/>
  <c r="P88" i="10" s="1"/>
  <c r="Q88" i="10" s="1"/>
  <c r="I88" i="10"/>
  <c r="J88" i="10" s="1"/>
  <c r="K88" i="10" s="1"/>
  <c r="C88" i="10"/>
  <c r="B88" i="10"/>
  <c r="A88" i="10"/>
  <c r="AV87" i="10"/>
  <c r="AU87" i="10"/>
  <c r="AT87" i="10"/>
  <c r="Y87" i="10"/>
  <c r="Z87" i="10" s="1"/>
  <c r="X87" i="10"/>
  <c r="U87" i="10"/>
  <c r="V87" i="10" s="1"/>
  <c r="W87" i="10" s="1"/>
  <c r="O87" i="10"/>
  <c r="P87" i="10" s="1"/>
  <c r="Q87" i="10" s="1"/>
  <c r="I87" i="10"/>
  <c r="J87" i="10" s="1"/>
  <c r="K87" i="10" s="1"/>
  <c r="C87" i="10"/>
  <c r="B87" i="10"/>
  <c r="A87" i="10"/>
  <c r="AV86" i="10"/>
  <c r="AU86" i="10"/>
  <c r="AT86" i="10"/>
  <c r="Y86" i="10"/>
  <c r="Z86" i="10" s="1"/>
  <c r="X86" i="10"/>
  <c r="U86" i="10"/>
  <c r="V86" i="10" s="1"/>
  <c r="W86" i="10" s="1"/>
  <c r="O86" i="10"/>
  <c r="P86" i="10" s="1"/>
  <c r="Q86" i="10" s="1"/>
  <c r="I86" i="10"/>
  <c r="J86" i="10" s="1"/>
  <c r="K86" i="10" s="1"/>
  <c r="C86" i="10"/>
  <c r="B86" i="10"/>
  <c r="A86" i="10"/>
  <c r="AV85" i="10"/>
  <c r="AU85" i="10"/>
  <c r="AT85" i="10"/>
  <c r="Y85" i="10"/>
  <c r="Z85" i="10" s="1"/>
  <c r="X85" i="10"/>
  <c r="U85" i="10"/>
  <c r="V85" i="10" s="1"/>
  <c r="W85" i="10" s="1"/>
  <c r="O85" i="10"/>
  <c r="P85" i="10" s="1"/>
  <c r="Q85" i="10" s="1"/>
  <c r="I85" i="10"/>
  <c r="J85" i="10" s="1"/>
  <c r="K85" i="10" s="1"/>
  <c r="C85" i="10"/>
  <c r="B85" i="10"/>
  <c r="A85" i="10"/>
  <c r="AV84" i="10"/>
  <c r="AU84" i="10"/>
  <c r="AT84" i="10"/>
  <c r="Y84" i="10"/>
  <c r="Z84" i="10" s="1"/>
  <c r="X84" i="10"/>
  <c r="U84" i="10"/>
  <c r="V84" i="10" s="1"/>
  <c r="W84" i="10" s="1"/>
  <c r="O84" i="10"/>
  <c r="P84" i="10" s="1"/>
  <c r="Q84" i="10" s="1"/>
  <c r="I84" i="10"/>
  <c r="J84" i="10" s="1"/>
  <c r="K84" i="10" s="1"/>
  <c r="C84" i="10"/>
  <c r="B84" i="10"/>
  <c r="A84" i="10"/>
  <c r="AV83" i="10"/>
  <c r="AU83" i="10"/>
  <c r="AT83" i="10"/>
  <c r="Y83" i="10"/>
  <c r="Z83" i="10" s="1"/>
  <c r="X83" i="10"/>
  <c r="U83" i="10"/>
  <c r="V83" i="10" s="1"/>
  <c r="W83" i="10" s="1"/>
  <c r="O83" i="10"/>
  <c r="P83" i="10" s="1"/>
  <c r="Q83" i="10" s="1"/>
  <c r="I83" i="10"/>
  <c r="J83" i="10" s="1"/>
  <c r="K83" i="10" s="1"/>
  <c r="C83" i="10"/>
  <c r="B83" i="10"/>
  <c r="A83" i="10"/>
  <c r="AV82" i="10"/>
  <c r="AU82" i="10"/>
  <c r="AT82" i="10"/>
  <c r="Y82" i="10"/>
  <c r="Z82" i="10" s="1"/>
  <c r="X82" i="10"/>
  <c r="U82" i="10"/>
  <c r="V82" i="10" s="1"/>
  <c r="W82" i="10" s="1"/>
  <c r="O82" i="10"/>
  <c r="P82" i="10" s="1"/>
  <c r="Q82" i="10" s="1"/>
  <c r="I82" i="10"/>
  <c r="J82" i="10" s="1"/>
  <c r="K82" i="10" s="1"/>
  <c r="C82" i="10"/>
  <c r="B82" i="10"/>
  <c r="A82" i="10"/>
  <c r="AV81" i="10"/>
  <c r="AU81" i="10"/>
  <c r="AT81" i="10"/>
  <c r="Y81" i="10"/>
  <c r="Z81" i="10" s="1"/>
  <c r="X81" i="10"/>
  <c r="U81" i="10"/>
  <c r="V81" i="10" s="1"/>
  <c r="W81" i="10" s="1"/>
  <c r="O81" i="10"/>
  <c r="P81" i="10" s="1"/>
  <c r="Q81" i="10" s="1"/>
  <c r="I81" i="10"/>
  <c r="J81" i="10" s="1"/>
  <c r="K81" i="10" s="1"/>
  <c r="C81" i="10"/>
  <c r="B81" i="10"/>
  <c r="A81" i="10"/>
  <c r="AV80" i="10"/>
  <c r="AU80" i="10"/>
  <c r="AT80" i="10"/>
  <c r="Y80" i="10"/>
  <c r="Z80" i="10" s="1"/>
  <c r="X80" i="10"/>
  <c r="U80" i="10"/>
  <c r="V80" i="10" s="1"/>
  <c r="W80" i="10" s="1"/>
  <c r="O80" i="10"/>
  <c r="P80" i="10" s="1"/>
  <c r="Q80" i="10" s="1"/>
  <c r="I80" i="10"/>
  <c r="J80" i="10" s="1"/>
  <c r="K80" i="10" s="1"/>
  <c r="C80" i="10"/>
  <c r="B80" i="10"/>
  <c r="A80" i="10"/>
  <c r="AV79" i="10"/>
  <c r="AU79" i="10"/>
  <c r="AT79" i="10"/>
  <c r="Y79" i="10"/>
  <c r="Z79" i="10" s="1"/>
  <c r="X79" i="10"/>
  <c r="U79" i="10"/>
  <c r="V79" i="10" s="1"/>
  <c r="W79" i="10" s="1"/>
  <c r="O79" i="10"/>
  <c r="P79" i="10" s="1"/>
  <c r="Q79" i="10" s="1"/>
  <c r="I79" i="10"/>
  <c r="J79" i="10" s="1"/>
  <c r="K79" i="10" s="1"/>
  <c r="C79" i="10"/>
  <c r="B79" i="10"/>
  <c r="A79" i="10"/>
  <c r="AV78" i="10"/>
  <c r="AU78" i="10"/>
  <c r="AT78" i="10"/>
  <c r="Y78" i="10"/>
  <c r="Z78" i="10" s="1"/>
  <c r="X78" i="10"/>
  <c r="U78" i="10"/>
  <c r="V78" i="10" s="1"/>
  <c r="W78" i="10" s="1"/>
  <c r="O78" i="10"/>
  <c r="P78" i="10" s="1"/>
  <c r="Q78" i="10" s="1"/>
  <c r="I78" i="10"/>
  <c r="J78" i="10" s="1"/>
  <c r="K78" i="10" s="1"/>
  <c r="C78" i="10"/>
  <c r="B78" i="10"/>
  <c r="A78" i="10"/>
  <c r="AV77" i="10"/>
  <c r="AU77" i="10"/>
  <c r="AT77" i="10"/>
  <c r="Y77" i="10"/>
  <c r="Z77" i="10" s="1"/>
  <c r="X77" i="10"/>
  <c r="U77" i="10"/>
  <c r="V77" i="10" s="1"/>
  <c r="W77" i="10" s="1"/>
  <c r="O77" i="10"/>
  <c r="P77" i="10" s="1"/>
  <c r="Q77" i="10" s="1"/>
  <c r="I77" i="10"/>
  <c r="J77" i="10" s="1"/>
  <c r="K77" i="10" s="1"/>
  <c r="C77" i="10"/>
  <c r="B77" i="10"/>
  <c r="A77" i="10"/>
  <c r="AV76" i="10"/>
  <c r="AU76" i="10"/>
  <c r="AT76" i="10"/>
  <c r="Y76" i="10"/>
  <c r="Z76" i="10" s="1"/>
  <c r="X76" i="10"/>
  <c r="U76" i="10"/>
  <c r="V76" i="10" s="1"/>
  <c r="W76" i="10" s="1"/>
  <c r="O76" i="10"/>
  <c r="P76" i="10" s="1"/>
  <c r="Q76" i="10" s="1"/>
  <c r="I76" i="10"/>
  <c r="J76" i="10" s="1"/>
  <c r="K76" i="10" s="1"/>
  <c r="C76" i="10"/>
  <c r="B76" i="10"/>
  <c r="A76" i="10"/>
  <c r="AV75" i="10"/>
  <c r="AU75" i="10"/>
  <c r="AT75" i="10"/>
  <c r="Y75" i="10"/>
  <c r="Z75" i="10" s="1"/>
  <c r="X75" i="10"/>
  <c r="U75" i="10"/>
  <c r="V75" i="10" s="1"/>
  <c r="W75" i="10" s="1"/>
  <c r="O75" i="10"/>
  <c r="P75" i="10" s="1"/>
  <c r="Q75" i="10" s="1"/>
  <c r="I75" i="10"/>
  <c r="J75" i="10" s="1"/>
  <c r="K75" i="10" s="1"/>
  <c r="C75" i="10"/>
  <c r="B75" i="10"/>
  <c r="A75" i="10"/>
  <c r="AV74" i="10"/>
  <c r="AU74" i="10"/>
  <c r="AT74" i="10"/>
  <c r="Y74" i="10"/>
  <c r="Z74" i="10" s="1"/>
  <c r="X74" i="10"/>
  <c r="U74" i="10"/>
  <c r="V74" i="10" s="1"/>
  <c r="W74" i="10" s="1"/>
  <c r="O74" i="10"/>
  <c r="P74" i="10" s="1"/>
  <c r="Q74" i="10" s="1"/>
  <c r="I74" i="10"/>
  <c r="J74" i="10" s="1"/>
  <c r="K74" i="10" s="1"/>
  <c r="C74" i="10"/>
  <c r="B74" i="10"/>
  <c r="A74" i="10"/>
  <c r="AV73" i="10"/>
  <c r="AU73" i="10"/>
  <c r="AT73" i="10"/>
  <c r="Y73" i="10"/>
  <c r="Z73" i="10" s="1"/>
  <c r="X73" i="10"/>
  <c r="U73" i="10"/>
  <c r="V73" i="10" s="1"/>
  <c r="W73" i="10" s="1"/>
  <c r="O73" i="10"/>
  <c r="P73" i="10" s="1"/>
  <c r="Q73" i="10" s="1"/>
  <c r="I73" i="10"/>
  <c r="J73" i="10" s="1"/>
  <c r="K73" i="10" s="1"/>
  <c r="C73" i="10"/>
  <c r="B73" i="10"/>
  <c r="A73" i="10"/>
  <c r="AV72" i="10"/>
  <c r="AU72" i="10"/>
  <c r="AT72" i="10"/>
  <c r="Y72" i="10"/>
  <c r="Z72" i="10" s="1"/>
  <c r="X72" i="10"/>
  <c r="U72" i="10"/>
  <c r="V72" i="10" s="1"/>
  <c r="W72" i="10" s="1"/>
  <c r="O72" i="10"/>
  <c r="P72" i="10" s="1"/>
  <c r="Q72" i="10" s="1"/>
  <c r="I72" i="10"/>
  <c r="J72" i="10" s="1"/>
  <c r="K72" i="10" s="1"/>
  <c r="C72" i="10"/>
  <c r="B72" i="10"/>
  <c r="A72" i="10"/>
  <c r="AV71" i="10"/>
  <c r="AU71" i="10"/>
  <c r="AT71" i="10"/>
  <c r="Y71" i="10"/>
  <c r="Z71" i="10" s="1"/>
  <c r="X71" i="10"/>
  <c r="U71" i="10"/>
  <c r="V71" i="10" s="1"/>
  <c r="W71" i="10" s="1"/>
  <c r="O71" i="10"/>
  <c r="P71" i="10" s="1"/>
  <c r="Q71" i="10" s="1"/>
  <c r="I71" i="10"/>
  <c r="J71" i="10" s="1"/>
  <c r="K71" i="10" s="1"/>
  <c r="C71" i="10"/>
  <c r="B71" i="10"/>
  <c r="A71" i="10"/>
  <c r="AV70" i="10"/>
  <c r="AU70" i="10"/>
  <c r="AT70" i="10"/>
  <c r="Y70" i="10"/>
  <c r="Z70" i="10" s="1"/>
  <c r="X70" i="10"/>
  <c r="U70" i="10"/>
  <c r="V70" i="10" s="1"/>
  <c r="W70" i="10" s="1"/>
  <c r="O70" i="10"/>
  <c r="P70" i="10" s="1"/>
  <c r="Q70" i="10" s="1"/>
  <c r="I70" i="10"/>
  <c r="J70" i="10" s="1"/>
  <c r="K70" i="10" s="1"/>
  <c r="C70" i="10"/>
  <c r="B70" i="10"/>
  <c r="A70" i="10"/>
  <c r="AV69" i="10"/>
  <c r="AU69" i="10"/>
  <c r="AT69" i="10"/>
  <c r="Y69" i="10"/>
  <c r="Z69" i="10" s="1"/>
  <c r="X69" i="10"/>
  <c r="U69" i="10"/>
  <c r="V69" i="10" s="1"/>
  <c r="W69" i="10" s="1"/>
  <c r="O69" i="10"/>
  <c r="P69" i="10" s="1"/>
  <c r="Q69" i="10" s="1"/>
  <c r="I69" i="10"/>
  <c r="J69" i="10" s="1"/>
  <c r="K69" i="10" s="1"/>
  <c r="C69" i="10"/>
  <c r="B69" i="10"/>
  <c r="A69" i="10"/>
  <c r="AV68" i="10"/>
  <c r="AU68" i="10"/>
  <c r="AT68" i="10"/>
  <c r="Y68" i="10"/>
  <c r="Z68" i="10" s="1"/>
  <c r="X68" i="10"/>
  <c r="U68" i="10"/>
  <c r="V68" i="10" s="1"/>
  <c r="W68" i="10" s="1"/>
  <c r="O68" i="10"/>
  <c r="P68" i="10" s="1"/>
  <c r="Q68" i="10" s="1"/>
  <c r="I68" i="10"/>
  <c r="J68" i="10" s="1"/>
  <c r="K68" i="10" s="1"/>
  <c r="C68" i="10"/>
  <c r="B68" i="10"/>
  <c r="A68" i="10"/>
  <c r="AV67" i="10"/>
  <c r="AU67" i="10"/>
  <c r="AT67" i="10"/>
  <c r="Y67" i="10"/>
  <c r="Z67" i="10" s="1"/>
  <c r="X67" i="10"/>
  <c r="U67" i="10"/>
  <c r="V67" i="10" s="1"/>
  <c r="W67" i="10" s="1"/>
  <c r="O67" i="10"/>
  <c r="P67" i="10" s="1"/>
  <c r="Q67" i="10" s="1"/>
  <c r="I67" i="10"/>
  <c r="J67" i="10" s="1"/>
  <c r="K67" i="10" s="1"/>
  <c r="C67" i="10"/>
  <c r="B67" i="10"/>
  <c r="A67" i="10"/>
  <c r="AV66" i="10"/>
  <c r="AU66" i="10"/>
  <c r="AT66" i="10"/>
  <c r="Y66" i="10"/>
  <c r="Z66" i="10" s="1"/>
  <c r="X66" i="10"/>
  <c r="U66" i="10"/>
  <c r="V66" i="10" s="1"/>
  <c r="W66" i="10" s="1"/>
  <c r="O66" i="10"/>
  <c r="P66" i="10" s="1"/>
  <c r="Q66" i="10" s="1"/>
  <c r="I66" i="10"/>
  <c r="J66" i="10" s="1"/>
  <c r="K66" i="10" s="1"/>
  <c r="C66" i="10"/>
  <c r="B66" i="10"/>
  <c r="A66" i="10"/>
  <c r="AV64" i="10"/>
  <c r="AU64" i="10"/>
  <c r="AT64" i="10"/>
  <c r="C63" i="10"/>
  <c r="AV62" i="10"/>
  <c r="AU62" i="10"/>
  <c r="AT62" i="10"/>
  <c r="Y62" i="10"/>
  <c r="Z62" i="10" s="1"/>
  <c r="X62" i="10"/>
  <c r="U62" i="10"/>
  <c r="V62" i="10" s="1"/>
  <c r="W62" i="10" s="1"/>
  <c r="O62" i="10"/>
  <c r="P62" i="10" s="1"/>
  <c r="Q62" i="10" s="1"/>
  <c r="I62" i="10"/>
  <c r="J62" i="10" s="1"/>
  <c r="K62" i="10" s="1"/>
  <c r="AV61" i="10"/>
  <c r="AU61" i="10"/>
  <c r="AT61" i="10"/>
  <c r="Y61" i="10"/>
  <c r="Z61" i="10" s="1"/>
  <c r="X61" i="10"/>
  <c r="U61" i="10"/>
  <c r="V61" i="10" s="1"/>
  <c r="W61" i="10" s="1"/>
  <c r="O61" i="10"/>
  <c r="P61" i="10" s="1"/>
  <c r="Q61" i="10" s="1"/>
  <c r="I61" i="10"/>
  <c r="J61" i="10" s="1"/>
  <c r="K61" i="10" s="1"/>
  <c r="C61" i="10"/>
  <c r="B61" i="10"/>
  <c r="A61" i="10"/>
  <c r="AV60" i="10"/>
  <c r="AU60" i="10"/>
  <c r="AT60" i="10"/>
  <c r="Y60" i="10"/>
  <c r="Z60" i="10" s="1"/>
  <c r="X60" i="10"/>
  <c r="U60" i="10"/>
  <c r="V60" i="10" s="1"/>
  <c r="W60" i="10" s="1"/>
  <c r="O60" i="10"/>
  <c r="P60" i="10" s="1"/>
  <c r="Q60" i="10" s="1"/>
  <c r="I60" i="10"/>
  <c r="J60" i="10" s="1"/>
  <c r="K60" i="10" s="1"/>
  <c r="C60" i="10"/>
  <c r="B60" i="10"/>
  <c r="A60" i="10"/>
  <c r="AV59" i="10"/>
  <c r="AU59" i="10"/>
  <c r="AT59" i="10"/>
  <c r="Y59" i="10"/>
  <c r="Z59" i="10" s="1"/>
  <c r="X59" i="10"/>
  <c r="U59" i="10"/>
  <c r="V59" i="10" s="1"/>
  <c r="W59" i="10" s="1"/>
  <c r="O59" i="10"/>
  <c r="P59" i="10" s="1"/>
  <c r="Q59" i="10" s="1"/>
  <c r="I59" i="10"/>
  <c r="J59" i="10" s="1"/>
  <c r="K59" i="10" s="1"/>
  <c r="C59" i="10"/>
  <c r="B59" i="10"/>
  <c r="A59" i="10"/>
  <c r="AV58" i="10"/>
  <c r="AU58" i="10"/>
  <c r="AT58" i="10"/>
  <c r="Y58" i="10"/>
  <c r="Z58" i="10" s="1"/>
  <c r="X58" i="10"/>
  <c r="U58" i="10"/>
  <c r="V58" i="10" s="1"/>
  <c r="W58" i="10" s="1"/>
  <c r="O58" i="10"/>
  <c r="P58" i="10" s="1"/>
  <c r="Q58" i="10" s="1"/>
  <c r="I58" i="10"/>
  <c r="J58" i="10" s="1"/>
  <c r="K58" i="10" s="1"/>
  <c r="C58" i="10"/>
  <c r="B58" i="10"/>
  <c r="A58" i="10"/>
  <c r="AV57" i="10"/>
  <c r="AU57" i="10"/>
  <c r="AT57" i="10"/>
  <c r="Y57" i="10"/>
  <c r="Z57" i="10" s="1"/>
  <c r="X57" i="10"/>
  <c r="U57" i="10"/>
  <c r="V57" i="10" s="1"/>
  <c r="W57" i="10" s="1"/>
  <c r="O57" i="10"/>
  <c r="P57" i="10" s="1"/>
  <c r="Q57" i="10" s="1"/>
  <c r="I57" i="10"/>
  <c r="J57" i="10" s="1"/>
  <c r="K57" i="10" s="1"/>
  <c r="C57" i="10"/>
  <c r="B57" i="10"/>
  <c r="A57" i="10"/>
  <c r="AV56" i="10"/>
  <c r="AU56" i="10"/>
  <c r="AT56" i="10"/>
  <c r="Y56" i="10"/>
  <c r="Z56" i="10" s="1"/>
  <c r="X56" i="10"/>
  <c r="U56" i="10"/>
  <c r="V56" i="10" s="1"/>
  <c r="W56" i="10" s="1"/>
  <c r="O56" i="10"/>
  <c r="P56" i="10" s="1"/>
  <c r="Q56" i="10" s="1"/>
  <c r="I56" i="10"/>
  <c r="J56" i="10" s="1"/>
  <c r="K56" i="10" s="1"/>
  <c r="C56" i="10"/>
  <c r="B56" i="10"/>
  <c r="A56" i="10"/>
  <c r="AV55" i="10"/>
  <c r="AU55" i="10"/>
  <c r="AT55" i="10"/>
  <c r="Y55" i="10"/>
  <c r="Z55" i="10" s="1"/>
  <c r="X55" i="10"/>
  <c r="U55" i="10"/>
  <c r="V55" i="10" s="1"/>
  <c r="W55" i="10" s="1"/>
  <c r="O55" i="10"/>
  <c r="P55" i="10" s="1"/>
  <c r="Q55" i="10" s="1"/>
  <c r="I55" i="10"/>
  <c r="J55" i="10" s="1"/>
  <c r="K55" i="10" s="1"/>
  <c r="C55" i="10"/>
  <c r="B55" i="10"/>
  <c r="A55" i="10"/>
  <c r="AV54" i="10"/>
  <c r="AU54" i="10"/>
  <c r="AT54" i="10"/>
  <c r="Y54" i="10"/>
  <c r="Z54" i="10" s="1"/>
  <c r="X54" i="10"/>
  <c r="U54" i="10"/>
  <c r="V54" i="10" s="1"/>
  <c r="W54" i="10" s="1"/>
  <c r="O54" i="10"/>
  <c r="P54" i="10" s="1"/>
  <c r="Q54" i="10" s="1"/>
  <c r="I54" i="10"/>
  <c r="J54" i="10" s="1"/>
  <c r="K54" i="10" s="1"/>
  <c r="C54" i="10"/>
  <c r="B54" i="10"/>
  <c r="A54" i="10"/>
  <c r="AV53" i="10"/>
  <c r="AU53" i="10"/>
  <c r="AT53" i="10"/>
  <c r="Y53" i="10"/>
  <c r="Z53" i="10" s="1"/>
  <c r="X53" i="10"/>
  <c r="U53" i="10"/>
  <c r="V53" i="10" s="1"/>
  <c r="W53" i="10" s="1"/>
  <c r="O53" i="10"/>
  <c r="P53" i="10" s="1"/>
  <c r="Q53" i="10" s="1"/>
  <c r="I53" i="10"/>
  <c r="J53" i="10" s="1"/>
  <c r="K53" i="10" s="1"/>
  <c r="C53" i="10"/>
  <c r="B53" i="10"/>
  <c r="A53" i="10"/>
  <c r="AV52" i="10"/>
  <c r="AU52" i="10"/>
  <c r="AT52" i="10"/>
  <c r="Y52" i="10"/>
  <c r="Z52" i="10" s="1"/>
  <c r="X52" i="10"/>
  <c r="U52" i="10"/>
  <c r="V52" i="10" s="1"/>
  <c r="W52" i="10" s="1"/>
  <c r="O52" i="10"/>
  <c r="P52" i="10" s="1"/>
  <c r="Q52" i="10" s="1"/>
  <c r="I52" i="10"/>
  <c r="J52" i="10" s="1"/>
  <c r="K52" i="10" s="1"/>
  <c r="C52" i="10"/>
  <c r="B52" i="10"/>
  <c r="A52" i="10"/>
  <c r="AV51" i="10"/>
  <c r="AU51" i="10"/>
  <c r="AT51" i="10"/>
  <c r="Y51" i="10"/>
  <c r="Z51" i="10" s="1"/>
  <c r="X51" i="10"/>
  <c r="U51" i="10"/>
  <c r="V51" i="10" s="1"/>
  <c r="W51" i="10" s="1"/>
  <c r="O51" i="10"/>
  <c r="P51" i="10" s="1"/>
  <c r="Q51" i="10" s="1"/>
  <c r="I51" i="10"/>
  <c r="J51" i="10" s="1"/>
  <c r="K51" i="10" s="1"/>
  <c r="C51" i="10"/>
  <c r="B51" i="10"/>
  <c r="A51" i="10"/>
  <c r="AV50" i="10"/>
  <c r="AU50" i="10"/>
  <c r="AT50" i="10"/>
  <c r="Y50" i="10"/>
  <c r="Z50" i="10" s="1"/>
  <c r="X50" i="10"/>
  <c r="U50" i="10"/>
  <c r="V50" i="10" s="1"/>
  <c r="W50" i="10" s="1"/>
  <c r="O50" i="10"/>
  <c r="P50" i="10" s="1"/>
  <c r="Q50" i="10" s="1"/>
  <c r="I50" i="10"/>
  <c r="J50" i="10" s="1"/>
  <c r="K50" i="10" s="1"/>
  <c r="C50" i="10"/>
  <c r="B50" i="10"/>
  <c r="A50" i="10"/>
  <c r="AV49" i="10"/>
  <c r="AU49" i="10"/>
  <c r="AT49" i="10"/>
  <c r="Y49" i="10"/>
  <c r="Z49" i="10" s="1"/>
  <c r="X49" i="10"/>
  <c r="U49" i="10"/>
  <c r="V49" i="10" s="1"/>
  <c r="W49" i="10" s="1"/>
  <c r="O49" i="10"/>
  <c r="P49" i="10" s="1"/>
  <c r="Q49" i="10" s="1"/>
  <c r="I49" i="10"/>
  <c r="J49" i="10" s="1"/>
  <c r="K49" i="10" s="1"/>
  <c r="C49" i="10"/>
  <c r="B49" i="10"/>
  <c r="A49" i="10"/>
  <c r="AV48" i="10"/>
  <c r="AU48" i="10"/>
  <c r="AT48" i="10"/>
  <c r="Y48" i="10"/>
  <c r="Z48" i="10" s="1"/>
  <c r="X48" i="10"/>
  <c r="U48" i="10"/>
  <c r="V48" i="10" s="1"/>
  <c r="W48" i="10" s="1"/>
  <c r="O48" i="10"/>
  <c r="P48" i="10" s="1"/>
  <c r="Q48" i="10" s="1"/>
  <c r="I48" i="10"/>
  <c r="J48" i="10" s="1"/>
  <c r="K48" i="10" s="1"/>
  <c r="C48" i="10"/>
  <c r="B48" i="10"/>
  <c r="A48" i="10"/>
  <c r="AV47" i="10"/>
  <c r="AU47" i="10"/>
  <c r="AT47" i="10"/>
  <c r="Y47" i="10"/>
  <c r="Z47" i="10" s="1"/>
  <c r="X47" i="10"/>
  <c r="U47" i="10"/>
  <c r="V47" i="10" s="1"/>
  <c r="W47" i="10" s="1"/>
  <c r="O47" i="10"/>
  <c r="P47" i="10" s="1"/>
  <c r="Q47" i="10" s="1"/>
  <c r="I47" i="10"/>
  <c r="J47" i="10" s="1"/>
  <c r="K47" i="10" s="1"/>
  <c r="C47" i="10"/>
  <c r="B47" i="10"/>
  <c r="A47" i="10"/>
  <c r="AV46" i="10"/>
  <c r="AU46" i="10"/>
  <c r="AT46" i="10"/>
  <c r="Y46" i="10"/>
  <c r="Z46" i="10" s="1"/>
  <c r="X46" i="10"/>
  <c r="U46" i="10"/>
  <c r="V46" i="10" s="1"/>
  <c r="W46" i="10" s="1"/>
  <c r="O46" i="10"/>
  <c r="P46" i="10" s="1"/>
  <c r="Q46" i="10" s="1"/>
  <c r="I46" i="10"/>
  <c r="J46" i="10" s="1"/>
  <c r="K46" i="10" s="1"/>
  <c r="C46" i="10"/>
  <c r="B46" i="10"/>
  <c r="A46" i="10"/>
  <c r="AV45" i="10"/>
  <c r="AU45" i="10"/>
  <c r="AT45" i="10"/>
  <c r="Y45" i="10"/>
  <c r="Z45" i="10" s="1"/>
  <c r="X45" i="10"/>
  <c r="U45" i="10"/>
  <c r="V45" i="10" s="1"/>
  <c r="W45" i="10" s="1"/>
  <c r="O45" i="10"/>
  <c r="P45" i="10" s="1"/>
  <c r="Q45" i="10" s="1"/>
  <c r="I45" i="10"/>
  <c r="J45" i="10" s="1"/>
  <c r="K45" i="10" s="1"/>
  <c r="C45" i="10"/>
  <c r="B45" i="10"/>
  <c r="A45" i="10"/>
  <c r="AV44" i="10"/>
  <c r="AU44" i="10"/>
  <c r="AT44" i="10"/>
  <c r="Y44" i="10"/>
  <c r="Z44" i="10" s="1"/>
  <c r="X44" i="10"/>
  <c r="U44" i="10"/>
  <c r="V44" i="10" s="1"/>
  <c r="W44" i="10" s="1"/>
  <c r="O44" i="10"/>
  <c r="P44" i="10" s="1"/>
  <c r="Q44" i="10" s="1"/>
  <c r="I44" i="10"/>
  <c r="J44" i="10" s="1"/>
  <c r="K44" i="10" s="1"/>
  <c r="C44" i="10"/>
  <c r="B44" i="10"/>
  <c r="A44" i="10"/>
  <c r="AV43" i="10"/>
  <c r="AU43" i="10"/>
  <c r="AT43" i="10"/>
  <c r="Y43" i="10"/>
  <c r="Z43" i="10" s="1"/>
  <c r="X43" i="10"/>
  <c r="U43" i="10"/>
  <c r="V43" i="10" s="1"/>
  <c r="W43" i="10" s="1"/>
  <c r="O43" i="10"/>
  <c r="P43" i="10" s="1"/>
  <c r="Q43" i="10" s="1"/>
  <c r="I43" i="10"/>
  <c r="J43" i="10" s="1"/>
  <c r="K43" i="10" s="1"/>
  <c r="C43" i="10"/>
  <c r="B43" i="10"/>
  <c r="A43" i="10"/>
  <c r="AV42" i="10"/>
  <c r="AU42" i="10"/>
  <c r="AT42" i="10"/>
  <c r="Y42" i="10"/>
  <c r="Z42" i="10" s="1"/>
  <c r="X42" i="10"/>
  <c r="U42" i="10"/>
  <c r="V42" i="10" s="1"/>
  <c r="W42" i="10" s="1"/>
  <c r="O42" i="10"/>
  <c r="P42" i="10" s="1"/>
  <c r="Q42" i="10" s="1"/>
  <c r="I42" i="10"/>
  <c r="J42" i="10" s="1"/>
  <c r="K42" i="10" s="1"/>
  <c r="C42" i="10"/>
  <c r="B42" i="10"/>
  <c r="A42" i="10"/>
  <c r="AV41" i="10"/>
  <c r="AU41" i="10"/>
  <c r="AT41" i="10"/>
  <c r="Y41" i="10"/>
  <c r="Z41" i="10" s="1"/>
  <c r="X41" i="10"/>
  <c r="U41" i="10"/>
  <c r="V41" i="10" s="1"/>
  <c r="W41" i="10" s="1"/>
  <c r="O41" i="10"/>
  <c r="P41" i="10" s="1"/>
  <c r="Q41" i="10" s="1"/>
  <c r="I41" i="10"/>
  <c r="J41" i="10" s="1"/>
  <c r="K41" i="10" s="1"/>
  <c r="C41" i="10"/>
  <c r="B41" i="10"/>
  <c r="A41" i="10"/>
  <c r="AV40" i="10"/>
  <c r="AU40" i="10"/>
  <c r="AT40" i="10"/>
  <c r="Y40" i="10"/>
  <c r="Z40" i="10" s="1"/>
  <c r="X40" i="10"/>
  <c r="U40" i="10"/>
  <c r="V40" i="10" s="1"/>
  <c r="W40" i="10" s="1"/>
  <c r="O40" i="10"/>
  <c r="P40" i="10" s="1"/>
  <c r="Q40" i="10" s="1"/>
  <c r="I40" i="10"/>
  <c r="J40" i="10" s="1"/>
  <c r="K40" i="10" s="1"/>
  <c r="C40" i="10"/>
  <c r="B40" i="10"/>
  <c r="A40" i="10"/>
  <c r="AV39" i="10"/>
  <c r="AU39" i="10"/>
  <c r="AT39" i="10"/>
  <c r="Y39" i="10"/>
  <c r="Z39" i="10" s="1"/>
  <c r="X39" i="10"/>
  <c r="U39" i="10"/>
  <c r="V39" i="10" s="1"/>
  <c r="W39" i="10" s="1"/>
  <c r="O39" i="10"/>
  <c r="P39" i="10" s="1"/>
  <c r="Q39" i="10" s="1"/>
  <c r="I39" i="10"/>
  <c r="J39" i="10" s="1"/>
  <c r="K39" i="10" s="1"/>
  <c r="C39" i="10"/>
  <c r="B39" i="10"/>
  <c r="A39" i="10"/>
  <c r="AV38" i="10"/>
  <c r="AU38" i="10"/>
  <c r="AT38" i="10"/>
  <c r="Y38" i="10"/>
  <c r="Z38" i="10" s="1"/>
  <c r="X38" i="10"/>
  <c r="U38" i="10"/>
  <c r="V38" i="10" s="1"/>
  <c r="W38" i="10" s="1"/>
  <c r="O38" i="10"/>
  <c r="P38" i="10" s="1"/>
  <c r="Q38" i="10" s="1"/>
  <c r="I38" i="10"/>
  <c r="J38" i="10" s="1"/>
  <c r="K38" i="10" s="1"/>
  <c r="C38" i="10"/>
  <c r="B38" i="10"/>
  <c r="A38" i="10"/>
  <c r="AV37" i="10"/>
  <c r="AU37" i="10"/>
  <c r="AT37" i="10"/>
  <c r="Y37" i="10"/>
  <c r="Z37" i="10" s="1"/>
  <c r="X37" i="10"/>
  <c r="U37" i="10"/>
  <c r="V37" i="10" s="1"/>
  <c r="W37" i="10" s="1"/>
  <c r="O37" i="10"/>
  <c r="P37" i="10" s="1"/>
  <c r="Q37" i="10" s="1"/>
  <c r="I37" i="10"/>
  <c r="J37" i="10" s="1"/>
  <c r="K37" i="10" s="1"/>
  <c r="C37" i="10"/>
  <c r="B37" i="10"/>
  <c r="A37" i="10"/>
  <c r="AV36" i="10"/>
  <c r="AU36" i="10"/>
  <c r="AT36" i="10"/>
  <c r="Y36" i="10"/>
  <c r="Z36" i="10" s="1"/>
  <c r="X36" i="10"/>
  <c r="U36" i="10"/>
  <c r="V36" i="10" s="1"/>
  <c r="W36" i="10" s="1"/>
  <c r="O36" i="10"/>
  <c r="P36" i="10" s="1"/>
  <c r="Q36" i="10" s="1"/>
  <c r="I36" i="10"/>
  <c r="J36" i="10" s="1"/>
  <c r="K36" i="10" s="1"/>
  <c r="C36" i="10"/>
  <c r="B36" i="10"/>
  <c r="A36" i="10"/>
  <c r="AV35" i="10"/>
  <c r="AU35" i="10"/>
  <c r="AT35" i="10"/>
  <c r="Y35" i="10"/>
  <c r="Z35" i="10" s="1"/>
  <c r="X35" i="10"/>
  <c r="U35" i="10"/>
  <c r="V35" i="10" s="1"/>
  <c r="W35" i="10" s="1"/>
  <c r="O35" i="10"/>
  <c r="P35" i="10" s="1"/>
  <c r="Q35" i="10" s="1"/>
  <c r="I35" i="10"/>
  <c r="J35" i="10" s="1"/>
  <c r="K35" i="10" s="1"/>
  <c r="C35" i="10"/>
  <c r="B35" i="10"/>
  <c r="A35" i="10"/>
  <c r="AV34" i="10"/>
  <c r="AU34" i="10"/>
  <c r="AT34" i="10"/>
  <c r="Y34" i="10"/>
  <c r="Z34" i="10" s="1"/>
  <c r="X34" i="10"/>
  <c r="U34" i="10"/>
  <c r="V34" i="10" s="1"/>
  <c r="W34" i="10" s="1"/>
  <c r="O34" i="10"/>
  <c r="P34" i="10" s="1"/>
  <c r="Q34" i="10" s="1"/>
  <c r="I34" i="10"/>
  <c r="J34" i="10" s="1"/>
  <c r="K34" i="10" s="1"/>
  <c r="C34" i="10"/>
  <c r="B34" i="10"/>
  <c r="A34" i="10"/>
  <c r="AV33" i="10"/>
  <c r="AU33" i="10"/>
  <c r="AT33" i="10"/>
  <c r="AE33" i="10"/>
  <c r="AD33" i="10"/>
  <c r="AC33" i="10"/>
  <c r="Y33" i="10"/>
  <c r="Z33" i="10" s="1"/>
  <c r="X33" i="10"/>
  <c r="U33" i="10"/>
  <c r="V33" i="10" s="1"/>
  <c r="W33" i="10" s="1"/>
  <c r="O33" i="10"/>
  <c r="P33" i="10" s="1"/>
  <c r="Q33" i="10" s="1"/>
  <c r="I33" i="10"/>
  <c r="J33" i="10" s="1"/>
  <c r="K33" i="10" s="1"/>
  <c r="C33" i="10"/>
  <c r="B33" i="10"/>
  <c r="A33" i="10"/>
  <c r="AV32" i="10"/>
  <c r="AU32" i="10"/>
  <c r="AT32" i="10"/>
  <c r="AE32" i="10"/>
  <c r="AD32" i="10"/>
  <c r="AC32" i="10"/>
  <c r="Y32" i="10"/>
  <c r="Z32" i="10" s="1"/>
  <c r="X32" i="10"/>
  <c r="U32" i="10"/>
  <c r="V32" i="10" s="1"/>
  <c r="W32" i="10" s="1"/>
  <c r="O32" i="10"/>
  <c r="P32" i="10" s="1"/>
  <c r="Q32" i="10" s="1"/>
  <c r="I32" i="10"/>
  <c r="J32" i="10" s="1"/>
  <c r="K32" i="10" s="1"/>
  <c r="C32" i="10"/>
  <c r="B32" i="10"/>
  <c r="A32" i="10"/>
  <c r="AV31" i="10"/>
  <c r="AU31" i="10"/>
  <c r="AT31" i="10"/>
  <c r="AE31" i="10"/>
  <c r="AD31" i="10"/>
  <c r="AC31" i="10"/>
  <c r="Y31" i="10"/>
  <c r="Z31" i="10" s="1"/>
  <c r="X31" i="10"/>
  <c r="U31" i="10"/>
  <c r="V31" i="10" s="1"/>
  <c r="W31" i="10" s="1"/>
  <c r="O31" i="10"/>
  <c r="P31" i="10" s="1"/>
  <c r="Q31" i="10" s="1"/>
  <c r="I31" i="10"/>
  <c r="J31" i="10" s="1"/>
  <c r="K31" i="10" s="1"/>
  <c r="C31" i="10"/>
  <c r="B31" i="10"/>
  <c r="A31" i="10"/>
  <c r="AV30" i="10"/>
  <c r="AU30" i="10"/>
  <c r="AT30" i="10"/>
  <c r="Y30" i="10"/>
  <c r="Z30" i="10" s="1"/>
  <c r="X30" i="10"/>
  <c r="U30" i="10"/>
  <c r="V30" i="10" s="1"/>
  <c r="W30" i="10" s="1"/>
  <c r="O30" i="10"/>
  <c r="P30" i="10" s="1"/>
  <c r="Q30" i="10" s="1"/>
  <c r="I30" i="10"/>
  <c r="J30" i="10" s="1"/>
  <c r="K30" i="10" s="1"/>
  <c r="C30" i="10"/>
  <c r="B30" i="10"/>
  <c r="A30" i="10"/>
  <c r="AV29" i="10"/>
  <c r="AU29" i="10"/>
  <c r="AT29" i="10"/>
  <c r="Y29" i="10"/>
  <c r="Z29" i="10" s="1"/>
  <c r="X29" i="10"/>
  <c r="U29" i="10"/>
  <c r="V29" i="10" s="1"/>
  <c r="W29" i="10" s="1"/>
  <c r="O29" i="10"/>
  <c r="P29" i="10" s="1"/>
  <c r="Q29" i="10" s="1"/>
  <c r="I29" i="10"/>
  <c r="J29" i="10" s="1"/>
  <c r="K29" i="10" s="1"/>
  <c r="C29" i="10"/>
  <c r="B29" i="10"/>
  <c r="A29" i="10"/>
  <c r="AV28" i="10"/>
  <c r="AU28" i="10"/>
  <c r="AT28" i="10"/>
  <c r="Y28" i="10"/>
  <c r="Z28" i="10" s="1"/>
  <c r="X28" i="10"/>
  <c r="U28" i="10"/>
  <c r="V28" i="10" s="1"/>
  <c r="W28" i="10" s="1"/>
  <c r="O28" i="10"/>
  <c r="P28" i="10" s="1"/>
  <c r="Q28" i="10" s="1"/>
  <c r="I28" i="10"/>
  <c r="J28" i="10" s="1"/>
  <c r="K28" i="10" s="1"/>
  <c r="C28" i="10"/>
  <c r="B28" i="10"/>
  <c r="A28" i="10"/>
  <c r="AV27" i="10"/>
  <c r="AU27" i="10"/>
  <c r="AT27" i="10"/>
  <c r="AE27" i="10"/>
  <c r="AD27" i="10"/>
  <c r="AC27" i="10"/>
  <c r="Y27" i="10"/>
  <c r="Z27" i="10" s="1"/>
  <c r="X27" i="10"/>
  <c r="U27" i="10"/>
  <c r="V27" i="10" s="1"/>
  <c r="W27" i="10" s="1"/>
  <c r="O27" i="10"/>
  <c r="P27" i="10" s="1"/>
  <c r="Q27" i="10" s="1"/>
  <c r="I27" i="10"/>
  <c r="J27" i="10" s="1"/>
  <c r="K27" i="10" s="1"/>
  <c r="C27" i="10"/>
  <c r="B27" i="10"/>
  <c r="A27" i="10"/>
  <c r="AV26" i="10"/>
  <c r="AU26" i="10"/>
  <c r="AT26" i="10"/>
  <c r="AE26" i="10"/>
  <c r="AD26" i="10"/>
  <c r="AC26" i="10"/>
  <c r="Y26" i="10"/>
  <c r="Z26" i="10" s="1"/>
  <c r="X26" i="10"/>
  <c r="U26" i="10"/>
  <c r="V26" i="10" s="1"/>
  <c r="W26" i="10" s="1"/>
  <c r="O26" i="10"/>
  <c r="P26" i="10" s="1"/>
  <c r="Q26" i="10" s="1"/>
  <c r="I26" i="10"/>
  <c r="J26" i="10" s="1"/>
  <c r="K26" i="10" s="1"/>
  <c r="C26" i="10"/>
  <c r="B26" i="10"/>
  <c r="A26" i="10"/>
  <c r="AV25" i="10"/>
  <c r="AU25" i="10"/>
  <c r="AT25" i="10"/>
  <c r="AE25" i="10"/>
  <c r="AD25" i="10"/>
  <c r="AC25" i="10"/>
  <c r="Y25" i="10"/>
  <c r="Z25" i="10" s="1"/>
  <c r="X25" i="10"/>
  <c r="U25" i="10"/>
  <c r="V25" i="10" s="1"/>
  <c r="W25" i="10" s="1"/>
  <c r="O25" i="10"/>
  <c r="P25" i="10" s="1"/>
  <c r="Q25" i="10" s="1"/>
  <c r="I25" i="10"/>
  <c r="J25" i="10" s="1"/>
  <c r="K25" i="10" s="1"/>
  <c r="C25" i="10"/>
  <c r="B25" i="10"/>
  <c r="A25" i="10"/>
  <c r="AV24" i="10"/>
  <c r="AU24" i="10"/>
  <c r="AT24" i="10"/>
  <c r="Y24" i="10"/>
  <c r="Z24" i="10" s="1"/>
  <c r="X24" i="10"/>
  <c r="U24" i="10"/>
  <c r="V24" i="10" s="1"/>
  <c r="W24" i="10" s="1"/>
  <c r="O24" i="10"/>
  <c r="P24" i="10" s="1"/>
  <c r="Q24" i="10" s="1"/>
  <c r="I24" i="10"/>
  <c r="J24" i="10" s="1"/>
  <c r="K24" i="10" s="1"/>
  <c r="C24" i="10"/>
  <c r="B24" i="10"/>
  <c r="A24" i="10"/>
  <c r="AV23" i="10"/>
  <c r="AU23" i="10"/>
  <c r="AT23" i="10"/>
  <c r="Y23" i="10"/>
  <c r="Z23" i="10" s="1"/>
  <c r="X23" i="10"/>
  <c r="U23" i="10"/>
  <c r="V23" i="10" s="1"/>
  <c r="W23" i="10" s="1"/>
  <c r="O23" i="10"/>
  <c r="P23" i="10" s="1"/>
  <c r="Q23" i="10" s="1"/>
  <c r="I23" i="10"/>
  <c r="J23" i="10" s="1"/>
  <c r="K23" i="10" s="1"/>
  <c r="C23" i="10"/>
  <c r="B23" i="10"/>
  <c r="A23" i="10"/>
  <c r="AV22" i="10"/>
  <c r="AU22" i="10"/>
  <c r="AT22" i="10"/>
  <c r="Y22" i="10"/>
  <c r="Z22" i="10" s="1"/>
  <c r="X22" i="10"/>
  <c r="U22" i="10"/>
  <c r="V22" i="10" s="1"/>
  <c r="W22" i="10" s="1"/>
  <c r="O22" i="10"/>
  <c r="P22" i="10" s="1"/>
  <c r="Q22" i="10" s="1"/>
  <c r="I22" i="10"/>
  <c r="J22" i="10" s="1"/>
  <c r="K22" i="10" s="1"/>
  <c r="C22" i="10"/>
  <c r="B22" i="10"/>
  <c r="A22" i="10"/>
  <c r="AV21" i="10"/>
  <c r="AU21" i="10"/>
  <c r="AT21" i="10"/>
  <c r="Y21" i="10"/>
  <c r="Z21" i="10" s="1"/>
  <c r="X21" i="10"/>
  <c r="U21" i="10"/>
  <c r="V21" i="10" s="1"/>
  <c r="W21" i="10" s="1"/>
  <c r="O21" i="10"/>
  <c r="P21" i="10" s="1"/>
  <c r="Q21" i="10" s="1"/>
  <c r="I21" i="10"/>
  <c r="J21" i="10" s="1"/>
  <c r="K21" i="10" s="1"/>
  <c r="C21" i="10"/>
  <c r="B21" i="10"/>
  <c r="A21" i="10"/>
  <c r="AV20" i="10"/>
  <c r="AU20" i="10"/>
  <c r="AT20" i="10"/>
  <c r="Y20" i="10"/>
  <c r="Z20" i="10" s="1"/>
  <c r="X20" i="10"/>
  <c r="U20" i="10"/>
  <c r="V20" i="10" s="1"/>
  <c r="W20" i="10" s="1"/>
  <c r="O20" i="10"/>
  <c r="P20" i="10" s="1"/>
  <c r="Q20" i="10" s="1"/>
  <c r="I20" i="10"/>
  <c r="J20" i="10" s="1"/>
  <c r="K20" i="10" s="1"/>
  <c r="C20" i="10"/>
  <c r="B20" i="10"/>
  <c r="A20" i="10"/>
  <c r="AV19" i="10"/>
  <c r="AU19" i="10"/>
  <c r="AT19" i="10"/>
  <c r="Y19" i="10"/>
  <c r="Z19" i="10" s="1"/>
  <c r="X19" i="10"/>
  <c r="U19" i="10"/>
  <c r="V19" i="10" s="1"/>
  <c r="W19" i="10" s="1"/>
  <c r="O19" i="10"/>
  <c r="P19" i="10" s="1"/>
  <c r="Q19" i="10" s="1"/>
  <c r="I19" i="10"/>
  <c r="J19" i="10" s="1"/>
  <c r="K19" i="10" s="1"/>
  <c r="C19" i="10"/>
  <c r="B19" i="10"/>
  <c r="A19" i="10"/>
  <c r="AV18" i="10"/>
  <c r="AU18" i="10"/>
  <c r="AT18" i="10"/>
  <c r="Y18" i="10"/>
  <c r="Z18" i="10" s="1"/>
  <c r="X18" i="10"/>
  <c r="U18" i="10"/>
  <c r="V18" i="10" s="1"/>
  <c r="W18" i="10" s="1"/>
  <c r="O18" i="10"/>
  <c r="P18" i="10" s="1"/>
  <c r="Q18" i="10" s="1"/>
  <c r="I18" i="10"/>
  <c r="J18" i="10" s="1"/>
  <c r="K18" i="10" s="1"/>
  <c r="C18" i="10"/>
  <c r="B18" i="10"/>
  <c r="A18" i="10"/>
  <c r="AV17" i="10"/>
  <c r="AU17" i="10"/>
  <c r="AT17" i="10"/>
  <c r="Y17" i="10"/>
  <c r="Z17" i="10" s="1"/>
  <c r="X17" i="10"/>
  <c r="U17" i="10"/>
  <c r="V17" i="10" s="1"/>
  <c r="W17" i="10" s="1"/>
  <c r="O17" i="10"/>
  <c r="P17" i="10" s="1"/>
  <c r="Q17" i="10" s="1"/>
  <c r="I17" i="10"/>
  <c r="J17" i="10" s="1"/>
  <c r="K17" i="10" s="1"/>
  <c r="C17" i="10"/>
  <c r="B17" i="10"/>
  <c r="A17" i="10"/>
  <c r="AV16" i="10"/>
  <c r="AU16" i="10"/>
  <c r="AT16" i="10"/>
  <c r="AE16" i="10"/>
  <c r="AD16" i="10"/>
  <c r="AC16" i="10"/>
  <c r="Y16" i="10"/>
  <c r="Z16" i="10" s="1"/>
  <c r="X16" i="10"/>
  <c r="U16" i="10"/>
  <c r="V16" i="10" s="1"/>
  <c r="W16" i="10" s="1"/>
  <c r="O16" i="10"/>
  <c r="P16" i="10" s="1"/>
  <c r="Q16" i="10" s="1"/>
  <c r="I16" i="10"/>
  <c r="J16" i="10" s="1"/>
  <c r="K16" i="10" s="1"/>
  <c r="C16" i="10"/>
  <c r="B16" i="10"/>
  <c r="A16" i="10"/>
  <c r="AV15" i="10"/>
  <c r="AU15" i="10"/>
  <c r="AT15" i="10"/>
  <c r="AE15" i="10"/>
  <c r="AD15" i="10"/>
  <c r="AC15" i="10"/>
  <c r="Y15" i="10"/>
  <c r="Z15" i="10" s="1"/>
  <c r="X15" i="10"/>
  <c r="U15" i="10"/>
  <c r="V15" i="10" s="1"/>
  <c r="W15" i="10" s="1"/>
  <c r="O15" i="10"/>
  <c r="P15" i="10" s="1"/>
  <c r="Q15" i="10" s="1"/>
  <c r="I15" i="10"/>
  <c r="J15" i="10" s="1"/>
  <c r="K15" i="10" s="1"/>
  <c r="C15" i="10"/>
  <c r="B15" i="10"/>
  <c r="A15" i="10"/>
  <c r="AV14" i="10"/>
  <c r="AU14" i="10"/>
  <c r="AT14" i="10"/>
  <c r="Y14" i="10"/>
  <c r="Z14" i="10" s="1"/>
  <c r="X14" i="10"/>
  <c r="U14" i="10"/>
  <c r="V14" i="10" s="1"/>
  <c r="W14" i="10" s="1"/>
  <c r="O14" i="10"/>
  <c r="P14" i="10" s="1"/>
  <c r="Q14" i="10" s="1"/>
  <c r="I14" i="10"/>
  <c r="J14" i="10" s="1"/>
  <c r="K14" i="10" s="1"/>
  <c r="C14" i="10"/>
  <c r="B14" i="10"/>
  <c r="A14" i="10"/>
  <c r="AV13" i="10"/>
  <c r="AU13" i="10"/>
  <c r="AT13" i="10"/>
  <c r="U13" i="10"/>
  <c r="Y13" i="10" s="1"/>
  <c r="Z13" i="10" s="1"/>
  <c r="O13" i="10"/>
  <c r="P13" i="10" s="1"/>
  <c r="Q13" i="10" s="1"/>
  <c r="I13" i="10"/>
  <c r="J13" i="10" s="1"/>
  <c r="K13" i="10" s="1"/>
  <c r="C13" i="10"/>
  <c r="B13" i="10"/>
  <c r="A13" i="10"/>
  <c r="W10" i="10"/>
  <c r="U10" i="10" a="1"/>
  <c r="U10" i="10" s="1"/>
  <c r="Q10" i="10"/>
  <c r="O10" i="10"/>
  <c r="K10" i="10"/>
  <c r="I10" i="10"/>
  <c r="R8" i="10"/>
  <c r="L8" i="10"/>
  <c r="D8" i="10"/>
  <c r="U7" i="10"/>
  <c r="O7" i="10"/>
  <c r="I7" i="10"/>
  <c r="W5" i="10"/>
  <c r="P5" i="10"/>
  <c r="D5" i="10"/>
  <c r="I4" i="10"/>
  <c r="D4" i="10"/>
  <c r="B2" i="10"/>
  <c r="O1" i="10"/>
  <c r="T1" i="6"/>
  <c r="B1" i="6"/>
  <c r="B2" i="2"/>
  <c r="O1" i="2"/>
  <c r="C61" i="2"/>
  <c r="A61"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3" i="2"/>
  <c r="C13" i="2"/>
  <c r="A62" i="6"/>
  <c r="A114" i="6"/>
  <c r="A113" i="6"/>
  <c r="B67" i="6"/>
  <c r="B113"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67"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14" i="6"/>
  <c r="B14" i="6"/>
  <c r="A113" i="2"/>
  <c r="B113"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66" i="2"/>
  <c r="B66" i="2"/>
  <c r="B67" i="2"/>
  <c r="C66" i="2"/>
  <c r="V65" i="6"/>
  <c r="Z65" i="6" s="1"/>
  <c r="R8" i="2"/>
  <c r="N113" i="6" l="1"/>
  <c r="N91" i="6"/>
  <c r="N77" i="6"/>
  <c r="N114" i="6"/>
  <c r="N103" i="6"/>
  <c r="N102" i="6"/>
  <c r="N101" i="6"/>
  <c r="N90" i="6"/>
  <c r="N89" i="6"/>
  <c r="N79" i="6"/>
  <c r="N78" i="6"/>
  <c r="N112" i="6"/>
  <c r="N100" i="6"/>
  <c r="N88" i="6"/>
  <c r="N76" i="6"/>
  <c r="N111" i="6"/>
  <c r="N99" i="6"/>
  <c r="N87" i="6"/>
  <c r="N75" i="6"/>
  <c r="N110" i="6"/>
  <c r="N98" i="6"/>
  <c r="N86" i="6"/>
  <c r="N74" i="6"/>
  <c r="N109" i="6"/>
  <c r="N97" i="6"/>
  <c r="N85" i="6"/>
  <c r="N73" i="6"/>
  <c r="N108" i="6"/>
  <c r="N96" i="6"/>
  <c r="N84" i="6"/>
  <c r="N72" i="6"/>
  <c r="N107" i="6"/>
  <c r="N95" i="6"/>
  <c r="N83" i="6"/>
  <c r="N71" i="6"/>
  <c r="N106" i="6"/>
  <c r="N94" i="6"/>
  <c r="N82" i="6"/>
  <c r="N70" i="6"/>
  <c r="N105" i="6"/>
  <c r="N93" i="6"/>
  <c r="N81" i="6"/>
  <c r="N69" i="6"/>
  <c r="N104" i="6"/>
  <c r="N92" i="6"/>
  <c r="N80" i="6"/>
  <c r="N68" i="6"/>
  <c r="N67" i="6"/>
  <c r="J114" i="6"/>
  <c r="J103" i="6"/>
  <c r="J102" i="6"/>
  <c r="J91" i="6"/>
  <c r="J90" i="6"/>
  <c r="J79" i="6"/>
  <c r="J78" i="6"/>
  <c r="J113" i="6"/>
  <c r="J101" i="6"/>
  <c r="J89" i="6"/>
  <c r="J77" i="6"/>
  <c r="J112" i="6"/>
  <c r="J100" i="6"/>
  <c r="J88" i="6"/>
  <c r="J76" i="6"/>
  <c r="J111" i="6"/>
  <c r="J99" i="6"/>
  <c r="J87" i="6"/>
  <c r="J75" i="6"/>
  <c r="J110" i="6"/>
  <c r="J98" i="6"/>
  <c r="J86" i="6"/>
  <c r="J74" i="6"/>
  <c r="J109" i="6"/>
  <c r="J97" i="6"/>
  <c r="J85" i="6"/>
  <c r="J73" i="6"/>
  <c r="J108" i="6"/>
  <c r="J96" i="6"/>
  <c r="J84" i="6"/>
  <c r="J72" i="6"/>
  <c r="J107" i="6"/>
  <c r="J95" i="6"/>
  <c r="J83" i="6"/>
  <c r="J71" i="6"/>
  <c r="J106" i="6"/>
  <c r="J94" i="6"/>
  <c r="J82" i="6"/>
  <c r="J70" i="6"/>
  <c r="J105" i="6"/>
  <c r="J93" i="6"/>
  <c r="J81" i="6"/>
  <c r="J69" i="6"/>
  <c r="N50" i="6"/>
  <c r="J104" i="6"/>
  <c r="J92" i="6"/>
  <c r="J80" i="6"/>
  <c r="J68" i="6"/>
  <c r="J67" i="6"/>
  <c r="N62" i="6"/>
  <c r="N38" i="6"/>
  <c r="N26" i="6"/>
  <c r="N61" i="6"/>
  <c r="N49" i="6"/>
  <c r="N37" i="6"/>
  <c r="N25" i="6"/>
  <c r="N60" i="6"/>
  <c r="N48" i="6"/>
  <c r="N36" i="6"/>
  <c r="N24" i="6"/>
  <c r="N59" i="6"/>
  <c r="N47" i="6"/>
  <c r="N35" i="6"/>
  <c r="N23" i="6"/>
  <c r="Z39" i="11"/>
  <c r="N58" i="6"/>
  <c r="N46" i="6"/>
  <c r="N34" i="6"/>
  <c r="N22" i="6"/>
  <c r="N57" i="6"/>
  <c r="N45" i="6"/>
  <c r="N33" i="6"/>
  <c r="N21" i="6"/>
  <c r="N56" i="6"/>
  <c r="N44" i="6"/>
  <c r="N32" i="6"/>
  <c r="N20" i="6"/>
  <c r="N55" i="6"/>
  <c r="N43" i="6"/>
  <c r="N31" i="6"/>
  <c r="N19" i="6"/>
  <c r="N54" i="6"/>
  <c r="N42" i="6"/>
  <c r="N30" i="6"/>
  <c r="N18" i="6"/>
  <c r="N53" i="6"/>
  <c r="N41" i="6"/>
  <c r="N29" i="6"/>
  <c r="N17" i="6"/>
  <c r="N52" i="6"/>
  <c r="N28" i="6"/>
  <c r="N16" i="6"/>
  <c r="N63" i="6"/>
  <c r="N51" i="6"/>
  <c r="N39" i="6"/>
  <c r="N27" i="6"/>
  <c r="N15" i="6"/>
  <c r="AD28" i="11"/>
  <c r="N14" i="6"/>
  <c r="V13" i="11"/>
  <c r="W13" i="11" s="1"/>
  <c r="X13" i="11"/>
  <c r="AD19" i="11"/>
  <c r="AD20" i="11" s="1"/>
  <c r="AD22" i="11" s="1"/>
  <c r="AC28" i="11"/>
  <c r="AE19" i="11"/>
  <c r="AE20" i="11" s="1"/>
  <c r="AE22" i="11" s="1"/>
  <c r="AE28" i="11"/>
  <c r="AC19" i="11"/>
  <c r="J62" i="6"/>
  <c r="J61" i="6"/>
  <c r="J60" i="6"/>
  <c r="J50" i="6"/>
  <c r="J48" i="6"/>
  <c r="J38" i="6"/>
  <c r="J36" i="6"/>
  <c r="J26" i="6"/>
  <c r="J24" i="6"/>
  <c r="J49" i="6"/>
  <c r="J37" i="6"/>
  <c r="J25" i="6"/>
  <c r="J59" i="6"/>
  <c r="J47" i="6"/>
  <c r="J35" i="6"/>
  <c r="J23" i="6"/>
  <c r="J58" i="6"/>
  <c r="J46" i="6"/>
  <c r="J34" i="6"/>
  <c r="J22" i="6"/>
  <c r="J57" i="6"/>
  <c r="J45" i="6"/>
  <c r="J33" i="6"/>
  <c r="J21" i="6"/>
  <c r="J56" i="6"/>
  <c r="J44" i="6"/>
  <c r="J32" i="6"/>
  <c r="J20" i="6"/>
  <c r="J55" i="6"/>
  <c r="J43" i="6"/>
  <c r="J31" i="6"/>
  <c r="J19" i="6"/>
  <c r="J54" i="6"/>
  <c r="J42" i="6"/>
  <c r="J30" i="6"/>
  <c r="J18" i="6"/>
  <c r="J53" i="6"/>
  <c r="J41" i="6"/>
  <c r="J29" i="6"/>
  <c r="J17" i="6"/>
  <c r="J52" i="6"/>
  <c r="J40" i="6"/>
  <c r="J28" i="6"/>
  <c r="J16" i="6"/>
  <c r="J63" i="6"/>
  <c r="J51" i="6"/>
  <c r="J39" i="6"/>
  <c r="J27" i="6"/>
  <c r="J15" i="6"/>
  <c r="J14" i="6"/>
  <c r="AE28" i="10"/>
  <c r="AC19" i="10"/>
  <c r="AC20" i="10" s="1"/>
  <c r="AC22" i="10" s="1"/>
  <c r="AE19" i="10"/>
  <c r="AE20" i="10" s="1"/>
  <c r="AE22" i="10" s="1"/>
  <c r="AC28" i="10"/>
  <c r="AD19" i="10"/>
  <c r="AD28" i="10"/>
  <c r="X13" i="10"/>
  <c r="V13" i="10"/>
  <c r="W13" i="10" s="1"/>
  <c r="D8" i="2"/>
  <c r="AC20" i="11" l="1"/>
  <c r="AD21" i="11"/>
  <c r="AC21" i="11"/>
  <c r="AE21" i="11"/>
  <c r="AC21" i="10"/>
  <c r="AE21" i="10"/>
  <c r="AD21" i="10"/>
  <c r="AD20" i="10"/>
  <c r="AD22" i="10" s="1"/>
  <c r="B114"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C112" i="2"/>
  <c r="C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F11" i="8"/>
  <c r="F10" i="8"/>
  <c r="F9" i="8"/>
  <c r="F8" i="8"/>
  <c r="F7" i="8"/>
  <c r="F6" i="8"/>
  <c r="F5" i="8"/>
  <c r="F4" i="8"/>
  <c r="F3" i="8"/>
  <c r="W9" i="6"/>
  <c r="K9" i="6"/>
  <c r="W8" i="6"/>
  <c r="K8" i="6"/>
  <c r="W6" i="6"/>
  <c r="G6" i="6"/>
  <c r="O5" i="6"/>
  <c r="G5" i="6"/>
  <c r="N115" i="6"/>
  <c r="AV114" i="2"/>
  <c r="AU114" i="2"/>
  <c r="AT114" i="2"/>
  <c r="Y114" i="2"/>
  <c r="Z114" i="2" s="1"/>
  <c r="X114" i="2"/>
  <c r="U114" i="2"/>
  <c r="V114" i="2" s="1"/>
  <c r="W114" i="2" s="1"/>
  <c r="O114" i="2"/>
  <c r="P114" i="2" s="1"/>
  <c r="Q114" i="2" s="1"/>
  <c r="I114" i="2"/>
  <c r="J114" i="2" s="1"/>
  <c r="K114" i="2" s="1"/>
  <c r="F115" i="6"/>
  <c r="AV113" i="2"/>
  <c r="AU113" i="2"/>
  <c r="AT113" i="2"/>
  <c r="Y113" i="2"/>
  <c r="F114" i="6" s="1"/>
  <c r="X113" i="2"/>
  <c r="U113" i="2"/>
  <c r="V113" i="2" s="1"/>
  <c r="W113" i="2" s="1"/>
  <c r="O113" i="2"/>
  <c r="P113" i="2" s="1"/>
  <c r="Q113" i="2" s="1"/>
  <c r="I113" i="2"/>
  <c r="J113" i="2" s="1"/>
  <c r="K113" i="2" s="1"/>
  <c r="AV112" i="2"/>
  <c r="AU112" i="2"/>
  <c r="AT112" i="2"/>
  <c r="Y112" i="2"/>
  <c r="F113" i="6" s="1"/>
  <c r="X112" i="2"/>
  <c r="U112" i="2"/>
  <c r="V112" i="2" s="1"/>
  <c r="W112" i="2" s="1"/>
  <c r="O112" i="2"/>
  <c r="P112" i="2" s="1"/>
  <c r="Q112" i="2" s="1"/>
  <c r="I112" i="2"/>
  <c r="J112" i="2" s="1"/>
  <c r="K112" i="2" s="1"/>
  <c r="AV111" i="2"/>
  <c r="AU111" i="2"/>
  <c r="AT111" i="2"/>
  <c r="Y111" i="2"/>
  <c r="F112" i="6" s="1"/>
  <c r="X111" i="2"/>
  <c r="U111" i="2"/>
  <c r="V111" i="2" s="1"/>
  <c r="W111" i="2" s="1"/>
  <c r="O111" i="2"/>
  <c r="P111" i="2" s="1"/>
  <c r="Q111" i="2" s="1"/>
  <c r="I111" i="2"/>
  <c r="J111" i="2" s="1"/>
  <c r="K111" i="2" s="1"/>
  <c r="AV110" i="2"/>
  <c r="AU110" i="2"/>
  <c r="AT110" i="2"/>
  <c r="Y110" i="2"/>
  <c r="F111" i="6" s="1"/>
  <c r="X110" i="2"/>
  <c r="U110" i="2"/>
  <c r="V110" i="2" s="1"/>
  <c r="W110" i="2" s="1"/>
  <c r="O110" i="2"/>
  <c r="P110" i="2" s="1"/>
  <c r="Q110" i="2" s="1"/>
  <c r="I110" i="2"/>
  <c r="J110" i="2" s="1"/>
  <c r="K110" i="2" s="1"/>
  <c r="AV109" i="2"/>
  <c r="AU109" i="2"/>
  <c r="AT109" i="2"/>
  <c r="Y109" i="2"/>
  <c r="F110" i="6" s="1"/>
  <c r="X109" i="2"/>
  <c r="U109" i="2"/>
  <c r="V109" i="2" s="1"/>
  <c r="W109" i="2" s="1"/>
  <c r="O109" i="2"/>
  <c r="P109" i="2" s="1"/>
  <c r="Q109" i="2" s="1"/>
  <c r="I109" i="2"/>
  <c r="J109" i="2" s="1"/>
  <c r="K109" i="2" s="1"/>
  <c r="AV108" i="2"/>
  <c r="AU108" i="2"/>
  <c r="AT108" i="2"/>
  <c r="Y108" i="2"/>
  <c r="F109" i="6" s="1"/>
  <c r="X108" i="2"/>
  <c r="U108" i="2"/>
  <c r="V108" i="2" s="1"/>
  <c r="W108" i="2" s="1"/>
  <c r="O108" i="2"/>
  <c r="P108" i="2" s="1"/>
  <c r="Q108" i="2" s="1"/>
  <c r="I108" i="2"/>
  <c r="J108" i="2" s="1"/>
  <c r="K108" i="2" s="1"/>
  <c r="AV107" i="2"/>
  <c r="AU107" i="2"/>
  <c r="AT107" i="2"/>
  <c r="Y107" i="2"/>
  <c r="F108" i="6" s="1"/>
  <c r="X107" i="2"/>
  <c r="U107" i="2"/>
  <c r="V107" i="2" s="1"/>
  <c r="W107" i="2" s="1"/>
  <c r="O107" i="2"/>
  <c r="P107" i="2" s="1"/>
  <c r="Q107" i="2" s="1"/>
  <c r="I107" i="2"/>
  <c r="J107" i="2" s="1"/>
  <c r="K107" i="2" s="1"/>
  <c r="AV106" i="2"/>
  <c r="AU106" i="2"/>
  <c r="AT106" i="2"/>
  <c r="Y106" i="2"/>
  <c r="F107" i="6" s="1"/>
  <c r="X106" i="2"/>
  <c r="U106" i="2"/>
  <c r="V106" i="2" s="1"/>
  <c r="W106" i="2" s="1"/>
  <c r="O106" i="2"/>
  <c r="P106" i="2" s="1"/>
  <c r="Q106" i="2" s="1"/>
  <c r="I106" i="2"/>
  <c r="J106" i="2" s="1"/>
  <c r="K106" i="2" s="1"/>
  <c r="AV105" i="2"/>
  <c r="AU105" i="2"/>
  <c r="AT105" i="2"/>
  <c r="Y105" i="2"/>
  <c r="F106" i="6" s="1"/>
  <c r="X105" i="2"/>
  <c r="U105" i="2"/>
  <c r="V105" i="2" s="1"/>
  <c r="W105" i="2" s="1"/>
  <c r="O105" i="2"/>
  <c r="P105" i="2" s="1"/>
  <c r="Q105" i="2" s="1"/>
  <c r="I105" i="2"/>
  <c r="J105" i="2" s="1"/>
  <c r="K105" i="2" s="1"/>
  <c r="AV104" i="2"/>
  <c r="AU104" i="2"/>
  <c r="AT104" i="2"/>
  <c r="Y104" i="2"/>
  <c r="F105" i="6" s="1"/>
  <c r="X104" i="2"/>
  <c r="U104" i="2"/>
  <c r="V104" i="2" s="1"/>
  <c r="W104" i="2" s="1"/>
  <c r="O104" i="2"/>
  <c r="P104" i="2" s="1"/>
  <c r="Q104" i="2" s="1"/>
  <c r="I104" i="2"/>
  <c r="J104" i="2" s="1"/>
  <c r="K104" i="2" s="1"/>
  <c r="AV103" i="2"/>
  <c r="AU103" i="2"/>
  <c r="AT103" i="2"/>
  <c r="Y103" i="2"/>
  <c r="F104" i="6" s="1"/>
  <c r="X103" i="2"/>
  <c r="U103" i="2"/>
  <c r="V103" i="2" s="1"/>
  <c r="W103" i="2" s="1"/>
  <c r="O103" i="2"/>
  <c r="P103" i="2" s="1"/>
  <c r="Q103" i="2" s="1"/>
  <c r="I103" i="2"/>
  <c r="J103" i="2" s="1"/>
  <c r="K103" i="2" s="1"/>
  <c r="AV102" i="2"/>
  <c r="AU102" i="2"/>
  <c r="AT102" i="2"/>
  <c r="Y102" i="2"/>
  <c r="F103" i="6" s="1"/>
  <c r="X102" i="2"/>
  <c r="U102" i="2"/>
  <c r="V102" i="2" s="1"/>
  <c r="W102" i="2" s="1"/>
  <c r="O102" i="2"/>
  <c r="P102" i="2" s="1"/>
  <c r="Q102" i="2" s="1"/>
  <c r="I102" i="2"/>
  <c r="J102" i="2" s="1"/>
  <c r="K102" i="2" s="1"/>
  <c r="AV101" i="2"/>
  <c r="AU101" i="2"/>
  <c r="AT101" i="2"/>
  <c r="Y101" i="2"/>
  <c r="F102" i="6" s="1"/>
  <c r="X101" i="2"/>
  <c r="U101" i="2"/>
  <c r="V101" i="2" s="1"/>
  <c r="W101" i="2" s="1"/>
  <c r="O101" i="2"/>
  <c r="P101" i="2" s="1"/>
  <c r="Q101" i="2" s="1"/>
  <c r="I101" i="2"/>
  <c r="J101" i="2" s="1"/>
  <c r="K101" i="2" s="1"/>
  <c r="AV100" i="2"/>
  <c r="AU100" i="2"/>
  <c r="AT100" i="2"/>
  <c r="Y100" i="2"/>
  <c r="F101" i="6" s="1"/>
  <c r="X100" i="2"/>
  <c r="U100" i="2"/>
  <c r="V100" i="2" s="1"/>
  <c r="W100" i="2" s="1"/>
  <c r="O100" i="2"/>
  <c r="P100" i="2" s="1"/>
  <c r="Q100" i="2" s="1"/>
  <c r="I100" i="2"/>
  <c r="J100" i="2" s="1"/>
  <c r="K100" i="2" s="1"/>
  <c r="AV99" i="2"/>
  <c r="AU99" i="2"/>
  <c r="AT99" i="2"/>
  <c r="Y99" i="2"/>
  <c r="F100" i="6" s="1"/>
  <c r="X99" i="2"/>
  <c r="U99" i="2"/>
  <c r="V99" i="2" s="1"/>
  <c r="W99" i="2" s="1"/>
  <c r="O99" i="2"/>
  <c r="P99" i="2" s="1"/>
  <c r="Q99" i="2" s="1"/>
  <c r="I99" i="2"/>
  <c r="J99" i="2" s="1"/>
  <c r="K99" i="2" s="1"/>
  <c r="AV98" i="2"/>
  <c r="AU98" i="2"/>
  <c r="AT98" i="2"/>
  <c r="Y98" i="2"/>
  <c r="F99" i="6" s="1"/>
  <c r="X98" i="2"/>
  <c r="U98" i="2"/>
  <c r="V98" i="2" s="1"/>
  <c r="W98" i="2" s="1"/>
  <c r="O98" i="2"/>
  <c r="P98" i="2" s="1"/>
  <c r="Q98" i="2" s="1"/>
  <c r="I98" i="2"/>
  <c r="J98" i="2" s="1"/>
  <c r="K98" i="2" s="1"/>
  <c r="AV97" i="2"/>
  <c r="AU97" i="2"/>
  <c r="AT97" i="2"/>
  <c r="Y97" i="2"/>
  <c r="F98" i="6" s="1"/>
  <c r="X97" i="2"/>
  <c r="U97" i="2"/>
  <c r="V97" i="2" s="1"/>
  <c r="W97" i="2" s="1"/>
  <c r="O97" i="2"/>
  <c r="P97" i="2" s="1"/>
  <c r="Q97" i="2" s="1"/>
  <c r="I97" i="2"/>
  <c r="J97" i="2" s="1"/>
  <c r="K97" i="2" s="1"/>
  <c r="AV96" i="2"/>
  <c r="AU96" i="2"/>
  <c r="AT96" i="2"/>
  <c r="Y96" i="2"/>
  <c r="F97" i="6" s="1"/>
  <c r="X96" i="2"/>
  <c r="U96" i="2"/>
  <c r="V96" i="2" s="1"/>
  <c r="W96" i="2" s="1"/>
  <c r="O96" i="2"/>
  <c r="P96" i="2" s="1"/>
  <c r="Q96" i="2" s="1"/>
  <c r="I96" i="2"/>
  <c r="J96" i="2" s="1"/>
  <c r="K96" i="2" s="1"/>
  <c r="AV95" i="2"/>
  <c r="AU95" i="2"/>
  <c r="AT95" i="2"/>
  <c r="Y95" i="2"/>
  <c r="F96" i="6" s="1"/>
  <c r="X95" i="2"/>
  <c r="U95" i="2"/>
  <c r="V95" i="2" s="1"/>
  <c r="W95" i="2" s="1"/>
  <c r="O95" i="2"/>
  <c r="P95" i="2" s="1"/>
  <c r="Q95" i="2" s="1"/>
  <c r="I95" i="2"/>
  <c r="J95" i="2" s="1"/>
  <c r="K95" i="2" s="1"/>
  <c r="AV94" i="2"/>
  <c r="AU94" i="2"/>
  <c r="AT94" i="2"/>
  <c r="Y94" i="2"/>
  <c r="F95" i="6" s="1"/>
  <c r="X94" i="2"/>
  <c r="U94" i="2"/>
  <c r="V94" i="2" s="1"/>
  <c r="W94" i="2" s="1"/>
  <c r="O94" i="2"/>
  <c r="P94" i="2" s="1"/>
  <c r="Q94" i="2" s="1"/>
  <c r="I94" i="2"/>
  <c r="J94" i="2" s="1"/>
  <c r="K94" i="2" s="1"/>
  <c r="AV93" i="2"/>
  <c r="AU93" i="2"/>
  <c r="AT93" i="2"/>
  <c r="Y93" i="2"/>
  <c r="F94" i="6" s="1"/>
  <c r="X93" i="2"/>
  <c r="U93" i="2"/>
  <c r="V93" i="2" s="1"/>
  <c r="W93" i="2" s="1"/>
  <c r="O93" i="2"/>
  <c r="P93" i="2" s="1"/>
  <c r="Q93" i="2" s="1"/>
  <c r="I93" i="2"/>
  <c r="J93" i="2" s="1"/>
  <c r="K93" i="2" s="1"/>
  <c r="AV92" i="2"/>
  <c r="AU92" i="2"/>
  <c r="AT92" i="2"/>
  <c r="Y92" i="2"/>
  <c r="F93" i="6" s="1"/>
  <c r="X92" i="2"/>
  <c r="U92" i="2"/>
  <c r="V92" i="2" s="1"/>
  <c r="W92" i="2" s="1"/>
  <c r="O92" i="2"/>
  <c r="P92" i="2" s="1"/>
  <c r="Q92" i="2" s="1"/>
  <c r="I92" i="2"/>
  <c r="J92" i="2" s="1"/>
  <c r="K92" i="2" s="1"/>
  <c r="AV91" i="2"/>
  <c r="AU91" i="2"/>
  <c r="AT91" i="2"/>
  <c r="Y91" i="2"/>
  <c r="F92" i="6" s="1"/>
  <c r="X91" i="2"/>
  <c r="U91" i="2"/>
  <c r="V91" i="2" s="1"/>
  <c r="W91" i="2" s="1"/>
  <c r="O91" i="2"/>
  <c r="P91" i="2" s="1"/>
  <c r="Q91" i="2" s="1"/>
  <c r="I91" i="2"/>
  <c r="J91" i="2" s="1"/>
  <c r="K91" i="2" s="1"/>
  <c r="AV90" i="2"/>
  <c r="AU90" i="2"/>
  <c r="AT90" i="2"/>
  <c r="Y90" i="2"/>
  <c r="F91" i="6" s="1"/>
  <c r="X90" i="2"/>
  <c r="U90" i="2"/>
  <c r="V90" i="2" s="1"/>
  <c r="W90" i="2" s="1"/>
  <c r="O90" i="2"/>
  <c r="P90" i="2" s="1"/>
  <c r="Q90" i="2" s="1"/>
  <c r="I90" i="2"/>
  <c r="J90" i="2" s="1"/>
  <c r="K90" i="2" s="1"/>
  <c r="AV89" i="2"/>
  <c r="AU89" i="2"/>
  <c r="AT89" i="2"/>
  <c r="Y89" i="2"/>
  <c r="F90" i="6" s="1"/>
  <c r="X89" i="2"/>
  <c r="U89" i="2"/>
  <c r="V89" i="2" s="1"/>
  <c r="W89" i="2" s="1"/>
  <c r="O89" i="2"/>
  <c r="P89" i="2" s="1"/>
  <c r="Q89" i="2" s="1"/>
  <c r="I89" i="2"/>
  <c r="J89" i="2" s="1"/>
  <c r="K89" i="2" s="1"/>
  <c r="AV88" i="2"/>
  <c r="AU88" i="2"/>
  <c r="AT88" i="2"/>
  <c r="Y88" i="2"/>
  <c r="F89" i="6" s="1"/>
  <c r="X88" i="2"/>
  <c r="U88" i="2"/>
  <c r="V88" i="2" s="1"/>
  <c r="W88" i="2" s="1"/>
  <c r="O88" i="2"/>
  <c r="P88" i="2" s="1"/>
  <c r="Q88" i="2" s="1"/>
  <c r="I88" i="2"/>
  <c r="J88" i="2" s="1"/>
  <c r="K88" i="2" s="1"/>
  <c r="AV87" i="2"/>
  <c r="AU87" i="2"/>
  <c r="AT87" i="2"/>
  <c r="Y87" i="2"/>
  <c r="F88" i="6" s="1"/>
  <c r="X87" i="2"/>
  <c r="U87" i="2"/>
  <c r="V87" i="2" s="1"/>
  <c r="W87" i="2" s="1"/>
  <c r="O87" i="2"/>
  <c r="P87" i="2" s="1"/>
  <c r="Q87" i="2" s="1"/>
  <c r="I87" i="2"/>
  <c r="J87" i="2" s="1"/>
  <c r="K87" i="2" s="1"/>
  <c r="AV86" i="2"/>
  <c r="AU86" i="2"/>
  <c r="AT86" i="2"/>
  <c r="Y86" i="2"/>
  <c r="F87" i="6" s="1"/>
  <c r="X86" i="2"/>
  <c r="U86" i="2"/>
  <c r="V86" i="2" s="1"/>
  <c r="W86" i="2" s="1"/>
  <c r="O86" i="2"/>
  <c r="P86" i="2" s="1"/>
  <c r="Q86" i="2" s="1"/>
  <c r="I86" i="2"/>
  <c r="J86" i="2" s="1"/>
  <c r="K86" i="2" s="1"/>
  <c r="AV85" i="2"/>
  <c r="AU85" i="2"/>
  <c r="AT85" i="2"/>
  <c r="Y85" i="2"/>
  <c r="F86" i="6" s="1"/>
  <c r="X85" i="2"/>
  <c r="U85" i="2"/>
  <c r="V85" i="2" s="1"/>
  <c r="W85" i="2" s="1"/>
  <c r="O85" i="2"/>
  <c r="P85" i="2" s="1"/>
  <c r="Q85" i="2" s="1"/>
  <c r="I85" i="2"/>
  <c r="J85" i="2" s="1"/>
  <c r="K85" i="2" s="1"/>
  <c r="AV84" i="2"/>
  <c r="AU84" i="2"/>
  <c r="AT84" i="2"/>
  <c r="Y84" i="2"/>
  <c r="F85" i="6" s="1"/>
  <c r="X84" i="2"/>
  <c r="U84" i="2"/>
  <c r="V84" i="2" s="1"/>
  <c r="W84" i="2" s="1"/>
  <c r="O84" i="2"/>
  <c r="P84" i="2" s="1"/>
  <c r="Q84" i="2" s="1"/>
  <c r="I84" i="2"/>
  <c r="J84" i="2" s="1"/>
  <c r="K84" i="2" s="1"/>
  <c r="AV83" i="2"/>
  <c r="AU83" i="2"/>
  <c r="AT83" i="2"/>
  <c r="Y83" i="2"/>
  <c r="F84" i="6" s="1"/>
  <c r="X83" i="2"/>
  <c r="U83" i="2"/>
  <c r="V83" i="2" s="1"/>
  <c r="W83" i="2" s="1"/>
  <c r="O83" i="2"/>
  <c r="P83" i="2" s="1"/>
  <c r="Q83" i="2" s="1"/>
  <c r="I83" i="2"/>
  <c r="J83" i="2" s="1"/>
  <c r="K83" i="2" s="1"/>
  <c r="AV82" i="2"/>
  <c r="AU82" i="2"/>
  <c r="AT82" i="2"/>
  <c r="Y82" i="2"/>
  <c r="F83" i="6" s="1"/>
  <c r="X82" i="2"/>
  <c r="U82" i="2"/>
  <c r="V82" i="2" s="1"/>
  <c r="W82" i="2" s="1"/>
  <c r="O82" i="2"/>
  <c r="P82" i="2" s="1"/>
  <c r="Q82" i="2" s="1"/>
  <c r="I82" i="2"/>
  <c r="J82" i="2" s="1"/>
  <c r="K82" i="2" s="1"/>
  <c r="AV81" i="2"/>
  <c r="AU81" i="2"/>
  <c r="AT81" i="2"/>
  <c r="Y81" i="2"/>
  <c r="F82" i="6" s="1"/>
  <c r="X81" i="2"/>
  <c r="U81" i="2"/>
  <c r="V81" i="2" s="1"/>
  <c r="W81" i="2" s="1"/>
  <c r="O81" i="2"/>
  <c r="P81" i="2" s="1"/>
  <c r="Q81" i="2" s="1"/>
  <c r="I81" i="2"/>
  <c r="J81" i="2" s="1"/>
  <c r="K81" i="2" s="1"/>
  <c r="AV80" i="2"/>
  <c r="AU80" i="2"/>
  <c r="AT80" i="2"/>
  <c r="Y80" i="2"/>
  <c r="F81" i="6" s="1"/>
  <c r="X80" i="2"/>
  <c r="U80" i="2"/>
  <c r="V80" i="2" s="1"/>
  <c r="W80" i="2" s="1"/>
  <c r="O80" i="2"/>
  <c r="P80" i="2" s="1"/>
  <c r="Q80" i="2" s="1"/>
  <c r="I80" i="2"/>
  <c r="J80" i="2" s="1"/>
  <c r="K80" i="2" s="1"/>
  <c r="AV79" i="2"/>
  <c r="AU79" i="2"/>
  <c r="AT79" i="2"/>
  <c r="Y79" i="2"/>
  <c r="F80" i="6" s="1"/>
  <c r="X79" i="2"/>
  <c r="U79" i="2"/>
  <c r="V79" i="2" s="1"/>
  <c r="W79" i="2" s="1"/>
  <c r="O79" i="2"/>
  <c r="P79" i="2" s="1"/>
  <c r="Q79" i="2" s="1"/>
  <c r="I79" i="2"/>
  <c r="J79" i="2" s="1"/>
  <c r="K79" i="2" s="1"/>
  <c r="AV78" i="2"/>
  <c r="AU78" i="2"/>
  <c r="AT78" i="2"/>
  <c r="Y78" i="2"/>
  <c r="F79" i="6" s="1"/>
  <c r="X78" i="2"/>
  <c r="U78" i="2"/>
  <c r="V78" i="2" s="1"/>
  <c r="W78" i="2" s="1"/>
  <c r="O78" i="2"/>
  <c r="P78" i="2" s="1"/>
  <c r="Q78" i="2" s="1"/>
  <c r="I78" i="2"/>
  <c r="J78" i="2" s="1"/>
  <c r="K78" i="2" s="1"/>
  <c r="AV77" i="2"/>
  <c r="AU77" i="2"/>
  <c r="AT77" i="2"/>
  <c r="Y77" i="2"/>
  <c r="F78" i="6" s="1"/>
  <c r="X77" i="2"/>
  <c r="U77" i="2"/>
  <c r="V77" i="2" s="1"/>
  <c r="W77" i="2" s="1"/>
  <c r="O77" i="2"/>
  <c r="P77" i="2" s="1"/>
  <c r="Q77" i="2" s="1"/>
  <c r="I77" i="2"/>
  <c r="J77" i="2" s="1"/>
  <c r="K77" i="2" s="1"/>
  <c r="AV76" i="2"/>
  <c r="AU76" i="2"/>
  <c r="AT76" i="2"/>
  <c r="Y76" i="2"/>
  <c r="F77" i="6" s="1"/>
  <c r="X76" i="2"/>
  <c r="U76" i="2"/>
  <c r="V76" i="2" s="1"/>
  <c r="W76" i="2" s="1"/>
  <c r="O76" i="2"/>
  <c r="P76" i="2" s="1"/>
  <c r="Q76" i="2" s="1"/>
  <c r="I76" i="2"/>
  <c r="J76" i="2" s="1"/>
  <c r="K76" i="2" s="1"/>
  <c r="AV75" i="2"/>
  <c r="AU75" i="2"/>
  <c r="AT75" i="2"/>
  <c r="Y75" i="2"/>
  <c r="F76" i="6" s="1"/>
  <c r="X75" i="2"/>
  <c r="U75" i="2"/>
  <c r="V75" i="2" s="1"/>
  <c r="W75" i="2" s="1"/>
  <c r="O75" i="2"/>
  <c r="P75" i="2" s="1"/>
  <c r="Q75" i="2" s="1"/>
  <c r="I75" i="2"/>
  <c r="J75" i="2" s="1"/>
  <c r="K75" i="2" s="1"/>
  <c r="AV74" i="2"/>
  <c r="AU74" i="2"/>
  <c r="AT74" i="2"/>
  <c r="Y74" i="2"/>
  <c r="F75" i="6" s="1"/>
  <c r="X74" i="2"/>
  <c r="U74" i="2"/>
  <c r="V74" i="2" s="1"/>
  <c r="W74" i="2" s="1"/>
  <c r="O74" i="2"/>
  <c r="P74" i="2" s="1"/>
  <c r="Q74" i="2" s="1"/>
  <c r="I74" i="2"/>
  <c r="J74" i="2" s="1"/>
  <c r="K74" i="2" s="1"/>
  <c r="AV73" i="2"/>
  <c r="AU73" i="2"/>
  <c r="AT73" i="2"/>
  <c r="Y73" i="2"/>
  <c r="F74" i="6" s="1"/>
  <c r="X73" i="2"/>
  <c r="U73" i="2"/>
  <c r="V73" i="2" s="1"/>
  <c r="W73" i="2" s="1"/>
  <c r="O73" i="2"/>
  <c r="P73" i="2" s="1"/>
  <c r="Q73" i="2" s="1"/>
  <c r="I73" i="2"/>
  <c r="J73" i="2" s="1"/>
  <c r="K73" i="2" s="1"/>
  <c r="AV72" i="2"/>
  <c r="AU72" i="2"/>
  <c r="AT72" i="2"/>
  <c r="Y72" i="2"/>
  <c r="Z72" i="2" s="1"/>
  <c r="X72" i="2"/>
  <c r="U72" i="2"/>
  <c r="V72" i="2" s="1"/>
  <c r="W72" i="2" s="1"/>
  <c r="O72" i="2"/>
  <c r="P72" i="2" s="1"/>
  <c r="Q72" i="2" s="1"/>
  <c r="I72" i="2"/>
  <c r="J72" i="2" s="1"/>
  <c r="K72" i="2" s="1"/>
  <c r="AV71" i="2"/>
  <c r="AU71" i="2"/>
  <c r="AT71" i="2"/>
  <c r="Y71" i="2"/>
  <c r="F72" i="6" s="1"/>
  <c r="X71" i="2"/>
  <c r="U71" i="2"/>
  <c r="V71" i="2" s="1"/>
  <c r="W71" i="2" s="1"/>
  <c r="O71" i="2"/>
  <c r="P71" i="2" s="1"/>
  <c r="Q71" i="2" s="1"/>
  <c r="I71" i="2"/>
  <c r="J71" i="2" s="1"/>
  <c r="K71" i="2" s="1"/>
  <c r="AV70" i="2"/>
  <c r="AU70" i="2"/>
  <c r="AT70" i="2"/>
  <c r="Y70" i="2"/>
  <c r="F71" i="6" s="1"/>
  <c r="X70" i="2"/>
  <c r="U70" i="2"/>
  <c r="V70" i="2" s="1"/>
  <c r="W70" i="2" s="1"/>
  <c r="O70" i="2"/>
  <c r="P70" i="2" s="1"/>
  <c r="Q70" i="2" s="1"/>
  <c r="I70" i="2"/>
  <c r="J70" i="2" s="1"/>
  <c r="K70" i="2" s="1"/>
  <c r="AV69" i="2"/>
  <c r="AU69" i="2"/>
  <c r="AT69" i="2"/>
  <c r="Y69" i="2"/>
  <c r="F70" i="6" s="1"/>
  <c r="X69" i="2"/>
  <c r="U69" i="2"/>
  <c r="V69" i="2" s="1"/>
  <c r="W69" i="2" s="1"/>
  <c r="O69" i="2"/>
  <c r="P69" i="2" s="1"/>
  <c r="Q69" i="2" s="1"/>
  <c r="I69" i="2"/>
  <c r="J69" i="2" s="1"/>
  <c r="K69" i="2" s="1"/>
  <c r="AV68" i="2"/>
  <c r="AU68" i="2"/>
  <c r="AT68" i="2"/>
  <c r="Y68" i="2"/>
  <c r="F69" i="6" s="1"/>
  <c r="X68" i="2"/>
  <c r="U68" i="2"/>
  <c r="V68" i="2" s="1"/>
  <c r="W68" i="2" s="1"/>
  <c r="O68" i="2"/>
  <c r="P68" i="2" s="1"/>
  <c r="Q68" i="2" s="1"/>
  <c r="I68" i="2"/>
  <c r="J68" i="2" s="1"/>
  <c r="K68" i="2" s="1"/>
  <c r="AV67" i="2"/>
  <c r="AU67" i="2"/>
  <c r="AT67" i="2"/>
  <c r="Y67" i="2"/>
  <c r="F68" i="6" s="1"/>
  <c r="X67" i="2"/>
  <c r="U67" i="2"/>
  <c r="V67" i="2" s="1"/>
  <c r="W67" i="2" s="1"/>
  <c r="O67" i="2"/>
  <c r="P67" i="2" s="1"/>
  <c r="Q67" i="2" s="1"/>
  <c r="I67" i="2"/>
  <c r="J67" i="2" s="1"/>
  <c r="K67" i="2" s="1"/>
  <c r="AV66" i="2"/>
  <c r="AU66" i="2"/>
  <c r="AT66" i="2"/>
  <c r="Y66" i="2"/>
  <c r="F67" i="6" s="1"/>
  <c r="X66" i="2"/>
  <c r="U66" i="2"/>
  <c r="V66" i="2" s="1"/>
  <c r="W66" i="2" s="1"/>
  <c r="O66" i="2"/>
  <c r="P66" i="2" s="1"/>
  <c r="Q66" i="2" s="1"/>
  <c r="I66" i="2"/>
  <c r="J66" i="2" s="1"/>
  <c r="K66" i="2" s="1"/>
  <c r="AV64" i="2"/>
  <c r="AU64" i="2"/>
  <c r="AT64" i="2"/>
  <c r="AV62" i="2"/>
  <c r="AU62" i="2"/>
  <c r="AT62" i="2"/>
  <c r="Y62" i="2"/>
  <c r="F63" i="6" s="1"/>
  <c r="X62" i="2"/>
  <c r="U62" i="2"/>
  <c r="V62" i="2" s="1"/>
  <c r="W62" i="2" s="1"/>
  <c r="O62" i="2"/>
  <c r="P62" i="2" s="1"/>
  <c r="Q62" i="2" s="1"/>
  <c r="I62" i="2"/>
  <c r="J62" i="2" s="1"/>
  <c r="K62" i="2" s="1"/>
  <c r="AV61" i="2"/>
  <c r="AU61" i="2"/>
  <c r="AT61" i="2"/>
  <c r="Y61" i="2"/>
  <c r="F62" i="6" s="1"/>
  <c r="X61" i="2"/>
  <c r="U61" i="2"/>
  <c r="V61" i="2" s="1"/>
  <c r="W61" i="2" s="1"/>
  <c r="O61" i="2"/>
  <c r="P61" i="2" s="1"/>
  <c r="Q61" i="2" s="1"/>
  <c r="I61" i="2"/>
  <c r="J61" i="2" s="1"/>
  <c r="K61" i="2" s="1"/>
  <c r="AV60" i="2"/>
  <c r="AU60" i="2"/>
  <c r="AT60" i="2"/>
  <c r="Y60" i="2"/>
  <c r="F61" i="6" s="1"/>
  <c r="X60" i="2"/>
  <c r="U60" i="2"/>
  <c r="V60" i="2" s="1"/>
  <c r="W60" i="2" s="1"/>
  <c r="O60" i="2"/>
  <c r="P60" i="2" s="1"/>
  <c r="Q60" i="2" s="1"/>
  <c r="I60" i="2"/>
  <c r="J60" i="2" s="1"/>
  <c r="K60" i="2" s="1"/>
  <c r="AV59" i="2"/>
  <c r="AU59" i="2"/>
  <c r="AT59" i="2"/>
  <c r="Y59" i="2"/>
  <c r="F60" i="6" s="1"/>
  <c r="X59" i="2"/>
  <c r="U59" i="2"/>
  <c r="V59" i="2" s="1"/>
  <c r="W59" i="2" s="1"/>
  <c r="O59" i="2"/>
  <c r="P59" i="2" s="1"/>
  <c r="Q59" i="2" s="1"/>
  <c r="I59" i="2"/>
  <c r="J59" i="2" s="1"/>
  <c r="K59" i="2" s="1"/>
  <c r="AV58" i="2"/>
  <c r="AU58" i="2"/>
  <c r="AT58" i="2"/>
  <c r="Y58" i="2"/>
  <c r="F59" i="6" s="1"/>
  <c r="X58" i="2"/>
  <c r="U58" i="2"/>
  <c r="V58" i="2" s="1"/>
  <c r="W58" i="2" s="1"/>
  <c r="O58" i="2"/>
  <c r="P58" i="2" s="1"/>
  <c r="Q58" i="2" s="1"/>
  <c r="I58" i="2"/>
  <c r="J58" i="2" s="1"/>
  <c r="K58" i="2" s="1"/>
  <c r="AV57" i="2"/>
  <c r="AU57" i="2"/>
  <c r="AT57" i="2"/>
  <c r="Y57" i="2"/>
  <c r="F58" i="6" s="1"/>
  <c r="X57" i="2"/>
  <c r="U57" i="2"/>
  <c r="V57" i="2" s="1"/>
  <c r="W57" i="2" s="1"/>
  <c r="O57" i="2"/>
  <c r="P57" i="2" s="1"/>
  <c r="Q57" i="2" s="1"/>
  <c r="I57" i="2"/>
  <c r="J57" i="2" s="1"/>
  <c r="K57" i="2" s="1"/>
  <c r="AV56" i="2"/>
  <c r="AU56" i="2"/>
  <c r="AT56" i="2"/>
  <c r="Y56" i="2"/>
  <c r="F57" i="6" s="1"/>
  <c r="X56" i="2"/>
  <c r="U56" i="2"/>
  <c r="V56" i="2" s="1"/>
  <c r="W56" i="2" s="1"/>
  <c r="O56" i="2"/>
  <c r="P56" i="2" s="1"/>
  <c r="Q56" i="2" s="1"/>
  <c r="I56" i="2"/>
  <c r="J56" i="2" s="1"/>
  <c r="K56" i="2" s="1"/>
  <c r="AV55" i="2"/>
  <c r="AU55" i="2"/>
  <c r="AT55" i="2"/>
  <c r="Y55" i="2"/>
  <c r="F56" i="6" s="1"/>
  <c r="X55" i="2"/>
  <c r="U55" i="2"/>
  <c r="V55" i="2" s="1"/>
  <c r="W55" i="2" s="1"/>
  <c r="O55" i="2"/>
  <c r="P55" i="2" s="1"/>
  <c r="Q55" i="2" s="1"/>
  <c r="I55" i="2"/>
  <c r="J55" i="2" s="1"/>
  <c r="K55" i="2" s="1"/>
  <c r="AV54" i="2"/>
  <c r="AU54" i="2"/>
  <c r="AT54" i="2"/>
  <c r="Y54" i="2"/>
  <c r="F55" i="6" s="1"/>
  <c r="X54" i="2"/>
  <c r="U54" i="2"/>
  <c r="V54" i="2" s="1"/>
  <c r="W54" i="2" s="1"/>
  <c r="O54" i="2"/>
  <c r="P54" i="2" s="1"/>
  <c r="Q54" i="2" s="1"/>
  <c r="I54" i="2"/>
  <c r="J54" i="2" s="1"/>
  <c r="K54" i="2" s="1"/>
  <c r="AV53" i="2"/>
  <c r="AU53" i="2"/>
  <c r="AT53" i="2"/>
  <c r="Y53" i="2"/>
  <c r="F54" i="6" s="1"/>
  <c r="X53" i="2"/>
  <c r="U53" i="2"/>
  <c r="V53" i="2" s="1"/>
  <c r="W53" i="2" s="1"/>
  <c r="O53" i="2"/>
  <c r="P53" i="2" s="1"/>
  <c r="Q53" i="2" s="1"/>
  <c r="I53" i="2"/>
  <c r="J53" i="2" s="1"/>
  <c r="K53" i="2" s="1"/>
  <c r="AV52" i="2"/>
  <c r="AU52" i="2"/>
  <c r="AT52" i="2"/>
  <c r="Y52" i="2"/>
  <c r="F53" i="6" s="1"/>
  <c r="X52" i="2"/>
  <c r="U52" i="2"/>
  <c r="V52" i="2" s="1"/>
  <c r="W52" i="2" s="1"/>
  <c r="O52" i="2"/>
  <c r="P52" i="2" s="1"/>
  <c r="Q52" i="2" s="1"/>
  <c r="I52" i="2"/>
  <c r="J52" i="2" s="1"/>
  <c r="K52" i="2" s="1"/>
  <c r="AV51" i="2"/>
  <c r="AU51" i="2"/>
  <c r="AT51" i="2"/>
  <c r="Y51" i="2"/>
  <c r="F52" i="6" s="1"/>
  <c r="X51" i="2"/>
  <c r="U51" i="2"/>
  <c r="V51" i="2" s="1"/>
  <c r="W51" i="2" s="1"/>
  <c r="O51" i="2"/>
  <c r="P51" i="2" s="1"/>
  <c r="Q51" i="2" s="1"/>
  <c r="I51" i="2"/>
  <c r="J51" i="2" s="1"/>
  <c r="K51" i="2" s="1"/>
  <c r="AV50" i="2"/>
  <c r="AU50" i="2"/>
  <c r="AT50" i="2"/>
  <c r="Y50" i="2"/>
  <c r="F51" i="6" s="1"/>
  <c r="X50" i="2"/>
  <c r="U50" i="2"/>
  <c r="V50" i="2" s="1"/>
  <c r="W50" i="2" s="1"/>
  <c r="O50" i="2"/>
  <c r="P50" i="2" s="1"/>
  <c r="Q50" i="2" s="1"/>
  <c r="I50" i="2"/>
  <c r="J50" i="2" s="1"/>
  <c r="K50" i="2" s="1"/>
  <c r="AV49" i="2"/>
  <c r="AU49" i="2"/>
  <c r="AT49" i="2"/>
  <c r="Y49" i="2"/>
  <c r="F50" i="6" s="1"/>
  <c r="X49" i="2"/>
  <c r="U49" i="2"/>
  <c r="V49" i="2" s="1"/>
  <c r="W49" i="2" s="1"/>
  <c r="O49" i="2"/>
  <c r="P49" i="2" s="1"/>
  <c r="Q49" i="2" s="1"/>
  <c r="I49" i="2"/>
  <c r="J49" i="2" s="1"/>
  <c r="K49" i="2" s="1"/>
  <c r="AV48" i="2"/>
  <c r="AU48" i="2"/>
  <c r="AT48" i="2"/>
  <c r="Y48" i="2"/>
  <c r="F49" i="6" s="1"/>
  <c r="X48" i="2"/>
  <c r="U48" i="2"/>
  <c r="V48" i="2" s="1"/>
  <c r="W48" i="2" s="1"/>
  <c r="O48" i="2"/>
  <c r="P48" i="2" s="1"/>
  <c r="Q48" i="2" s="1"/>
  <c r="I48" i="2"/>
  <c r="J48" i="2" s="1"/>
  <c r="K48" i="2" s="1"/>
  <c r="AV47" i="2"/>
  <c r="AU47" i="2"/>
  <c r="AT47" i="2"/>
  <c r="Y47" i="2"/>
  <c r="F48" i="6" s="1"/>
  <c r="X47" i="2"/>
  <c r="U47" i="2"/>
  <c r="V47" i="2" s="1"/>
  <c r="W47" i="2" s="1"/>
  <c r="O47" i="2"/>
  <c r="P47" i="2" s="1"/>
  <c r="Q47" i="2" s="1"/>
  <c r="I47" i="2"/>
  <c r="J47" i="2" s="1"/>
  <c r="K47" i="2" s="1"/>
  <c r="AV46" i="2"/>
  <c r="AU46" i="2"/>
  <c r="AT46" i="2"/>
  <c r="Y46" i="2"/>
  <c r="F47" i="6" s="1"/>
  <c r="X46" i="2"/>
  <c r="U46" i="2"/>
  <c r="V46" i="2" s="1"/>
  <c r="W46" i="2" s="1"/>
  <c r="O46" i="2"/>
  <c r="P46" i="2" s="1"/>
  <c r="Q46" i="2" s="1"/>
  <c r="I46" i="2"/>
  <c r="J46" i="2" s="1"/>
  <c r="K46" i="2" s="1"/>
  <c r="AV45" i="2"/>
  <c r="AU45" i="2"/>
  <c r="AT45" i="2"/>
  <c r="Y45" i="2"/>
  <c r="F46" i="6" s="1"/>
  <c r="X45" i="2"/>
  <c r="U45" i="2"/>
  <c r="V45" i="2" s="1"/>
  <c r="W45" i="2" s="1"/>
  <c r="O45" i="2"/>
  <c r="P45" i="2" s="1"/>
  <c r="Q45" i="2" s="1"/>
  <c r="I45" i="2"/>
  <c r="J45" i="2" s="1"/>
  <c r="K45" i="2" s="1"/>
  <c r="AV44" i="2"/>
  <c r="AU44" i="2"/>
  <c r="AT44" i="2"/>
  <c r="Y44" i="2"/>
  <c r="F45" i="6" s="1"/>
  <c r="X44" i="2"/>
  <c r="U44" i="2"/>
  <c r="V44" i="2" s="1"/>
  <c r="W44" i="2" s="1"/>
  <c r="O44" i="2"/>
  <c r="P44" i="2" s="1"/>
  <c r="Q44" i="2" s="1"/>
  <c r="I44" i="2"/>
  <c r="J44" i="2" s="1"/>
  <c r="K44" i="2" s="1"/>
  <c r="AV43" i="2"/>
  <c r="AU43" i="2"/>
  <c r="AT43" i="2"/>
  <c r="Y43" i="2"/>
  <c r="F44" i="6" s="1"/>
  <c r="X43" i="2"/>
  <c r="U43" i="2"/>
  <c r="V43" i="2" s="1"/>
  <c r="W43" i="2" s="1"/>
  <c r="O43" i="2"/>
  <c r="P43" i="2" s="1"/>
  <c r="Q43" i="2" s="1"/>
  <c r="I43" i="2"/>
  <c r="J43" i="2" s="1"/>
  <c r="K43" i="2" s="1"/>
  <c r="AV42" i="2"/>
  <c r="AU42" i="2"/>
  <c r="AT42" i="2"/>
  <c r="Y42" i="2"/>
  <c r="F43" i="6" s="1"/>
  <c r="X42" i="2"/>
  <c r="U42" i="2"/>
  <c r="V42" i="2" s="1"/>
  <c r="W42" i="2" s="1"/>
  <c r="O42" i="2"/>
  <c r="P42" i="2" s="1"/>
  <c r="Q42" i="2" s="1"/>
  <c r="I42" i="2"/>
  <c r="J42" i="2" s="1"/>
  <c r="K42" i="2" s="1"/>
  <c r="AV41" i="2"/>
  <c r="AU41" i="2"/>
  <c r="AT41" i="2"/>
  <c r="Y41" i="2"/>
  <c r="F42" i="6" s="1"/>
  <c r="X41" i="2"/>
  <c r="U41" i="2"/>
  <c r="V41" i="2" s="1"/>
  <c r="W41" i="2" s="1"/>
  <c r="O41" i="2"/>
  <c r="P41" i="2" s="1"/>
  <c r="Q41" i="2" s="1"/>
  <c r="I41" i="2"/>
  <c r="J41" i="2" s="1"/>
  <c r="K41" i="2" s="1"/>
  <c r="AV40" i="2"/>
  <c r="AU40" i="2"/>
  <c r="AT40" i="2"/>
  <c r="Y40" i="2"/>
  <c r="F41" i="6" s="1"/>
  <c r="X40" i="2"/>
  <c r="U40" i="2"/>
  <c r="V40" i="2" s="1"/>
  <c r="W40" i="2" s="1"/>
  <c r="O40" i="2"/>
  <c r="P40" i="2" s="1"/>
  <c r="Q40" i="2" s="1"/>
  <c r="I40" i="2"/>
  <c r="J40" i="2" s="1"/>
  <c r="K40" i="2" s="1"/>
  <c r="AV39" i="2"/>
  <c r="AU39" i="2"/>
  <c r="AT39" i="2"/>
  <c r="Y39" i="2"/>
  <c r="F40" i="6" s="1"/>
  <c r="X39" i="2"/>
  <c r="U39" i="2"/>
  <c r="V39" i="2" s="1"/>
  <c r="W39" i="2" s="1"/>
  <c r="O39" i="2"/>
  <c r="P39" i="2" s="1"/>
  <c r="Q39" i="2" s="1"/>
  <c r="I39" i="2"/>
  <c r="J39" i="2" s="1"/>
  <c r="K39" i="2" s="1"/>
  <c r="AV38" i="2"/>
  <c r="AU38" i="2"/>
  <c r="AT38" i="2"/>
  <c r="Y38" i="2"/>
  <c r="F39" i="6" s="1"/>
  <c r="X38" i="2"/>
  <c r="U38" i="2"/>
  <c r="V38" i="2" s="1"/>
  <c r="W38" i="2" s="1"/>
  <c r="O38" i="2"/>
  <c r="P38" i="2" s="1"/>
  <c r="Q38" i="2" s="1"/>
  <c r="I38" i="2"/>
  <c r="J38" i="2" s="1"/>
  <c r="K38" i="2" s="1"/>
  <c r="AV37" i="2"/>
  <c r="AU37" i="2"/>
  <c r="AT37" i="2"/>
  <c r="Y37" i="2"/>
  <c r="F38" i="6" s="1"/>
  <c r="X37" i="2"/>
  <c r="U37" i="2"/>
  <c r="V37" i="2" s="1"/>
  <c r="W37" i="2" s="1"/>
  <c r="O37" i="2"/>
  <c r="P37" i="2" s="1"/>
  <c r="Q37" i="2" s="1"/>
  <c r="I37" i="2"/>
  <c r="J37" i="2" s="1"/>
  <c r="K37" i="2" s="1"/>
  <c r="AV36" i="2"/>
  <c r="AU36" i="2"/>
  <c r="AT36" i="2"/>
  <c r="Y36" i="2"/>
  <c r="F37" i="6" s="1"/>
  <c r="X36" i="2"/>
  <c r="U36" i="2"/>
  <c r="V36" i="2" s="1"/>
  <c r="W36" i="2" s="1"/>
  <c r="O36" i="2"/>
  <c r="P36" i="2" s="1"/>
  <c r="Q36" i="2" s="1"/>
  <c r="I36" i="2"/>
  <c r="J36" i="2" s="1"/>
  <c r="K36" i="2" s="1"/>
  <c r="AV35" i="2"/>
  <c r="AU35" i="2"/>
  <c r="AT35" i="2"/>
  <c r="Y35" i="2"/>
  <c r="F36" i="6" s="1"/>
  <c r="X35" i="2"/>
  <c r="U35" i="2"/>
  <c r="V35" i="2" s="1"/>
  <c r="W35" i="2" s="1"/>
  <c r="O35" i="2"/>
  <c r="P35" i="2" s="1"/>
  <c r="Q35" i="2" s="1"/>
  <c r="I35" i="2"/>
  <c r="J35" i="2" s="1"/>
  <c r="K35" i="2" s="1"/>
  <c r="AV34" i="2"/>
  <c r="AU34" i="2"/>
  <c r="AT34" i="2"/>
  <c r="Y34" i="2"/>
  <c r="F35" i="6" s="1"/>
  <c r="X34" i="2"/>
  <c r="U34" i="2"/>
  <c r="V34" i="2" s="1"/>
  <c r="W34" i="2" s="1"/>
  <c r="O34" i="2"/>
  <c r="P34" i="2" s="1"/>
  <c r="Q34" i="2" s="1"/>
  <c r="I34" i="2"/>
  <c r="J34" i="2" s="1"/>
  <c r="K34" i="2" s="1"/>
  <c r="AV33" i="2"/>
  <c r="AU33" i="2"/>
  <c r="AT33" i="2"/>
  <c r="AE33" i="2"/>
  <c r="AD33" i="2"/>
  <c r="AC33" i="2"/>
  <c r="Y33" i="2"/>
  <c r="F34" i="6" s="1"/>
  <c r="X33" i="2"/>
  <c r="U33" i="2"/>
  <c r="V33" i="2" s="1"/>
  <c r="W33" i="2" s="1"/>
  <c r="O33" i="2"/>
  <c r="P33" i="2" s="1"/>
  <c r="Q33" i="2" s="1"/>
  <c r="I33" i="2"/>
  <c r="J33" i="2" s="1"/>
  <c r="K33" i="2" s="1"/>
  <c r="AV32" i="2"/>
  <c r="AU32" i="2"/>
  <c r="AT32" i="2"/>
  <c r="AE32" i="2"/>
  <c r="AD32" i="2"/>
  <c r="AC32" i="2"/>
  <c r="Y32" i="2"/>
  <c r="F33" i="6" s="1"/>
  <c r="X32" i="2"/>
  <c r="U32" i="2"/>
  <c r="V32" i="2" s="1"/>
  <c r="W32" i="2" s="1"/>
  <c r="O32" i="2"/>
  <c r="P32" i="2" s="1"/>
  <c r="Q32" i="2" s="1"/>
  <c r="I32" i="2"/>
  <c r="J32" i="2" s="1"/>
  <c r="K32" i="2" s="1"/>
  <c r="AV31" i="2"/>
  <c r="AU31" i="2"/>
  <c r="AT31" i="2"/>
  <c r="AE31" i="2"/>
  <c r="AD31" i="2"/>
  <c r="AC31" i="2"/>
  <c r="Y31" i="2"/>
  <c r="F32" i="6" s="1"/>
  <c r="X31" i="2"/>
  <c r="U31" i="2"/>
  <c r="V31" i="2" s="1"/>
  <c r="W31" i="2" s="1"/>
  <c r="O31" i="2"/>
  <c r="P31" i="2" s="1"/>
  <c r="Q31" i="2" s="1"/>
  <c r="I31" i="2"/>
  <c r="J31" i="2" s="1"/>
  <c r="K31" i="2" s="1"/>
  <c r="AV30" i="2"/>
  <c r="AU30" i="2"/>
  <c r="AT30" i="2"/>
  <c r="Y30" i="2"/>
  <c r="F31" i="6" s="1"/>
  <c r="X30" i="2"/>
  <c r="U30" i="2"/>
  <c r="V30" i="2" s="1"/>
  <c r="W30" i="2" s="1"/>
  <c r="O30" i="2"/>
  <c r="P30" i="2" s="1"/>
  <c r="Q30" i="2" s="1"/>
  <c r="I30" i="2"/>
  <c r="J30" i="2" s="1"/>
  <c r="K30" i="2" s="1"/>
  <c r="AV29" i="2"/>
  <c r="AU29" i="2"/>
  <c r="AT29" i="2"/>
  <c r="Y29" i="2"/>
  <c r="F30" i="6" s="1"/>
  <c r="X29" i="2"/>
  <c r="U29" i="2"/>
  <c r="V29" i="2" s="1"/>
  <c r="W29" i="2" s="1"/>
  <c r="O29" i="2"/>
  <c r="P29" i="2" s="1"/>
  <c r="Q29" i="2" s="1"/>
  <c r="I29" i="2"/>
  <c r="J29" i="2" s="1"/>
  <c r="K29" i="2" s="1"/>
  <c r="AV28" i="2"/>
  <c r="AU28" i="2"/>
  <c r="AT28" i="2"/>
  <c r="Y28" i="2"/>
  <c r="F29" i="6" s="1"/>
  <c r="X28" i="2"/>
  <c r="U28" i="2"/>
  <c r="V28" i="2" s="1"/>
  <c r="W28" i="2" s="1"/>
  <c r="O28" i="2"/>
  <c r="P28" i="2" s="1"/>
  <c r="Q28" i="2" s="1"/>
  <c r="I28" i="2"/>
  <c r="J28" i="2" s="1"/>
  <c r="K28" i="2" s="1"/>
  <c r="AV27" i="2"/>
  <c r="AU27" i="2"/>
  <c r="AT27" i="2"/>
  <c r="AE27" i="2"/>
  <c r="AD27" i="2"/>
  <c r="AC27" i="2"/>
  <c r="Y27" i="2"/>
  <c r="F28" i="6" s="1"/>
  <c r="X27" i="2"/>
  <c r="U27" i="2"/>
  <c r="V27" i="2" s="1"/>
  <c r="W27" i="2" s="1"/>
  <c r="O27" i="2"/>
  <c r="P27" i="2" s="1"/>
  <c r="Q27" i="2" s="1"/>
  <c r="I27" i="2"/>
  <c r="J27" i="2" s="1"/>
  <c r="K27" i="2" s="1"/>
  <c r="AV26" i="2"/>
  <c r="AU26" i="2"/>
  <c r="AT26" i="2"/>
  <c r="AE26" i="2"/>
  <c r="AD26" i="2"/>
  <c r="AC26" i="2"/>
  <c r="Y26" i="2"/>
  <c r="F27" i="6" s="1"/>
  <c r="X26" i="2"/>
  <c r="U26" i="2"/>
  <c r="V26" i="2" s="1"/>
  <c r="W26" i="2" s="1"/>
  <c r="O26" i="2"/>
  <c r="P26" i="2" s="1"/>
  <c r="Q26" i="2" s="1"/>
  <c r="I26" i="2"/>
  <c r="J26" i="2" s="1"/>
  <c r="K26" i="2" s="1"/>
  <c r="AV25" i="2"/>
  <c r="AU25" i="2"/>
  <c r="AT25" i="2"/>
  <c r="AE25" i="2"/>
  <c r="AD25" i="2"/>
  <c r="AC25" i="2"/>
  <c r="Y25" i="2"/>
  <c r="F26" i="6" s="1"/>
  <c r="X25" i="2"/>
  <c r="U25" i="2"/>
  <c r="V25" i="2" s="1"/>
  <c r="W25" i="2" s="1"/>
  <c r="O25" i="2"/>
  <c r="P25" i="2" s="1"/>
  <c r="Q25" i="2" s="1"/>
  <c r="I25" i="2"/>
  <c r="J25" i="2" s="1"/>
  <c r="K25" i="2" s="1"/>
  <c r="AV24" i="2"/>
  <c r="AU24" i="2"/>
  <c r="AT24" i="2"/>
  <c r="Y24" i="2"/>
  <c r="F25" i="6" s="1"/>
  <c r="X24" i="2"/>
  <c r="U24" i="2"/>
  <c r="V24" i="2" s="1"/>
  <c r="W24" i="2" s="1"/>
  <c r="O24" i="2"/>
  <c r="P24" i="2" s="1"/>
  <c r="Q24" i="2" s="1"/>
  <c r="I24" i="2"/>
  <c r="J24" i="2" s="1"/>
  <c r="K24" i="2" s="1"/>
  <c r="AV23" i="2"/>
  <c r="AU23" i="2"/>
  <c r="AT23" i="2"/>
  <c r="Y23" i="2"/>
  <c r="F24" i="6" s="1"/>
  <c r="X23" i="2"/>
  <c r="U23" i="2"/>
  <c r="V23" i="2" s="1"/>
  <c r="W23" i="2" s="1"/>
  <c r="O23" i="2"/>
  <c r="P23" i="2" s="1"/>
  <c r="Q23" i="2" s="1"/>
  <c r="I23" i="2"/>
  <c r="J23" i="2" s="1"/>
  <c r="K23" i="2" s="1"/>
  <c r="AV22" i="2"/>
  <c r="AU22" i="2"/>
  <c r="AT22" i="2"/>
  <c r="Y22" i="2"/>
  <c r="F23" i="6" s="1"/>
  <c r="X22" i="2"/>
  <c r="U22" i="2"/>
  <c r="V22" i="2" s="1"/>
  <c r="W22" i="2" s="1"/>
  <c r="O22" i="2"/>
  <c r="P22" i="2" s="1"/>
  <c r="Q22" i="2" s="1"/>
  <c r="I22" i="2"/>
  <c r="J22" i="2" s="1"/>
  <c r="K22" i="2" s="1"/>
  <c r="AV21" i="2"/>
  <c r="AU21" i="2"/>
  <c r="AT21" i="2"/>
  <c r="Y21" i="2"/>
  <c r="F22" i="6" s="1"/>
  <c r="X21" i="2"/>
  <c r="U21" i="2"/>
  <c r="V21" i="2" s="1"/>
  <c r="W21" i="2" s="1"/>
  <c r="O21" i="2"/>
  <c r="P21" i="2" s="1"/>
  <c r="Q21" i="2" s="1"/>
  <c r="I21" i="2"/>
  <c r="J21" i="2" s="1"/>
  <c r="K21" i="2" s="1"/>
  <c r="AV20" i="2"/>
  <c r="AU20" i="2"/>
  <c r="AT20" i="2"/>
  <c r="Y20" i="2"/>
  <c r="F21" i="6" s="1"/>
  <c r="X20" i="2"/>
  <c r="U20" i="2"/>
  <c r="V20" i="2" s="1"/>
  <c r="W20" i="2" s="1"/>
  <c r="O20" i="2"/>
  <c r="P20" i="2" s="1"/>
  <c r="Q20" i="2" s="1"/>
  <c r="I20" i="2"/>
  <c r="J20" i="2" s="1"/>
  <c r="K20" i="2" s="1"/>
  <c r="AV19" i="2"/>
  <c r="AU19" i="2"/>
  <c r="AT19" i="2"/>
  <c r="Y19" i="2"/>
  <c r="F20" i="6" s="1"/>
  <c r="X19" i="2"/>
  <c r="U19" i="2"/>
  <c r="V19" i="2" s="1"/>
  <c r="W19" i="2" s="1"/>
  <c r="O19" i="2"/>
  <c r="P19" i="2" s="1"/>
  <c r="Q19" i="2" s="1"/>
  <c r="I19" i="2"/>
  <c r="J19" i="2" s="1"/>
  <c r="K19" i="2" s="1"/>
  <c r="AV18" i="2"/>
  <c r="AU18" i="2"/>
  <c r="AT18" i="2"/>
  <c r="Y18" i="2"/>
  <c r="F19" i="6" s="1"/>
  <c r="X18" i="2"/>
  <c r="U18" i="2"/>
  <c r="V18" i="2" s="1"/>
  <c r="W18" i="2" s="1"/>
  <c r="O18" i="2"/>
  <c r="P18" i="2" s="1"/>
  <c r="Q18" i="2" s="1"/>
  <c r="I18" i="2"/>
  <c r="J18" i="2" s="1"/>
  <c r="K18" i="2" s="1"/>
  <c r="AV17" i="2"/>
  <c r="AU17" i="2"/>
  <c r="AT17" i="2"/>
  <c r="Y17" i="2"/>
  <c r="F18" i="6" s="1"/>
  <c r="X17" i="2"/>
  <c r="U17" i="2"/>
  <c r="V17" i="2" s="1"/>
  <c r="W17" i="2" s="1"/>
  <c r="O17" i="2"/>
  <c r="P17" i="2" s="1"/>
  <c r="Q17" i="2" s="1"/>
  <c r="I17" i="2"/>
  <c r="J17" i="2" s="1"/>
  <c r="K17" i="2" s="1"/>
  <c r="AV16" i="2"/>
  <c r="AU16" i="2"/>
  <c r="AT16" i="2"/>
  <c r="AE16" i="2"/>
  <c r="AD16" i="2"/>
  <c r="AC16" i="2"/>
  <c r="Y16" i="2"/>
  <c r="F17" i="6" s="1"/>
  <c r="X16" i="2"/>
  <c r="U16" i="2"/>
  <c r="V16" i="2" s="1"/>
  <c r="W16" i="2" s="1"/>
  <c r="O16" i="2"/>
  <c r="P16" i="2" s="1"/>
  <c r="Q16" i="2" s="1"/>
  <c r="I16" i="2"/>
  <c r="J16" i="2" s="1"/>
  <c r="K16" i="2" s="1"/>
  <c r="AV15" i="2"/>
  <c r="AU15" i="2"/>
  <c r="AT15" i="2"/>
  <c r="AE15" i="2"/>
  <c r="AD15" i="2"/>
  <c r="AC15" i="2"/>
  <c r="Y15" i="2"/>
  <c r="F16" i="6" s="1"/>
  <c r="X15" i="2"/>
  <c r="U15" i="2"/>
  <c r="V15" i="2" s="1"/>
  <c r="W15" i="2" s="1"/>
  <c r="O15" i="2"/>
  <c r="I15" i="2"/>
  <c r="J15" i="2" s="1"/>
  <c r="K15" i="2" s="1"/>
  <c r="AV14" i="2"/>
  <c r="AU14" i="2"/>
  <c r="AT14" i="2"/>
  <c r="U14" i="2"/>
  <c r="O14" i="2"/>
  <c r="I14" i="2"/>
  <c r="AV13" i="2"/>
  <c r="AU13" i="2"/>
  <c r="AT13" i="2"/>
  <c r="U13" i="2"/>
  <c r="Y13" i="2" s="1"/>
  <c r="F14" i="6" s="1"/>
  <c r="O13" i="2"/>
  <c r="P13" i="2" s="1"/>
  <c r="Q13" i="2" s="1"/>
  <c r="I13" i="2"/>
  <c r="J13" i="2" s="1"/>
  <c r="K13" i="2" s="1"/>
  <c r="W10" i="2"/>
  <c r="U10" i="2" a="1"/>
  <c r="U10" i="2" s="1"/>
  <c r="Q10" i="2"/>
  <c r="O10" i="2"/>
  <c r="K10" i="2"/>
  <c r="I10" i="2"/>
  <c r="L8" i="2"/>
  <c r="U7" i="2"/>
  <c r="O7" i="2"/>
  <c r="I7" i="2"/>
  <c r="W5" i="2"/>
  <c r="P5" i="2"/>
  <c r="D5" i="2"/>
  <c r="I4" i="2"/>
  <c r="D4" i="2"/>
  <c r="AT111" i="1"/>
  <c r="AT110" i="1"/>
  <c r="AT109" i="1"/>
  <c r="AT108" i="1"/>
  <c r="AT107" i="1"/>
  <c r="AT106" i="1"/>
  <c r="AT105" i="1"/>
  <c r="AT104" i="1"/>
  <c r="AT103" i="1"/>
  <c r="AT102" i="1"/>
  <c r="AT101" i="1"/>
  <c r="AT100" i="1"/>
  <c r="AT99" i="1"/>
  <c r="AT98" i="1"/>
  <c r="AT97" i="1"/>
  <c r="AT96" i="1"/>
  <c r="AT95" i="1"/>
  <c r="AT94" i="1"/>
  <c r="AT93" i="1"/>
  <c r="AT92" i="1"/>
  <c r="AT91" i="1"/>
  <c r="AT90" i="1"/>
  <c r="AT89" i="1"/>
  <c r="AT88" i="1"/>
  <c r="AT87" i="1"/>
  <c r="AT86" i="1"/>
  <c r="AT85" i="1"/>
  <c r="AT84" i="1"/>
  <c r="AT83" i="1"/>
  <c r="AT82" i="1"/>
  <c r="AT81" i="1"/>
  <c r="AT80" i="1"/>
  <c r="AT79" i="1"/>
  <c r="AT78" i="1"/>
  <c r="AT77" i="1"/>
  <c r="AT76" i="1"/>
  <c r="AT75" i="1"/>
  <c r="AT74" i="1"/>
  <c r="AT73"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AC22" i="11" l="1"/>
  <c r="V14" i="2"/>
  <c r="W14" i="2" s="1"/>
  <c r="P14" i="2"/>
  <c r="Q14" i="2" s="1"/>
  <c r="P15" i="2"/>
  <c r="Q15" i="2" s="1"/>
  <c r="J14" i="2"/>
  <c r="K14" i="2" s="1"/>
  <c r="R67" i="6"/>
  <c r="V67" i="6" s="1"/>
  <c r="R63" i="6"/>
  <c r="V63" i="6" s="1"/>
  <c r="Z46" i="2"/>
  <c r="J115" i="6"/>
  <c r="R115" i="6" s="1"/>
  <c r="V115" i="6" s="1"/>
  <c r="Z20" i="2"/>
  <c r="AD28" i="2"/>
  <c r="Z59" i="2"/>
  <c r="Z100" i="2"/>
  <c r="Z110" i="2"/>
  <c r="Z77" i="2"/>
  <c r="X13" i="2"/>
  <c r="AD19" i="2"/>
  <c r="AD20" i="2" s="1"/>
  <c r="AD22" i="2" s="1"/>
  <c r="AC28" i="2"/>
  <c r="Z44" i="2"/>
  <c r="R90" i="6"/>
  <c r="V90" i="6" s="1"/>
  <c r="R106" i="6"/>
  <c r="V106" i="6" s="1"/>
  <c r="AE28" i="2"/>
  <c r="Z32" i="2"/>
  <c r="Z75" i="2"/>
  <c r="Z108" i="2"/>
  <c r="R108" i="6"/>
  <c r="V108" i="6" s="1"/>
  <c r="Z43" i="2"/>
  <c r="Z102" i="2"/>
  <c r="Z93" i="2"/>
  <c r="AE19" i="2"/>
  <c r="AE20" i="2" s="1"/>
  <c r="AE22" i="2" s="1"/>
  <c r="Z60" i="2"/>
  <c r="Z80" i="2"/>
  <c r="R98" i="6"/>
  <c r="V98" i="6" s="1"/>
  <c r="Z53" i="2"/>
  <c r="Z73" i="2"/>
  <c r="R29" i="6"/>
  <c r="V29" i="6" s="1"/>
  <c r="F73" i="6"/>
  <c r="R73" i="6" s="1"/>
  <c r="V73" i="6" s="1"/>
  <c r="R74" i="6"/>
  <c r="V74" i="6" s="1"/>
  <c r="R83" i="6"/>
  <c r="V83" i="6" s="1"/>
  <c r="R109" i="6"/>
  <c r="Z21" i="2"/>
  <c r="Z35" i="2"/>
  <c r="Z82" i="2"/>
  <c r="Z89" i="2"/>
  <c r="Z109" i="2"/>
  <c r="R102" i="6"/>
  <c r="V102" i="6" s="1"/>
  <c r="Z48" i="2"/>
  <c r="Z58" i="2"/>
  <c r="Z88" i="2"/>
  <c r="V13" i="2"/>
  <c r="W13" i="2" s="1"/>
  <c r="Z51" i="2"/>
  <c r="Z91" i="2"/>
  <c r="Z101" i="2"/>
  <c r="Z28" i="2"/>
  <c r="AC19" i="2"/>
  <c r="AC21" i="2" s="1"/>
  <c r="R72" i="6"/>
  <c r="V72" i="6" s="1"/>
  <c r="Z71" i="2"/>
  <c r="Z31" i="2"/>
  <c r="R85" i="6"/>
  <c r="V85" i="6" s="1"/>
  <c r="Z85" i="2"/>
  <c r="Z98" i="2"/>
  <c r="Z106" i="2"/>
  <c r="R56" i="6"/>
  <c r="V56" i="6" s="1"/>
  <c r="R32" i="6"/>
  <c r="V32" i="6" s="1"/>
  <c r="Z29" i="2"/>
  <c r="Z41" i="2"/>
  <c r="Z13" i="2"/>
  <c r="Z15" i="2"/>
  <c r="Z39" i="2"/>
  <c r="Z55" i="2"/>
  <c r="R68" i="6"/>
  <c r="V68" i="6" s="1"/>
  <c r="Z68" i="2"/>
  <c r="R84" i="6"/>
  <c r="V84" i="6" s="1"/>
  <c r="Z84" i="2"/>
  <c r="R114" i="6"/>
  <c r="V114" i="6" s="1"/>
  <c r="R31" i="6"/>
  <c r="V31" i="6" s="1"/>
  <c r="Z57" i="2"/>
  <c r="R87" i="6"/>
  <c r="V87" i="6" s="1"/>
  <c r="Z87" i="2"/>
  <c r="Z30" i="2"/>
  <c r="Z38" i="2"/>
  <c r="Z54" i="2"/>
  <c r="Z67" i="2"/>
  <c r="Z83" i="2"/>
  <c r="Z97" i="2"/>
  <c r="Z105" i="2"/>
  <c r="Z113" i="2"/>
  <c r="Z99" i="2"/>
  <c r="Z23" i="2"/>
  <c r="Z24" i="2"/>
  <c r="Z25" i="2"/>
  <c r="R34" i="6"/>
  <c r="V34" i="6" s="1"/>
  <c r="Z37" i="2"/>
  <c r="R82" i="6"/>
  <c r="V82" i="6" s="1"/>
  <c r="R105" i="6"/>
  <c r="V105" i="6" s="1"/>
  <c r="R113" i="6"/>
  <c r="V113" i="6" s="1"/>
  <c r="R53" i="6"/>
  <c r="V53" i="6" s="1"/>
  <c r="R30" i="6"/>
  <c r="V30" i="6" s="1"/>
  <c r="Z16" i="2"/>
  <c r="Z33" i="2"/>
  <c r="Z36" i="2"/>
  <c r="Z52" i="2"/>
  <c r="Z62" i="2"/>
  <c r="Z66" i="2"/>
  <c r="R81" i="6"/>
  <c r="V81" i="6" s="1"/>
  <c r="Z81" i="2"/>
  <c r="Z96" i="2"/>
  <c r="Z104" i="2"/>
  <c r="Z112" i="2"/>
  <c r="Z40" i="2"/>
  <c r="R27" i="6"/>
  <c r="V27" i="6" s="1"/>
  <c r="R80" i="6"/>
  <c r="V80" i="6" s="1"/>
  <c r="R96" i="6"/>
  <c r="V96" i="6" s="1"/>
  <c r="R112" i="6"/>
  <c r="V112" i="6" s="1"/>
  <c r="R70" i="6"/>
  <c r="V70" i="6" s="1"/>
  <c r="R99" i="6"/>
  <c r="V99" i="6" s="1"/>
  <c r="Z56" i="2"/>
  <c r="R18" i="6"/>
  <c r="V18" i="6" s="1"/>
  <c r="R19" i="6"/>
  <c r="V19" i="6" s="1"/>
  <c r="R20" i="6"/>
  <c r="V20" i="6" s="1"/>
  <c r="Z26" i="2"/>
  <c r="Z34" i="2"/>
  <c r="Z50" i="2"/>
  <c r="Z61" i="2"/>
  <c r="R79" i="6"/>
  <c r="V79" i="6" s="1"/>
  <c r="Z79" i="2"/>
  <c r="R95" i="6"/>
  <c r="V95" i="6" s="1"/>
  <c r="Z95" i="2"/>
  <c r="Z103" i="2"/>
  <c r="Z111" i="2"/>
  <c r="R26" i="6"/>
  <c r="V26" i="6" s="1"/>
  <c r="Z42" i="2"/>
  <c r="Z70" i="2"/>
  <c r="Z17" i="2"/>
  <c r="Z18" i="2"/>
  <c r="Z19" i="2"/>
  <c r="Z49" i="2"/>
  <c r="R78" i="6"/>
  <c r="V78" i="6" s="1"/>
  <c r="Z78" i="2"/>
  <c r="R94" i="6"/>
  <c r="V94" i="6" s="1"/>
  <c r="Z94" i="2"/>
  <c r="R103" i="6"/>
  <c r="V103" i="6" s="1"/>
  <c r="R111" i="6"/>
  <c r="V111" i="6" s="1"/>
  <c r="R71" i="6"/>
  <c r="V71" i="6" s="1"/>
  <c r="R86" i="6"/>
  <c r="V86" i="6" s="1"/>
  <c r="R69" i="6"/>
  <c r="V69" i="6" s="1"/>
  <c r="Z69" i="2"/>
  <c r="R77" i="6"/>
  <c r="V77" i="6" s="1"/>
  <c r="R93" i="6"/>
  <c r="V93" i="6" s="1"/>
  <c r="R104" i="6"/>
  <c r="Z86" i="2"/>
  <c r="R21" i="6"/>
  <c r="V21" i="6" s="1"/>
  <c r="Z27" i="2"/>
  <c r="Z47" i="2"/>
  <c r="R76" i="6"/>
  <c r="V76" i="6" s="1"/>
  <c r="Z76" i="2"/>
  <c r="R92" i="6"/>
  <c r="V92" i="6" s="1"/>
  <c r="Z92" i="2"/>
  <c r="R110" i="6"/>
  <c r="V110" i="6" s="1"/>
  <c r="R75" i="6"/>
  <c r="V75" i="6" s="1"/>
  <c r="R88" i="6"/>
  <c r="V88" i="6" s="1"/>
  <c r="R100" i="6"/>
  <c r="V100" i="6" s="1"/>
  <c r="Z22" i="2"/>
  <c r="Z45" i="2"/>
  <c r="Z74" i="2"/>
  <c r="Z90" i="2"/>
  <c r="R101" i="6"/>
  <c r="V101" i="6" s="1"/>
  <c r="R16" i="6"/>
  <c r="V16" i="6" s="1"/>
  <c r="Z107" i="2"/>
  <c r="R22" i="6"/>
  <c r="V22" i="6" s="1"/>
  <c r="R89" i="6"/>
  <c r="V89" i="6" s="1"/>
  <c r="R24" i="6"/>
  <c r="R28" i="6"/>
  <c r="V28" i="6" s="1"/>
  <c r="R33" i="6"/>
  <c r="V33" i="6" s="1"/>
  <c r="R61" i="6"/>
  <c r="V61" i="6" s="1"/>
  <c r="R58" i="6"/>
  <c r="V58" i="6" s="1"/>
  <c r="R59" i="6"/>
  <c r="V59" i="6" s="1"/>
  <c r="X14" i="2" l="1"/>
  <c r="Y14" i="2" s="1"/>
  <c r="Z63" i="6"/>
  <c r="Z67" i="6"/>
  <c r="R91" i="6"/>
  <c r="V91" i="6" s="1"/>
  <c r="R41" i="6"/>
  <c r="V41" i="6" s="1"/>
  <c r="Z87" i="6"/>
  <c r="R35" i="6"/>
  <c r="V35" i="6" s="1"/>
  <c r="AD21" i="2"/>
  <c r="R46" i="6"/>
  <c r="V46" i="6" s="1"/>
  <c r="R25" i="6"/>
  <c r="V25" i="6" s="1"/>
  <c r="AE21" i="2"/>
  <c r="Z111" i="6"/>
  <c r="Z84" i="6"/>
  <c r="AC20" i="2"/>
  <c r="AC22" i="2" s="1"/>
  <c r="Z115" i="6"/>
  <c r="R49" i="6"/>
  <c r="V49" i="6" s="1"/>
  <c r="Z22" i="6"/>
  <c r="Z114" i="6"/>
  <c r="Z106" i="6"/>
  <c r="Z27" i="6"/>
  <c r="R37" i="6"/>
  <c r="V37" i="6" s="1"/>
  <c r="Z85" i="6"/>
  <c r="Z76" i="6"/>
  <c r="Z69" i="6"/>
  <c r="R47" i="6"/>
  <c r="V47" i="6" s="1"/>
  <c r="Z95" i="6"/>
  <c r="V104" i="6"/>
  <c r="Z104" i="6"/>
  <c r="V109" i="6"/>
  <c r="Z109" i="6"/>
  <c r="Z77" i="6"/>
  <c r="Z108" i="6"/>
  <c r="R50" i="6"/>
  <c r="V50" i="6" s="1"/>
  <c r="Z21" i="6"/>
  <c r="R42" i="6"/>
  <c r="V42" i="6" s="1"/>
  <c r="Z90" i="6"/>
  <c r="Z78" i="6"/>
  <c r="Z26" i="6"/>
  <c r="Z105" i="6"/>
  <c r="R52" i="6"/>
  <c r="V52" i="6" s="1"/>
  <c r="Z30" i="6"/>
  <c r="Z53" i="6"/>
  <c r="Z70" i="6"/>
  <c r="R48" i="6"/>
  <c r="V48" i="6" s="1"/>
  <c r="Z79" i="6"/>
  <c r="Z34" i="6"/>
  <c r="V24" i="6"/>
  <c r="Z24" i="6"/>
  <c r="Z92" i="6"/>
  <c r="Z98" i="6"/>
  <c r="Z56" i="6"/>
  <c r="Z59" i="6"/>
  <c r="Z61" i="6"/>
  <c r="Z75" i="6"/>
  <c r="R60" i="6"/>
  <c r="V60" i="6" s="1"/>
  <c r="R107" i="6"/>
  <c r="V107" i="6" s="1"/>
  <c r="Z28" i="6"/>
  <c r="Z20" i="6"/>
  <c r="Z112" i="6"/>
  <c r="R36" i="6"/>
  <c r="V36" i="6" s="1"/>
  <c r="R43" i="6"/>
  <c r="V43" i="6" s="1"/>
  <c r="Z19" i="6"/>
  <c r="Z83" i="6"/>
  <c r="Z68" i="6"/>
  <c r="Z88" i="6"/>
  <c r="Z29" i="6"/>
  <c r="Z113" i="6"/>
  <c r="Z18" i="6"/>
  <c r="Z96" i="6"/>
  <c r="R55" i="6"/>
  <c r="V55" i="6" s="1"/>
  <c r="Z32" i="6"/>
  <c r="Z72" i="6"/>
  <c r="R23" i="6"/>
  <c r="V23" i="6" s="1"/>
  <c r="Z86" i="6"/>
  <c r="R54" i="6"/>
  <c r="V54" i="6" s="1"/>
  <c r="Z58" i="6"/>
  <c r="Z89" i="6"/>
  <c r="Z100" i="6"/>
  <c r="Z103" i="6"/>
  <c r="Z80" i="6"/>
  <c r="R97" i="6"/>
  <c r="V97" i="6" s="1"/>
  <c r="Z31" i="6"/>
  <c r="R45" i="6"/>
  <c r="V45" i="6" s="1"/>
  <c r="R44" i="6"/>
  <c r="V44" i="6" s="1"/>
  <c r="Z101" i="6"/>
  <c r="Z110" i="6"/>
  <c r="Z71" i="6"/>
  <c r="R62" i="6"/>
  <c r="V62" i="6" s="1"/>
  <c r="R17" i="6"/>
  <c r="V17" i="6" s="1"/>
  <c r="R39" i="6"/>
  <c r="V39" i="6" s="1"/>
  <c r="R40" i="6"/>
  <c r="V40" i="6" s="1"/>
  <c r="R57" i="6"/>
  <c r="V57" i="6" s="1"/>
  <c r="R38" i="6"/>
  <c r="V38" i="6" s="1"/>
  <c r="Z74" i="6"/>
  <c r="Z33" i="6"/>
  <c r="Z102" i="6"/>
  <c r="Z93" i="6"/>
  <c r="Z94" i="6"/>
  <c r="Z99" i="6"/>
  <c r="R51" i="6"/>
  <c r="V51" i="6" s="1"/>
  <c r="Z81" i="6"/>
  <c r="Z82" i="6"/>
  <c r="Z73" i="6"/>
  <c r="Z16" i="6"/>
  <c r="Z14" i="2" l="1"/>
  <c r="Z91" i="6"/>
  <c r="Z41" i="6"/>
  <c r="Z25" i="6"/>
  <c r="Z35" i="6"/>
  <c r="Z46" i="6"/>
  <c r="Z49" i="6"/>
  <c r="Z47" i="6"/>
  <c r="Z37" i="6"/>
  <c r="Z97" i="6"/>
  <c r="Z52" i="6"/>
  <c r="R14" i="6"/>
  <c r="V14" i="6" s="1"/>
  <c r="Z36" i="6"/>
  <c r="Z62" i="6"/>
  <c r="Z50" i="6"/>
  <c r="Z44" i="6"/>
  <c r="Z55" i="6"/>
  <c r="Z51" i="6"/>
  <c r="Z42" i="6"/>
  <c r="Z60" i="6"/>
  <c r="Z48" i="6"/>
  <c r="Z57" i="6"/>
  <c r="Z17" i="6"/>
  <c r="Z54" i="6"/>
  <c r="Z40" i="6"/>
  <c r="Z23" i="6"/>
  <c r="Z43" i="6"/>
  <c r="Z38" i="6"/>
  <c r="Z45" i="6"/>
  <c r="Z107" i="6"/>
  <c r="Z39" i="6"/>
  <c r="R15" i="6" l="1"/>
  <c r="V15" i="6" s="1"/>
  <c r="Z14" i="6"/>
  <c r="Z15" i="6"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<sst xmlns="http://schemas.openxmlformats.org/spreadsheetml/2006/main" count="435" uniqueCount="106">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</sst>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Arial"/>
      <family val="2"/>
    </font>
    <font>
      <b/>
      <sz val="21"/>
      <color theme="1"/>
      <name val="Arial"/>
      <family val="2"/>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
      <patternFill patternType="solid">
        <fgColor theme="0" tint="-4.9989318521683403E-2"/>
        <bgColor indexed="64"/>
      </patternFill>
    </fill>
  </fills>
  <borders count="8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auto="1"/>
      </left>
      <right/>
      <top style="thin">
        <color auto="1"/>
      </top>
      <bottom style="thin">
        <color theme="1"/>
      </bottom>
      <diagonal/>
    </border>
    <border>
      <left/>
      <right style="thin">
        <color auto="1"/>
      </right>
      <top style="thin">
        <color auto="1"/>
      </top>
      <bottom style="thin">
        <color theme="1"/>
      </bottom>
      <diagonal/>
    </border>
    <border>
      <left style="medium">
        <color auto="1"/>
      </left>
      <right/>
      <top/>
      <bottom style="thin">
        <color auto="1"/>
      </bottom>
      <diagonal/>
    </border>
    <border>
      <left style="thin">
        <color auto="1"/>
      </left>
      <right/>
      <top style="medium">
        <color auto="1"/>
      </top>
      <bottom style="thin">
        <color auto="1"/>
      </bottom>
      <diagonal/>
    </border>
    <border>
      <left/>
      <right style="thin">
        <color auto="1"/>
      </right>
      <top/>
      <bottom style="medium">
        <color auto="1"/>
      </bottom>
      <diagonal/>
    </border>
    <border>
      <left style="thin">
        <color auto="1"/>
      </left>
      <right style="medium">
        <color indexed="64"/>
      </right>
      <top style="medium">
        <color indexed="64"/>
      </top>
      <bottom style="medium">
        <color indexed="64"/>
      </bottom>
      <diagonal/>
    </border>
  </borders>
  <cellStyleXfs count="7">
    <xf numFmtId="0" fontId="0" fillId="0" borderId="0"/>
    <xf numFmtId="0" fontId="4" fillId="0" borderId="0"/>
    <xf numFmtId="9" fontId="20" fillId="0" borderId="0"/>
    <xf numFmtId="0" fontId="22" fillId="0" borderId="0"/>
    <xf numFmtId="0" fontId="1" fillId="0" borderId="0"/>
    <xf numFmtId="0" fontId="22" fillId="0" borderId="0"/>
    <xf numFmtId="9" fontId="1" fillId="0" borderId="0"/>
  </cellStyleXfs>
  <cellXfs count="482">
    <xf numFmtId="0" fontId="0" fillId="0" borderId="0" xfId="0"/>
    <xf numFmtId="0" fontId="5" fillId="0" borderId="0" xfId="0" applyFont="1" applyProtection="1">
      <protection locked="0"/>
    </xf>
    <xf numFmtId="0" fontId="5" fillId="0" borderId="0" xfId="0" applyFont="1" applyAlignment="1" applyProtection="1">
      <alignment horizontal="center"/>
      <protection locked="0"/>
    </xf>
    <xf numFmtId="2" fontId="6" fillId="0" borderId="0" xfId="0" applyNumberFormat="1" applyFont="1" applyAlignment="1" applyProtection="1">
      <alignment horizontal="center"/>
      <protection locked="0"/>
    </xf>
    <xf numFmtId="0" fontId="6" fillId="0" borderId="0" xfId="0" applyFont="1" applyAlignment="1" applyProtection="1">
      <alignment horizontal="center"/>
      <protection locked="0"/>
    </xf>
    <xf numFmtId="0" fontId="6" fillId="0" borderId="0" xfId="0" applyFont="1" applyProtection="1">
      <protection hidden="1"/>
    </xf>
    <xf numFmtId="0" fontId="5" fillId="0" borderId="0" xfId="0" applyFont="1" applyProtection="1">
      <protection hidden="1"/>
    </xf>
    <xf numFmtId="164" fontId="11" fillId="0" borderId="0" xfId="0" applyNumberFormat="1" applyFont="1" applyAlignment="1" applyProtection="1">
      <alignment vertical="center"/>
      <protection locked="0"/>
    </xf>
    <xf numFmtId="164" fontId="10" fillId="0" borderId="0" xfId="0" applyNumberFormat="1" applyFont="1" applyAlignment="1" applyProtection="1">
      <alignment horizontal="center" vertical="center"/>
      <protection hidden="1"/>
    </xf>
    <xf numFmtId="164" fontId="6" fillId="0" borderId="0" xfId="0" applyNumberFormat="1" applyFont="1" applyAlignment="1" applyProtection="1">
      <alignment horizontal="center"/>
      <protection locked="0"/>
    </xf>
    <xf numFmtId="164" fontId="5" fillId="0" borderId="0" xfId="0" applyNumberFormat="1" applyFont="1" applyProtection="1">
      <protection locked="0"/>
    </xf>
    <xf numFmtId="164" fontId="9" fillId="0" borderId="0" xfId="0" applyNumberFormat="1" applyFont="1" applyAlignment="1" applyProtection="1">
      <alignment vertical="center"/>
      <protection locked="0"/>
    </xf>
    <xf numFmtId="0" fontId="9" fillId="0" borderId="0" xfId="0" applyFont="1" applyAlignment="1" applyProtection="1">
      <alignment vertical="center"/>
      <protection locked="0"/>
    </xf>
    <xf numFmtId="0" fontId="9" fillId="0" borderId="0" xfId="0" applyFont="1" applyAlignment="1" applyProtection="1">
      <alignment vertical="center"/>
      <protection hidden="1"/>
    </xf>
    <xf numFmtId="0" fontId="6" fillId="0" borderId="8" xfId="0" applyFont="1" applyBorder="1" applyAlignment="1" applyProtection="1">
      <alignment horizontal="center" vertical="center"/>
      <protection locked="0"/>
    </xf>
    <xf numFmtId="0" fontId="6" fillId="0" borderId="11" xfId="0" applyFont="1" applyBorder="1" applyAlignment="1" applyProtection="1">
      <alignment horizontal="center" vertical="center" textRotation="90" shrinkToFit="1"/>
      <protection locked="0"/>
    </xf>
    <xf numFmtId="0" fontId="11" fillId="0" borderId="12"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2" fontId="6" fillId="0" borderId="0" xfId="0" applyNumberFormat="1" applyFont="1" applyAlignment="1" applyProtection="1">
      <alignment horizontal="center" vertical="center" wrapText="1"/>
      <protection locked="0"/>
    </xf>
    <xf numFmtId="0" fontId="6" fillId="0" borderId="0" xfId="0" applyFont="1" applyAlignment="1" applyProtection="1">
      <alignment horizontal="center"/>
      <protection hidden="1"/>
    </xf>
    <xf numFmtId="0" fontId="6" fillId="0" borderId="0" xfId="0" applyFont="1" applyAlignment="1" applyProtection="1">
      <alignment horizontal="center" vertical="center"/>
      <protection locked="0"/>
    </xf>
    <xf numFmtId="2" fontId="6" fillId="0" borderId="0" xfId="0" applyNumberFormat="1" applyFont="1" applyAlignment="1" applyProtection="1">
      <alignment horizontal="center" vertical="center"/>
      <protection locked="0"/>
    </xf>
    <xf numFmtId="0" fontId="6" fillId="0" borderId="0" xfId="0" applyFont="1" applyAlignment="1" applyProtection="1">
      <alignment vertical="center"/>
      <protection hidden="1"/>
    </xf>
    <xf numFmtId="0" fontId="6" fillId="0" borderId="0" xfId="0" applyFont="1" applyAlignment="1" applyProtection="1">
      <alignment shrinkToFit="1"/>
      <protection locked="0"/>
    </xf>
    <xf numFmtId="0" fontId="6" fillId="0" borderId="1" xfId="0" applyFont="1" applyBorder="1" applyAlignment="1" applyProtection="1">
      <alignment horizontal="right" shrinkToFit="1"/>
      <protection locked="0"/>
    </xf>
    <xf numFmtId="0" fontId="6" fillId="0" borderId="3" xfId="0" applyFont="1" applyBorder="1" applyAlignment="1" applyProtection="1">
      <alignment horizontal="right" shrinkToFit="1"/>
      <protection locked="0"/>
    </xf>
    <xf numFmtId="0" fontId="6" fillId="0" borderId="0" xfId="0" applyFont="1" applyAlignment="1" applyProtection="1">
      <alignment horizontal="center" vertical="center" shrinkToFit="1"/>
      <protection locked="0"/>
    </xf>
    <xf numFmtId="0" fontId="6" fillId="0" borderId="0" xfId="0" applyFont="1" applyAlignment="1" applyProtection="1">
      <alignment horizontal="center" vertical="center"/>
      <protection hidden="1"/>
    </xf>
    <xf numFmtId="9" fontId="6" fillId="0" borderId="0" xfId="0" applyNumberFormat="1" applyFont="1" applyAlignment="1" applyProtection="1">
      <alignment horizontal="center" vertical="center"/>
      <protection locked="0"/>
    </xf>
    <xf numFmtId="0" fontId="6" fillId="2" borderId="14" xfId="0" applyFont="1" applyFill="1" applyBorder="1" applyAlignment="1" applyProtection="1">
      <alignment horizontal="center" shrinkToFit="1"/>
      <protection locked="0"/>
    </xf>
    <xf numFmtId="0" fontId="6" fillId="2" borderId="1" xfId="0" applyFont="1" applyFill="1" applyBorder="1" applyAlignment="1" applyProtection="1">
      <alignment horizontal="left" vertical="center" shrinkToFit="1"/>
      <protection locked="0"/>
    </xf>
    <xf numFmtId="0" fontId="6" fillId="2" borderId="3" xfId="0" applyFont="1" applyFill="1" applyBorder="1" applyAlignment="1" applyProtection="1">
      <alignment horizontal="left" vertical="center" shrinkToFit="1"/>
      <protection locked="0"/>
    </xf>
    <xf numFmtId="1" fontId="6" fillId="0" borderId="0" xfId="0" applyNumberFormat="1" applyFont="1" applyAlignment="1" applyProtection="1">
      <alignment horizontal="center" vertical="center"/>
      <protection locked="0"/>
    </xf>
    <xf numFmtId="0" fontId="6" fillId="0" borderId="14" xfId="0" applyFont="1" applyBorder="1" applyAlignment="1" applyProtection="1">
      <alignment horizontal="center"/>
      <protection locked="0"/>
    </xf>
    <xf numFmtId="164" fontId="5" fillId="0" borderId="1" xfId="0" applyNumberFormat="1" applyFont="1" applyBorder="1" applyAlignment="1" applyProtection="1">
      <alignment horizontal="left"/>
      <protection locked="0"/>
    </xf>
    <xf numFmtId="164" fontId="5" fillId="0" borderId="1" xfId="0" applyNumberFormat="1" applyFont="1" applyBorder="1" applyAlignment="1" applyProtection="1">
      <alignment horizontal="left"/>
      <protection hidden="1"/>
    </xf>
    <xf numFmtId="164" fontId="5" fillId="0" borderId="3" xfId="0" applyNumberFormat="1" applyFont="1" applyBorder="1" applyAlignment="1" applyProtection="1">
      <alignment horizontal="left"/>
      <protection hidden="1"/>
    </xf>
    <xf numFmtId="0" fontId="5" fillId="0" borderId="0" xfId="0" applyFont="1" applyAlignment="1" applyProtection="1">
      <alignment horizontal="center" vertical="center"/>
      <protection locked="0"/>
    </xf>
    <xf numFmtId="1" fontId="5" fillId="0" borderId="0" xfId="0" applyNumberFormat="1" applyFont="1" applyAlignment="1" applyProtection="1">
      <alignment horizontal="center" vertical="center"/>
      <protection hidden="1"/>
    </xf>
    <xf numFmtId="2" fontId="6" fillId="0" borderId="0" xfId="0" applyNumberFormat="1" applyFont="1" applyAlignment="1" applyProtection="1">
      <alignment horizontal="center" vertical="center"/>
      <protection hidden="1"/>
    </xf>
    <xf numFmtId="1" fontId="6" fillId="0" borderId="0" xfId="0" applyNumberFormat="1" applyFont="1" applyAlignment="1" applyProtection="1">
      <alignment horizontal="center" vertical="center"/>
      <protection hidden="1"/>
    </xf>
    <xf numFmtId="0" fontId="6" fillId="0" borderId="0" xfId="0" applyFont="1" applyAlignment="1" applyProtection="1">
      <alignment shrinkToFit="1"/>
      <protection hidden="1"/>
    </xf>
    <xf numFmtId="0" fontId="6" fillId="0" borderId="0" xfId="0" applyFont="1" applyAlignment="1" applyProtection="1">
      <alignment horizontal="left"/>
      <protection hidden="1"/>
    </xf>
    <xf numFmtId="164" fontId="13" fillId="0" borderId="1" xfId="0" applyNumberFormat="1" applyFont="1" applyBorder="1" applyAlignment="1" applyProtection="1">
      <alignment horizontal="left"/>
      <protection locked="0"/>
    </xf>
    <xf numFmtId="0" fontId="6" fillId="0" borderId="15" xfId="0" applyFont="1" applyBorder="1" applyAlignment="1" applyProtection="1">
      <alignment horizontal="center"/>
      <protection locked="0"/>
    </xf>
    <xf numFmtId="164" fontId="5" fillId="0" borderId="16" xfId="0" applyNumberFormat="1" applyFont="1" applyBorder="1" applyAlignment="1" applyProtection="1">
      <alignment horizontal="left"/>
      <protection hidden="1"/>
    </xf>
    <xf numFmtId="164" fontId="5" fillId="0" borderId="17" xfId="0" applyNumberFormat="1" applyFont="1" applyBorder="1" applyAlignment="1" applyProtection="1">
      <alignment horizontal="left"/>
      <protection hidden="1"/>
    </xf>
    <xf numFmtId="0" fontId="5" fillId="0" borderId="0" xfId="0" applyFont="1" applyAlignment="1" applyProtection="1">
      <alignment horizontal="center"/>
      <protection hidden="1"/>
    </xf>
    <xf numFmtId="0" fontId="6" fillId="0" borderId="0" xfId="0" applyFont="1" applyProtection="1">
      <protection locked="0"/>
    </xf>
    <xf numFmtId="0" fontId="7" fillId="0" borderId="0" xfId="0" applyFont="1" applyAlignment="1" applyProtection="1">
      <alignment horizontal="center" vertical="top" wrapText="1"/>
      <protection hidden="1"/>
    </xf>
    <xf numFmtId="164" fontId="11" fillId="0" borderId="0" xfId="0" applyNumberFormat="1" applyFont="1" applyAlignment="1" applyProtection="1">
      <alignment vertical="center"/>
      <protection hidden="1"/>
    </xf>
    <xf numFmtId="164" fontId="9" fillId="0" borderId="0" xfId="0" applyNumberFormat="1" applyFont="1" applyAlignment="1" applyProtection="1">
      <alignment vertical="center"/>
      <protection hidden="1"/>
    </xf>
    <xf numFmtId="0" fontId="6" fillId="0" borderId="1" xfId="0" applyFont="1" applyBorder="1" applyAlignment="1" applyProtection="1">
      <alignment horizontal="center" vertical="center"/>
      <protection hidden="1"/>
    </xf>
    <xf numFmtId="0" fontId="6" fillId="0" borderId="14" xfId="0" applyFont="1" applyBorder="1" applyAlignment="1" applyProtection="1">
      <alignment horizontal="center" vertical="center"/>
      <protection hidden="1"/>
    </xf>
    <xf numFmtId="0" fontId="6" fillId="3" borderId="1" xfId="0" applyFont="1" applyFill="1" applyBorder="1" applyAlignment="1" applyProtection="1">
      <alignment horizontal="center" vertical="center"/>
      <protection hidden="1"/>
    </xf>
    <xf numFmtId="2" fontId="6" fillId="3" borderId="1" xfId="0" applyNumberFormat="1" applyFont="1" applyFill="1" applyBorder="1" applyAlignment="1" applyProtection="1">
      <alignment horizontal="center" vertical="center"/>
      <protection hidden="1"/>
    </xf>
    <xf numFmtId="9" fontId="6" fillId="3" borderId="28" xfId="2" applyFont="1" applyFill="1" applyBorder="1" applyAlignment="1" applyProtection="1">
      <alignment horizontal="center" vertical="center"/>
      <protection hidden="1"/>
    </xf>
    <xf numFmtId="9" fontId="6" fillId="0" borderId="14" xfId="2" applyFont="1" applyBorder="1" applyAlignment="1" applyProtection="1">
      <alignment horizontal="center" vertical="center"/>
      <protection hidden="1"/>
    </xf>
    <xf numFmtId="9" fontId="6" fillId="0" borderId="1" xfId="2" applyFont="1" applyBorder="1" applyAlignment="1" applyProtection="1">
      <alignment horizontal="center" vertical="center"/>
      <protection hidden="1"/>
    </xf>
    <xf numFmtId="0" fontId="6" fillId="0" borderId="0" xfId="0" applyFont="1" applyAlignment="1" applyProtection="1">
      <alignment vertical="center"/>
      <protection locked="0"/>
    </xf>
    <xf numFmtId="0" fontId="6" fillId="0" borderId="14" xfId="0" applyFont="1" applyBorder="1" applyAlignment="1" applyProtection="1">
      <alignment horizontal="center" vertical="center" shrinkToFit="1"/>
      <protection locked="0"/>
    </xf>
    <xf numFmtId="0" fontId="6" fillId="0" borderId="1" xfId="0" applyFont="1" applyBorder="1" applyAlignment="1" applyProtection="1">
      <alignment horizontal="center" vertical="center" shrinkToFit="1"/>
      <protection locked="0"/>
    </xf>
    <xf numFmtId="9" fontId="6" fillId="3" borderId="28" xfId="0" applyNumberFormat="1" applyFont="1" applyFill="1" applyBorder="1" applyAlignment="1" applyProtection="1">
      <alignment horizontal="center" vertical="center"/>
      <protection hidden="1"/>
    </xf>
    <xf numFmtId="0" fontId="6" fillId="0" borderId="14"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3" borderId="1" xfId="0" applyFont="1" applyFill="1" applyBorder="1" applyAlignment="1" applyProtection="1">
      <alignment horizontal="center" vertical="center" shrinkToFit="1"/>
      <protection hidden="1"/>
    </xf>
    <xf numFmtId="0" fontId="4" fillId="0" borderId="0" xfId="0" applyFont="1" applyAlignment="1" applyProtection="1">
      <alignment horizontal="center" vertical="center" wrapText="1"/>
      <protection locked="0"/>
    </xf>
    <xf numFmtId="0" fontId="12" fillId="0" borderId="0" xfId="0" applyFont="1" applyAlignment="1" applyProtection="1">
      <alignment horizontal="center" vertical="center"/>
      <protection locked="0"/>
    </xf>
    <xf numFmtId="0" fontId="6" fillId="3" borderId="33" xfId="0" applyFont="1" applyFill="1" applyBorder="1" applyAlignment="1" applyProtection="1">
      <alignment horizontal="center" vertical="center" shrinkToFit="1"/>
      <protection hidden="1"/>
    </xf>
    <xf numFmtId="0" fontId="6" fillId="3" borderId="34" xfId="0" applyFont="1" applyFill="1" applyBorder="1" applyAlignment="1" applyProtection="1">
      <alignment horizontal="center" vertical="center" shrinkToFit="1"/>
      <protection hidden="1"/>
    </xf>
    <xf numFmtId="0" fontId="6" fillId="3" borderId="34" xfId="0" applyFont="1" applyFill="1" applyBorder="1" applyAlignment="1" applyProtection="1">
      <alignment horizontal="center" vertical="center"/>
      <protection hidden="1"/>
    </xf>
    <xf numFmtId="2" fontId="6" fillId="3" borderId="34" xfId="0" applyNumberFormat="1" applyFont="1" applyFill="1" applyBorder="1" applyAlignment="1" applyProtection="1">
      <alignment horizontal="center" vertical="center"/>
      <protection hidden="1"/>
    </xf>
    <xf numFmtId="2" fontId="6" fillId="3" borderId="36" xfId="0" applyNumberFormat="1" applyFont="1" applyFill="1" applyBorder="1" applyAlignment="1" applyProtection="1">
      <alignment horizontal="center" vertical="center"/>
      <protection hidden="1"/>
    </xf>
    <xf numFmtId="0" fontId="6" fillId="3" borderId="33" xfId="0" applyFont="1" applyFill="1" applyBorder="1" applyAlignment="1" applyProtection="1">
      <alignment horizontal="center" vertical="center"/>
      <protection hidden="1"/>
    </xf>
    <xf numFmtId="2" fontId="6" fillId="3" borderId="37" xfId="0" applyNumberFormat="1" applyFont="1" applyFill="1" applyBorder="1" applyAlignment="1" applyProtection="1">
      <alignment horizontal="center" vertical="center"/>
      <protection hidden="1"/>
    </xf>
    <xf numFmtId="1" fontId="6" fillId="3" borderId="38" xfId="0" applyNumberFormat="1" applyFont="1" applyFill="1" applyBorder="1" applyAlignment="1" applyProtection="1">
      <alignment horizontal="center" vertical="center"/>
      <protection hidden="1"/>
    </xf>
    <xf numFmtId="1" fontId="6"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1" fontId="5" fillId="3" borderId="22" xfId="0" applyNumberFormat="1" applyFont="1" applyFill="1" applyBorder="1" applyAlignment="1" applyProtection="1">
      <alignment horizontal="center" vertical="center"/>
      <protection hidden="1"/>
    </xf>
    <xf numFmtId="2" fontId="6" fillId="3" borderId="22" xfId="0" applyNumberFormat="1" applyFont="1" applyFill="1" applyBorder="1" applyAlignment="1" applyProtection="1">
      <alignment horizontal="center" vertical="center"/>
      <protection hidden="1"/>
    </xf>
    <xf numFmtId="2" fontId="6" fillId="3" borderId="40" xfId="0" applyNumberFormat="1" applyFont="1" applyFill="1" applyBorder="1" applyAlignment="1" applyProtection="1">
      <alignment horizontal="center" vertical="center"/>
      <protection hidden="1"/>
    </xf>
    <xf numFmtId="2" fontId="6" fillId="3" borderId="25" xfId="0" applyNumberFormat="1" applyFont="1" applyFill="1" applyBorder="1" applyAlignment="1" applyProtection="1">
      <alignment horizontal="center" vertical="center"/>
      <protection hidden="1"/>
    </xf>
    <xf numFmtId="1" fontId="6" fillId="3" borderId="26" xfId="0" applyNumberFormat="1" applyFont="1" applyFill="1" applyBorder="1" applyAlignment="1" applyProtection="1">
      <alignment horizontal="center" vertical="center"/>
      <protection hidden="1"/>
    </xf>
    <xf numFmtId="0" fontId="6"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1" fontId="5" fillId="3" borderId="1" xfId="0" applyNumberFormat="1" applyFont="1" applyFill="1" applyBorder="1" applyAlignment="1" applyProtection="1">
      <alignment horizontal="center" vertical="center"/>
      <protection hidden="1"/>
    </xf>
    <xf numFmtId="2" fontId="6" fillId="3" borderId="28" xfId="0" applyNumberFormat="1" applyFont="1" applyFill="1" applyBorder="1" applyAlignment="1" applyProtection="1">
      <alignment horizontal="center" vertical="center"/>
      <protection hidden="1"/>
    </xf>
    <xf numFmtId="2" fontId="6" fillId="3" borderId="41" xfId="0" applyNumberFormat="1" applyFont="1" applyFill="1" applyBorder="1" applyAlignment="1" applyProtection="1">
      <alignment horizontal="center" vertical="center"/>
      <protection hidden="1"/>
    </xf>
    <xf numFmtId="1" fontId="6" fillId="3" borderId="42" xfId="0" applyNumberFormat="1" applyFont="1" applyFill="1" applyBorder="1" applyAlignment="1" applyProtection="1">
      <alignment horizontal="center" vertical="center"/>
      <protection hidden="1"/>
    </xf>
    <xf numFmtId="0" fontId="6" fillId="3" borderId="43" xfId="0" applyFont="1" applyFill="1" applyBorder="1" applyAlignment="1" applyProtection="1">
      <alignment horizontal="center" vertical="center"/>
      <protection hidden="1"/>
    </xf>
    <xf numFmtId="0" fontId="6" fillId="0" borderId="1" xfId="0" applyFont="1" applyBorder="1" applyAlignment="1" applyProtection="1">
      <alignment horizontal="center" vertical="center" shrinkToFit="1"/>
      <protection hidden="1"/>
    </xf>
    <xf numFmtId="0" fontId="4" fillId="0" borderId="1" xfId="0" applyFont="1" applyBorder="1" applyAlignment="1" applyProtection="1">
      <alignment horizontal="center" vertical="center" wrapText="1"/>
      <protection hidden="1"/>
    </xf>
    <xf numFmtId="164" fontId="12" fillId="0" borderId="1" xfId="0" applyNumberFormat="1" applyFont="1" applyBorder="1" applyAlignment="1" applyProtection="1">
      <alignment horizontal="center" vertical="center"/>
      <protection hidden="1"/>
    </xf>
    <xf numFmtId="1" fontId="4" fillId="0" borderId="1" xfId="0" applyNumberFormat="1" applyFont="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4" fillId="0" borderId="1" xfId="0" applyFont="1" applyBorder="1" applyAlignment="1" applyProtection="1">
      <alignment horizontal="center" vertical="center"/>
      <protection hidden="1"/>
    </xf>
    <xf numFmtId="0" fontId="15" fillId="0" borderId="1" xfId="0" applyFont="1" applyBorder="1" applyAlignment="1" applyProtection="1">
      <alignment horizontal="center" vertical="center"/>
      <protection hidden="1"/>
    </xf>
    <xf numFmtId="164" fontId="15" fillId="0" borderId="1" xfId="0" applyNumberFormat="1" applyFont="1" applyBorder="1" applyAlignment="1" applyProtection="1">
      <alignment horizontal="center" vertical="center"/>
      <protection hidden="1"/>
    </xf>
    <xf numFmtId="10" fontId="15" fillId="0" borderId="1" xfId="0" applyNumberFormat="1" applyFont="1" applyBorder="1" applyAlignment="1" applyProtection="1">
      <alignment horizontal="center" vertical="center"/>
      <protection hidden="1"/>
    </xf>
    <xf numFmtId="0" fontId="6" fillId="0" borderId="0" xfId="0" applyFont="1" applyAlignment="1" applyProtection="1">
      <alignment horizontal="left"/>
      <protection locked="0"/>
    </xf>
    <xf numFmtId="2" fontId="5" fillId="0" borderId="1" xfId="0" applyNumberFormat="1" applyFont="1" applyBorder="1" applyAlignment="1" applyProtection="1">
      <alignment horizontal="center" vertical="center"/>
      <protection hidden="1"/>
    </xf>
    <xf numFmtId="10" fontId="15" fillId="0" borderId="1" xfId="2" applyNumberFormat="1"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5" fillId="0" borderId="15"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1" fontId="5" fillId="3" borderId="16" xfId="0" applyNumberFormat="1" applyFont="1" applyFill="1" applyBorder="1" applyAlignment="1" applyProtection="1">
      <alignment horizontal="center" vertical="center"/>
      <protection hidden="1"/>
    </xf>
    <xf numFmtId="2" fontId="6" fillId="3" borderId="16" xfId="0" applyNumberFormat="1" applyFont="1" applyFill="1" applyBorder="1" applyAlignment="1" applyProtection="1">
      <alignment horizontal="center" vertical="center"/>
      <protection hidden="1"/>
    </xf>
    <xf numFmtId="2" fontId="6" fillId="3" borderId="44" xfId="0" applyNumberFormat="1" applyFont="1" applyFill="1" applyBorder="1" applyAlignment="1" applyProtection="1">
      <alignment horizontal="center" vertical="center"/>
      <protection hidden="1"/>
    </xf>
    <xf numFmtId="2" fontId="6" fillId="3" borderId="45" xfId="0" applyNumberFormat="1" applyFont="1" applyFill="1" applyBorder="1" applyAlignment="1" applyProtection="1">
      <alignment horizontal="center" vertical="center"/>
      <protection hidden="1"/>
    </xf>
    <xf numFmtId="1" fontId="6" fillId="3" borderId="46" xfId="0" applyNumberFormat="1" applyFont="1" applyFill="1" applyBorder="1" applyAlignment="1" applyProtection="1">
      <alignment horizontal="center" vertical="center"/>
      <protection hidden="1"/>
    </xf>
    <xf numFmtId="0" fontId="6" fillId="3" borderId="47" xfId="0"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locked="0"/>
    </xf>
    <xf numFmtId="0" fontId="5" fillId="3" borderId="49" xfId="0" applyFont="1" applyFill="1" applyBorder="1" applyAlignment="1" applyProtection="1">
      <alignment horizontal="center" vertical="center"/>
      <protection locked="0"/>
    </xf>
    <xf numFmtId="0" fontId="5" fillId="3" borderId="49" xfId="0" applyFont="1" applyFill="1" applyBorder="1" applyAlignment="1" applyProtection="1">
      <alignment horizontal="center" vertical="center"/>
      <protection hidden="1"/>
    </xf>
    <xf numFmtId="0" fontId="5" fillId="3" borderId="51" xfId="0" applyFont="1" applyFill="1" applyBorder="1" applyAlignment="1" applyProtection="1">
      <alignment horizontal="center" vertical="center"/>
      <protection hidden="1"/>
    </xf>
    <xf numFmtId="2" fontId="6" fillId="3" borderId="49" xfId="0" applyNumberFormat="1" applyFont="1" applyFill="1" applyBorder="1" applyAlignment="1" applyProtection="1">
      <alignment horizontal="center" vertical="center"/>
      <protection hidden="1"/>
    </xf>
    <xf numFmtId="2" fontId="6" fillId="3" borderId="51" xfId="0" applyNumberFormat="1" applyFont="1" applyFill="1" applyBorder="1" applyAlignment="1" applyProtection="1">
      <alignment horizontal="center" vertical="center"/>
      <protection hidden="1"/>
    </xf>
    <xf numFmtId="2" fontId="6" fillId="3" borderId="29" xfId="0" applyNumberFormat="1" applyFont="1" applyFill="1" applyBorder="1" applyAlignment="1" applyProtection="1">
      <alignment horizontal="center" vertical="center"/>
      <protection hidden="1"/>
    </xf>
    <xf numFmtId="1" fontId="6" fillId="3" borderId="30" xfId="0" applyNumberFormat="1" applyFont="1" applyFill="1" applyBorder="1" applyAlignment="1" applyProtection="1">
      <alignment horizontal="center" vertical="center"/>
      <protection hidden="1"/>
    </xf>
    <xf numFmtId="0" fontId="6" fillId="3" borderId="31" xfId="0" applyFont="1" applyFill="1" applyBorder="1" applyAlignment="1" applyProtection="1">
      <alignment horizontal="center" vertical="center"/>
      <protection hidden="1"/>
    </xf>
    <xf numFmtId="164" fontId="16" fillId="0" borderId="0" xfId="0" applyNumberFormat="1" applyFont="1" applyAlignment="1" applyProtection="1">
      <alignment vertical="center"/>
      <protection hidden="1"/>
    </xf>
    <xf numFmtId="0" fontId="7" fillId="0" borderId="0" xfId="0" applyFont="1" applyAlignment="1" applyProtection="1">
      <alignment vertical="top" wrapText="1"/>
      <protection locked="0"/>
    </xf>
    <xf numFmtId="0" fontId="8" fillId="0" borderId="0" xfId="0" applyFont="1" applyAlignment="1" applyProtection="1">
      <alignment vertical="top" wrapText="1"/>
      <protection hidden="1"/>
    </xf>
    <xf numFmtId="0" fontId="8" fillId="0" borderId="0" xfId="0" applyFont="1" applyAlignment="1" applyProtection="1">
      <alignment vertical="top" wrapText="1"/>
      <protection locked="0"/>
    </xf>
    <xf numFmtId="164" fontId="5" fillId="0" borderId="0" xfId="0" applyNumberFormat="1" applyFont="1" applyAlignment="1" applyProtection="1">
      <alignment horizontal="center"/>
      <protection hidden="1"/>
    </xf>
    <xf numFmtId="0" fontId="11" fillId="0" borderId="0" xfId="0" applyFont="1" applyAlignment="1" applyProtection="1">
      <alignment horizontal="right" vertical="center"/>
      <protection locked="0"/>
    </xf>
    <xf numFmtId="0" fontId="10" fillId="0" borderId="0" xfId="0" applyFont="1" applyAlignment="1" applyProtection="1">
      <alignment horizontal="center" vertical="center"/>
      <protection locked="0"/>
    </xf>
    <xf numFmtId="0" fontId="10" fillId="0" borderId="0" xfId="0" applyFont="1" applyAlignment="1" applyProtection="1">
      <alignment vertical="center"/>
      <protection locked="0"/>
    </xf>
    <xf numFmtId="2" fontId="6" fillId="0" borderId="0" xfId="0" applyNumberFormat="1" applyFont="1" applyAlignment="1" applyProtection="1">
      <alignment horizontal="center"/>
      <protection hidden="1"/>
    </xf>
    <xf numFmtId="0" fontId="6" fillId="0" borderId="0" xfId="0" applyFont="1" applyAlignment="1" applyProtection="1">
      <alignment horizontal="center" vertical="center" textRotation="90" wrapText="1"/>
      <protection locked="0"/>
    </xf>
    <xf numFmtId="2" fontId="6" fillId="0" borderId="0" xfId="0" applyNumberFormat="1" applyFont="1" applyAlignment="1" applyProtection="1">
      <alignment horizontal="center" vertical="center" textRotation="90" wrapText="1"/>
      <protection locked="0"/>
    </xf>
    <xf numFmtId="2" fontId="6" fillId="0" borderId="0" xfId="0" applyNumberFormat="1" applyFont="1" applyAlignment="1" applyProtection="1">
      <alignment horizontal="left" vertical="center" textRotation="90" wrapText="1"/>
      <protection locked="0"/>
    </xf>
    <xf numFmtId="9" fontId="6" fillId="0" borderId="0" xfId="2" applyFont="1" applyAlignment="1" applyProtection="1">
      <alignment horizontal="center"/>
      <protection locked="0"/>
    </xf>
    <xf numFmtId="2" fontId="6" fillId="0" borderId="0" xfId="2" applyNumberFormat="1" applyFont="1" applyAlignment="1" applyProtection="1">
      <alignment horizontal="center"/>
      <protection locked="0"/>
    </xf>
    <xf numFmtId="0" fontId="6" fillId="0" borderId="0" xfId="0" applyFont="1" applyAlignment="1" applyProtection="1">
      <alignment horizontal="center" shrinkToFit="1"/>
      <protection locked="0"/>
    </xf>
    <xf numFmtId="1" fontId="6" fillId="0" borderId="0" xfId="0" applyNumberFormat="1" applyFont="1" applyAlignment="1" applyProtection="1">
      <alignment horizontal="center"/>
      <protection locked="0"/>
    </xf>
    <xf numFmtId="0" fontId="6" fillId="2" borderId="9" xfId="0" applyFont="1" applyFill="1" applyBorder="1" applyAlignment="1" applyProtection="1">
      <alignment horizontal="center" shrinkToFit="1"/>
      <protection hidden="1"/>
    </xf>
    <xf numFmtId="0" fontId="6" fillId="2" borderId="8" xfId="0" applyFont="1" applyFill="1" applyBorder="1" applyAlignment="1" applyProtection="1">
      <alignment vertical="center" shrinkToFit="1"/>
      <protection hidden="1"/>
    </xf>
    <xf numFmtId="164" fontId="17" fillId="0" borderId="5" xfId="0" applyNumberFormat="1" applyFont="1" applyBorder="1" applyAlignment="1" applyProtection="1">
      <alignment horizontal="left" vertical="center" wrapText="1"/>
      <protection hidden="1"/>
    </xf>
    <xf numFmtId="164" fontId="17" fillId="0" borderId="4" xfId="0" applyNumberFormat="1" applyFont="1" applyBorder="1" applyAlignment="1" applyProtection="1">
      <alignment horizontal="left" vertical="center" wrapText="1"/>
      <protection hidden="1"/>
    </xf>
    <xf numFmtId="164" fontId="17" fillId="0" borderId="60" xfId="0" applyNumberFormat="1" applyFont="1" applyBorder="1" applyAlignment="1" applyProtection="1">
      <alignment horizontal="left" vertical="center" wrapText="1"/>
      <protection hidden="1"/>
    </xf>
    <xf numFmtId="0" fontId="6" fillId="2" borderId="10" xfId="0" applyFont="1" applyFill="1" applyBorder="1" applyAlignment="1" applyProtection="1">
      <alignment vertical="center" shrinkToFit="1"/>
      <protection hidden="1"/>
    </xf>
    <xf numFmtId="164" fontId="5" fillId="0" borderId="27" xfId="0" applyNumberFormat="1" applyFont="1" applyBorder="1" applyAlignment="1" applyProtection="1">
      <alignment horizontal="left" vertical="center"/>
      <protection hidden="1"/>
    </xf>
    <xf numFmtId="164" fontId="5" fillId="0" borderId="32" xfId="0" applyNumberFormat="1" applyFont="1" applyBorder="1" applyAlignment="1" applyProtection="1">
      <alignment horizontal="left" vertical="center"/>
      <protection hidden="1"/>
    </xf>
    <xf numFmtId="0" fontId="18" fillId="0" borderId="0" xfId="0" applyFont="1"/>
    <xf numFmtId="0" fontId="18" fillId="0" borderId="0" xfId="0" applyFont="1" applyAlignment="1">
      <alignment horizontal="center" vertical="center"/>
    </xf>
    <xf numFmtId="0" fontId="19" fillId="0" borderId="54"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4" fillId="5" borderId="1" xfId="1" applyFill="1" applyBorder="1" applyAlignment="1" applyProtection="1">
      <alignment horizontal="center" vertical="center"/>
      <protection locked="0"/>
    </xf>
    <xf numFmtId="0" fontId="4" fillId="6" borderId="1" xfId="1" applyFill="1" applyBorder="1" applyAlignment="1" applyProtection="1">
      <alignment horizontal="center" vertical="center"/>
      <protection locked="0"/>
    </xf>
    <xf numFmtId="0" fontId="18" fillId="7" borderId="1" xfId="0" applyFont="1" applyFill="1" applyBorder="1" applyAlignment="1">
      <alignment horizontal="center" vertical="center"/>
    </xf>
    <xf numFmtId="0" fontId="18" fillId="8" borderId="1" xfId="0" applyFont="1" applyFill="1" applyBorder="1" applyAlignment="1">
      <alignment horizontal="center" vertical="center"/>
    </xf>
    <xf numFmtId="0" fontId="18" fillId="0" borderId="62"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9" fillId="0" borderId="0" xfId="0" applyFont="1" applyAlignment="1" applyProtection="1">
      <alignment horizontal="right" vertical="center"/>
      <protection hidden="1"/>
    </xf>
    <xf numFmtId="0" fontId="5" fillId="0" borderId="41"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5" fillId="3" borderId="6" xfId="0" applyFont="1" applyFill="1" applyBorder="1" applyAlignment="1" applyProtection="1">
      <alignment horizontal="center" vertical="center"/>
      <protection locked="0"/>
    </xf>
    <xf numFmtId="0" fontId="5" fillId="3" borderId="63" xfId="0" applyFont="1" applyFill="1" applyBorder="1" applyAlignment="1" applyProtection="1">
      <alignment horizontal="center" vertical="center"/>
      <protection locked="0"/>
    </xf>
    <xf numFmtId="164" fontId="5" fillId="0" borderId="12" xfId="0" applyNumberFormat="1" applyFont="1" applyBorder="1" applyAlignment="1" applyProtection="1">
      <alignment horizontal="left"/>
      <protection hidden="1"/>
    </xf>
    <xf numFmtId="0" fontId="4" fillId="0" borderId="8" xfId="0" applyFont="1" applyBorder="1" applyAlignment="1" applyProtection="1">
      <alignment horizontal="left" vertical="center"/>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164" fontId="4" fillId="0" borderId="0" xfId="0" applyNumberFormat="1" applyFont="1" applyAlignment="1" applyProtection="1">
      <alignment horizontal="center" vertical="center"/>
      <protection hidden="1"/>
    </xf>
    <xf numFmtId="0" fontId="6"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9" borderId="1" xfId="0" applyFont="1" applyFill="1" applyBorder="1" applyAlignment="1" applyProtection="1">
      <alignment horizontal="center" shrinkToFit="1"/>
      <protection locked="0"/>
    </xf>
    <xf numFmtId="0" fontId="27" fillId="9" borderId="1" xfId="0" applyFont="1" applyFill="1" applyBorder="1" applyAlignment="1">
      <alignment horizontal="center" shrinkToFit="1"/>
    </xf>
    <xf numFmtId="2" fontId="26" fillId="9" borderId="1" xfId="0" applyNumberFormat="1" applyFont="1" applyFill="1" applyBorder="1" applyAlignment="1">
      <alignment horizontal="center" shrinkToFit="1"/>
    </xf>
    <xf numFmtId="0" fontId="3"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9" borderId="12" xfId="0" applyNumberFormat="1" applyFont="1" applyFill="1" applyBorder="1" applyAlignment="1">
      <alignment horizontal="center" shrinkToFit="1"/>
    </xf>
    <xf numFmtId="1" fontId="26" fillId="9" borderId="12" xfId="0" applyNumberFormat="1" applyFont="1" applyFill="1" applyBorder="1" applyAlignment="1">
      <alignment horizontal="center" shrinkToFit="1"/>
    </xf>
    <xf numFmtId="0" fontId="28" fillId="10" borderId="12" xfId="0" applyFont="1" applyFill="1" applyBorder="1" applyAlignment="1" applyProtection="1">
      <alignment horizontal="center" vertical="center"/>
      <protection locked="0"/>
    </xf>
    <xf numFmtId="0" fontId="26" fillId="9" borderId="12" xfId="0" applyFont="1" applyFill="1" applyBorder="1" applyAlignment="1" applyProtection="1">
      <alignment horizontal="center" shrinkToFit="1"/>
      <protection locked="0"/>
    </xf>
    <xf numFmtId="0" fontId="0" fillId="0" borderId="0" xfId="0" applyProtection="1">
      <protection hidden="1"/>
    </xf>
    <xf numFmtId="0" fontId="0" fillId="0" borderId="53" xfId="0" applyBorder="1" applyProtection="1">
      <protection hidden="1"/>
    </xf>
    <xf numFmtId="0" fontId="0" fillId="0" borderId="31" xfId="0" applyBorder="1" applyProtection="1">
      <protection hidden="1"/>
    </xf>
    <xf numFmtId="164" fontId="10" fillId="2" borderId="48" xfId="0" applyNumberFormat="1" applyFont="1" applyFill="1" applyBorder="1" applyAlignment="1" applyProtection="1">
      <alignment horizontal="center" vertical="center"/>
      <protection hidden="1"/>
    </xf>
    <xf numFmtId="164" fontId="10" fillId="4" borderId="48"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shrinkToFit="1"/>
      <protection hidden="1"/>
    </xf>
    <xf numFmtId="0" fontId="29" fillId="10" borderId="42" xfId="3" applyFont="1" applyFill="1" applyBorder="1" applyAlignment="1">
      <alignment horizontal="center"/>
    </xf>
    <xf numFmtId="0" fontId="10" fillId="4" borderId="29" xfId="0" applyFont="1" applyFill="1" applyBorder="1" applyAlignment="1" applyProtection="1">
      <alignment horizontal="center" vertical="center"/>
      <protection hidden="1"/>
    </xf>
    <xf numFmtId="0" fontId="29" fillId="10" borderId="30" xfId="3" applyFont="1" applyFill="1" applyBorder="1" applyAlignment="1">
      <alignment horizontal="center"/>
    </xf>
    <xf numFmtId="164" fontId="13" fillId="0" borderId="32" xfId="0" applyNumberFormat="1" applyFont="1" applyBorder="1" applyAlignment="1" applyProtection="1">
      <alignment horizontal="left" vertical="center"/>
      <protection hidden="1"/>
    </xf>
    <xf numFmtId="164" fontId="5" fillId="0" borderId="58" xfId="0" applyNumberFormat="1" applyFont="1" applyBorder="1" applyAlignment="1" applyProtection="1">
      <alignment horizontal="left" vertical="center"/>
      <protection hidden="1"/>
    </xf>
    <xf numFmtId="0" fontId="6" fillId="0" borderId="38" xfId="0" applyFont="1" applyBorder="1" applyAlignment="1" applyProtection="1">
      <alignment horizontal="center" vertical="center"/>
      <protection hidden="1"/>
    </xf>
    <xf numFmtId="0" fontId="6" fillId="2" borderId="55" xfId="0" applyFont="1" applyFill="1" applyBorder="1" applyAlignment="1" applyProtection="1">
      <alignment horizontal="center" vertical="center" shrinkToFit="1"/>
      <protection hidden="1"/>
    </xf>
    <xf numFmtId="0" fontId="32" fillId="11" borderId="42" xfId="3" applyFont="1" applyFill="1" applyBorder="1" applyAlignment="1">
      <alignment horizontal="center"/>
    </xf>
    <xf numFmtId="164" fontId="17" fillId="0" borderId="0" xfId="0" applyNumberFormat="1" applyFont="1" applyAlignment="1" applyProtection="1">
      <alignment horizontal="left" vertical="center" wrapText="1"/>
      <protection hidden="1"/>
    </xf>
    <xf numFmtId="0" fontId="33" fillId="11" borderId="68" xfId="3" applyFont="1" applyFill="1" applyBorder="1" applyAlignment="1">
      <alignment vertical="center"/>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center" vertical="center"/>
      <protection hidden="1"/>
    </xf>
    <xf numFmtId="0" fontId="34" fillId="11" borderId="42" xfId="3" applyFont="1" applyFill="1" applyBorder="1"/>
    <xf numFmtId="0" fontId="5" fillId="0" borderId="69" xfId="0" applyFont="1" applyBorder="1" applyAlignment="1" applyProtection="1">
      <alignment horizontal="center" vertical="center"/>
      <protection locked="0"/>
    </xf>
    <xf numFmtId="0" fontId="5" fillId="0" borderId="70" xfId="0" applyFont="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1" fontId="5" fillId="3" borderId="49" xfId="0" applyNumberFormat="1" applyFont="1" applyFill="1" applyBorder="1" applyAlignment="1" applyProtection="1">
      <alignment horizontal="center" vertical="center"/>
      <protection hidden="1"/>
    </xf>
    <xf numFmtId="0" fontId="5" fillId="0" borderId="48" xfId="0" applyFont="1" applyBorder="1" applyAlignment="1" applyProtection="1">
      <alignment horizontal="center" vertical="center"/>
      <protection locked="0"/>
    </xf>
    <xf numFmtId="0" fontId="25" fillId="0" borderId="60" xfId="0" applyFont="1" applyBorder="1" applyAlignment="1" applyProtection="1">
      <alignment horizontal="center" shrinkToFit="1"/>
      <protection hidden="1"/>
    </xf>
    <xf numFmtId="0" fontId="25" fillId="0" borderId="48"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5" fillId="3" borderId="70" xfId="0" applyNumberFormat="1" applyFont="1" applyFill="1" applyBorder="1" applyAlignment="1" applyProtection="1">
      <alignment horizontal="center" vertical="center"/>
      <protection hidden="1"/>
    </xf>
    <xf numFmtId="2" fontId="6" fillId="3" borderId="70" xfId="0" applyNumberFormat="1" applyFont="1" applyFill="1" applyBorder="1" applyAlignment="1" applyProtection="1">
      <alignment horizontal="center" vertical="center"/>
      <protection hidden="1"/>
    </xf>
    <xf numFmtId="2" fontId="6" fillId="3" borderId="71" xfId="0" applyNumberFormat="1" applyFont="1" applyFill="1" applyBorder="1" applyAlignment="1" applyProtection="1">
      <alignment horizontal="center" vertical="center"/>
      <protection hidden="1"/>
    </xf>
    <xf numFmtId="2" fontId="6" fillId="3" borderId="59" xfId="0" applyNumberFormat="1" applyFont="1" applyFill="1" applyBorder="1" applyAlignment="1" applyProtection="1">
      <alignment horizontal="center" vertical="center"/>
      <protection hidden="1"/>
    </xf>
    <xf numFmtId="1" fontId="6" fillId="3" borderId="56" xfId="0" applyNumberFormat="1" applyFont="1" applyFill="1" applyBorder="1" applyAlignment="1" applyProtection="1">
      <alignment horizontal="center" vertical="center"/>
      <protection hidden="1"/>
    </xf>
    <xf numFmtId="0" fontId="6" fillId="3" borderId="58" xfId="0" applyFont="1" applyFill="1" applyBorder="1" applyAlignment="1" applyProtection="1">
      <alignment horizontal="center" vertical="center"/>
      <protection hidden="1"/>
    </xf>
    <xf numFmtId="0" fontId="36" fillId="11" borderId="42" xfId="3" applyFont="1" applyFill="1" applyBorder="1" applyAlignment="1">
      <alignment horizontal="center"/>
    </xf>
    <xf numFmtId="0" fontId="36" fillId="11" borderId="38" xfId="3" applyFont="1" applyFill="1" applyBorder="1" applyAlignment="1">
      <alignment horizontal="center"/>
    </xf>
    <xf numFmtId="0" fontId="29" fillId="10" borderId="68" xfId="3" applyFont="1" applyFill="1" applyBorder="1" applyAlignment="1">
      <alignment horizontal="center"/>
    </xf>
    <xf numFmtId="0" fontId="6" fillId="2" borderId="1" xfId="0" applyFont="1" applyFill="1" applyBorder="1" applyAlignment="1" applyProtection="1">
      <alignment horizontal="center" vertical="center" shrinkToFit="1"/>
      <protection hidden="1"/>
    </xf>
    <xf numFmtId="0" fontId="6" fillId="2" borderId="1" xfId="0" applyFont="1" applyFill="1" applyBorder="1" applyAlignment="1" applyProtection="1">
      <alignment vertical="center" shrinkToFit="1"/>
      <protection hidden="1"/>
    </xf>
    <xf numFmtId="0" fontId="6" fillId="2" borderId="72" xfId="0" applyFont="1" applyFill="1" applyBorder="1" applyAlignment="1" applyProtection="1">
      <alignment horizontal="center" shrinkToFit="1"/>
      <protection hidden="1"/>
    </xf>
    <xf numFmtId="0" fontId="6" fillId="2" borderId="73" xfId="0" applyFont="1" applyFill="1" applyBorder="1" applyAlignment="1" applyProtection="1">
      <alignment vertical="center" shrinkToFit="1"/>
      <protection hidden="1"/>
    </xf>
    <xf numFmtId="0" fontId="6" fillId="0" borderId="2" xfId="0" applyFont="1" applyBorder="1" applyAlignment="1" applyProtection="1">
      <alignment horizontal="center"/>
      <protection locked="0"/>
    </xf>
    <xf numFmtId="0" fontId="36" fillId="11" borderId="30" xfId="3" applyFont="1" applyFill="1" applyBorder="1" applyAlignment="1">
      <alignment horizontal="center"/>
    </xf>
    <xf numFmtId="0" fontId="29" fillId="10" borderId="31" xfId="3" applyFont="1" applyFill="1" applyBorder="1" applyAlignment="1">
      <alignment horizontal="center"/>
    </xf>
    <xf numFmtId="0" fontId="34" fillId="11" borderId="68" xfId="3" applyFont="1" applyFill="1" applyBorder="1"/>
    <xf numFmtId="0" fontId="25" fillId="0" borderId="2" xfId="0" applyFont="1" applyBorder="1" applyAlignment="1" applyProtection="1">
      <alignment horizontal="center"/>
      <protection locked="0"/>
    </xf>
    <xf numFmtId="164" fontId="37" fillId="0" borderId="1" xfId="0" applyNumberFormat="1" applyFont="1" applyBorder="1" applyAlignment="1" applyProtection="1">
      <alignment horizontal="left"/>
      <protection locked="0"/>
    </xf>
    <xf numFmtId="0" fontId="25" fillId="0" borderId="61" xfId="0" applyFont="1" applyBorder="1" applyAlignment="1" applyProtection="1">
      <alignment horizontal="center"/>
      <protection locked="0"/>
    </xf>
    <xf numFmtId="164" fontId="37" fillId="0" borderId="16" xfId="0" applyNumberFormat="1" applyFont="1" applyBorder="1" applyAlignment="1" applyProtection="1">
      <alignment horizontal="left"/>
      <protection locked="0"/>
    </xf>
    <xf numFmtId="0" fontId="25" fillId="2" borderId="74" xfId="0" applyFont="1" applyFill="1" applyBorder="1" applyAlignment="1" applyProtection="1">
      <alignment horizontal="center" shrinkToFit="1"/>
      <protection hidden="1"/>
    </xf>
    <xf numFmtId="0" fontId="24" fillId="0" borderId="22" xfId="0" applyFont="1" applyBorder="1" applyAlignment="1" applyProtection="1">
      <alignment vertical="center" wrapText="1"/>
      <protection hidden="1"/>
    </xf>
    <xf numFmtId="0" fontId="6" fillId="3" borderId="15" xfId="0" applyFont="1" applyFill="1" applyBorder="1" applyAlignment="1" applyProtection="1">
      <alignment horizontal="center" shrinkToFit="1"/>
      <protection hidden="1"/>
    </xf>
    <xf numFmtId="0" fontId="11" fillId="0" borderId="53" xfId="0" applyFont="1" applyBorder="1" applyAlignment="1" applyProtection="1">
      <alignment horizontal="right" vertical="center"/>
      <protection hidden="1"/>
    </xf>
    <xf numFmtId="0" fontId="11" fillId="0" borderId="0" xfId="0" applyFont="1" applyAlignment="1" applyProtection="1">
      <alignment horizontal="right" vertical="center"/>
      <protection hidden="1"/>
    </xf>
    <xf numFmtId="0" fontId="7" fillId="0" borderId="0" xfId="0" applyFont="1" applyAlignment="1" applyProtection="1">
      <alignment vertical="top" wrapText="1"/>
      <protection hidden="1"/>
    </xf>
    <xf numFmtId="0" fontId="8" fillId="0" borderId="57" xfId="0" applyFont="1" applyBorder="1" applyAlignment="1" applyProtection="1">
      <alignment vertical="top" wrapText="1"/>
      <protection hidden="1"/>
    </xf>
    <xf numFmtId="0" fontId="32" fillId="11" borderId="68" xfId="3" applyFont="1" applyFill="1" applyBorder="1" applyAlignment="1">
      <alignment horizontal="center"/>
    </xf>
    <xf numFmtId="0" fontId="6" fillId="0" borderId="56" xfId="0" applyFont="1" applyBorder="1" applyAlignment="1" applyProtection="1">
      <alignment horizontal="center" vertical="center"/>
      <protection hidden="1"/>
    </xf>
    <xf numFmtId="164" fontId="17" fillId="0" borderId="57" xfId="0" applyNumberFormat="1" applyFont="1" applyBorder="1" applyAlignment="1" applyProtection="1">
      <alignment horizontal="left" vertical="center" wrapText="1"/>
      <protection hidden="1"/>
    </xf>
    <xf numFmtId="0" fontId="5" fillId="0" borderId="54" xfId="0" applyFont="1" applyBorder="1" applyAlignment="1" applyProtection="1">
      <alignment horizontal="center" vertical="center"/>
      <protection locked="0"/>
    </xf>
    <xf numFmtId="0" fontId="26" fillId="9" borderId="49" xfId="0" applyFont="1" applyFill="1" applyBorder="1" applyAlignment="1" applyProtection="1">
      <alignment horizontal="center" shrinkToFit="1"/>
      <protection locked="0"/>
    </xf>
    <xf numFmtId="0" fontId="28" fillId="10" borderId="49" xfId="0" applyFont="1" applyFill="1" applyBorder="1" applyAlignment="1" applyProtection="1">
      <alignment horizontal="center" vertical="center"/>
      <protection locked="0"/>
    </xf>
    <xf numFmtId="164" fontId="5" fillId="0" borderId="21" xfId="0" applyNumberFormat="1" applyFont="1" applyBorder="1" applyAlignment="1" applyProtection="1">
      <alignment horizontal="left"/>
      <protection hidden="1"/>
    </xf>
    <xf numFmtId="164" fontId="5" fillId="0" borderId="22" xfId="0" applyNumberFormat="1" applyFont="1" applyBorder="1" applyAlignment="1" applyProtection="1">
      <alignment horizontal="left"/>
      <protection hidden="1"/>
    </xf>
    <xf numFmtId="164" fontId="5" fillId="0" borderId="40" xfId="0" applyNumberFormat="1" applyFont="1" applyBorder="1" applyAlignment="1" applyProtection="1">
      <alignment horizontal="left"/>
      <protection hidden="1"/>
    </xf>
    <xf numFmtId="164" fontId="5" fillId="0" borderId="14" xfId="0" applyNumberFormat="1" applyFont="1" applyBorder="1" applyAlignment="1" applyProtection="1">
      <alignment horizontal="left"/>
      <protection hidden="1"/>
    </xf>
    <xf numFmtId="164" fontId="5" fillId="0" borderId="28" xfId="0" applyNumberFormat="1" applyFont="1" applyBorder="1" applyAlignment="1" applyProtection="1">
      <alignment horizontal="left"/>
      <protection hidden="1"/>
    </xf>
    <xf numFmtId="0" fontId="6" fillId="3" borderId="55" xfId="0" applyFont="1" applyFill="1" applyBorder="1" applyAlignment="1" applyProtection="1">
      <alignment horizontal="center" shrinkToFit="1"/>
      <protection hidden="1"/>
    </xf>
    <xf numFmtId="0" fontId="5" fillId="3" borderId="63" xfId="0" applyFont="1" applyFill="1" applyBorder="1" applyAlignment="1" applyProtection="1">
      <alignment horizontal="center" vertical="center"/>
      <protection hidden="1"/>
    </xf>
    <xf numFmtId="2" fontId="6" fillId="3" borderId="63" xfId="0" applyNumberFormat="1" applyFont="1" applyFill="1" applyBorder="1" applyAlignment="1" applyProtection="1">
      <alignment horizontal="center" vertical="center"/>
      <protection hidden="1"/>
    </xf>
    <xf numFmtId="1" fontId="6" fillId="3" borderId="63" xfId="0" applyNumberFormat="1" applyFont="1" applyFill="1" applyBorder="1" applyAlignment="1" applyProtection="1">
      <alignment horizontal="center" vertical="center"/>
      <protection hidden="1"/>
    </xf>
    <xf numFmtId="0" fontId="6" fillId="3" borderId="80" xfId="0" applyFont="1" applyFill="1" applyBorder="1" applyAlignment="1" applyProtection="1">
      <alignment horizontal="center" vertical="center"/>
      <protection hidden="1"/>
    </xf>
    <xf numFmtId="0" fontId="6" fillId="2" borderId="75" xfId="0" applyFont="1" applyFill="1" applyBorder="1" applyAlignment="1" applyProtection="1">
      <alignment horizontal="left" vertical="center" shrinkToFit="1"/>
      <protection locked="0"/>
    </xf>
    <xf numFmtId="0" fontId="6" fillId="2" borderId="76" xfId="0" applyFont="1" applyFill="1" applyBorder="1" applyAlignment="1" applyProtection="1">
      <alignment horizontal="left" vertical="center" shrinkToFit="1"/>
      <protection locked="0"/>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9"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9" fillId="3" borderId="14" xfId="0" applyFont="1"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wrapText="1"/>
      <protection hidden="1"/>
    </xf>
    <xf numFmtId="9" fontId="9"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9" fillId="0" borderId="0" xfId="0" applyFont="1" applyAlignment="1" applyProtection="1">
      <alignment horizontal="right" vertical="center"/>
      <protection locked="0"/>
    </xf>
    <xf numFmtId="0" fontId="0" fillId="0" borderId="0" xfId="0" applyProtection="1">
      <protection locked="0"/>
    </xf>
    <xf numFmtId="164" fontId="9"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9" fillId="0" borderId="0" xfId="0" applyFont="1" applyAlignment="1" applyProtection="1">
      <alignment horizontal="center" vertical="center" wrapText="1"/>
      <protection locked="0"/>
    </xf>
    <xf numFmtId="2" fontId="6" fillId="0" borderId="0" xfId="0" applyNumberFormat="1" applyFont="1" applyAlignment="1" applyProtection="1">
      <alignment horizontal="center" vertical="center" wrapText="1"/>
      <protection locked="0"/>
    </xf>
    <xf numFmtId="0" fontId="6" fillId="0" borderId="77" xfId="0" applyFont="1" applyBorder="1" applyAlignment="1" applyProtection="1">
      <alignment horizontal="center" shrinkToFit="1"/>
      <protection locked="0"/>
    </xf>
    <xf numFmtId="0" fontId="6" fillId="0" borderId="5" xfId="0" applyFont="1" applyBorder="1" applyAlignment="1" applyProtection="1">
      <alignment horizontal="center" shrinkToFit="1"/>
      <protection locked="0"/>
    </xf>
    <xf numFmtId="0" fontId="6" fillId="0" borderId="54" xfId="0" applyFont="1" applyBorder="1" applyAlignment="1" applyProtection="1">
      <alignment horizontal="center" shrinkToFit="1"/>
      <protection locked="0"/>
    </xf>
    <xf numFmtId="164" fontId="12"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5" fillId="0" borderId="0" xfId="0" applyFont="1" applyAlignment="1" applyProtection="1">
      <alignment horizontal="center"/>
      <protection locked="0"/>
    </xf>
    <xf numFmtId="0" fontId="5" fillId="0" borderId="57" xfId="0" applyFont="1" applyBorder="1" applyAlignment="1" applyProtection="1">
      <alignment horizontal="center"/>
      <protection locked="0"/>
    </xf>
    <xf numFmtId="0" fontId="21" fillId="12" borderId="0" xfId="0" applyFont="1" applyFill="1" applyAlignment="1" applyProtection="1">
      <alignment horizontal="center" vertical="center" wrapText="1"/>
      <protection hidden="1"/>
    </xf>
    <xf numFmtId="9" fontId="21" fillId="12" borderId="0" xfId="0" applyNumberFormat="1" applyFont="1" applyFill="1" applyAlignment="1" applyProtection="1">
      <alignment horizontal="center" vertical="center" wrapText="1"/>
      <protection hidden="1"/>
    </xf>
    <xf numFmtId="164" fontId="10" fillId="0" borderId="1" xfId="0" applyNumberFormat="1" applyFont="1" applyBorder="1" applyAlignment="1" applyProtection="1">
      <alignment horizontal="center" vertical="center" shrinkToFit="1"/>
      <protection locked="0"/>
    </xf>
    <xf numFmtId="0" fontId="0" fillId="0" borderId="2" xfId="0" applyBorder="1" applyProtection="1">
      <protection locked="0"/>
    </xf>
    <xf numFmtId="0" fontId="9" fillId="13" borderId="37" xfId="0" applyFont="1" applyFill="1" applyBorder="1" applyAlignment="1" applyProtection="1">
      <alignment horizontal="center" vertical="center" wrapText="1"/>
      <protection hidden="1"/>
    </xf>
    <xf numFmtId="0" fontId="9" fillId="13" borderId="60" xfId="0" applyFont="1" applyFill="1" applyBorder="1" applyAlignment="1" applyProtection="1">
      <alignment horizontal="center" vertical="center" wrapText="1"/>
      <protection hidden="1"/>
    </xf>
    <xf numFmtId="0" fontId="9" fillId="13" borderId="62" xfId="0" applyFont="1" applyFill="1" applyBorder="1" applyAlignment="1" applyProtection="1">
      <alignment horizontal="center" vertical="center" wrapText="1"/>
      <protection hidden="1"/>
    </xf>
    <xf numFmtId="0" fontId="9" fillId="13" borderId="29" xfId="0" applyFont="1" applyFill="1" applyBorder="1" applyAlignment="1" applyProtection="1">
      <alignment horizontal="center" vertical="center" wrapText="1"/>
      <protection hidden="1"/>
    </xf>
    <xf numFmtId="0" fontId="9" fillId="13" borderId="0" xfId="0" applyFont="1" applyFill="1" applyAlignment="1" applyProtection="1">
      <alignment horizontal="center" vertical="center" wrapText="1"/>
      <protection hidden="1"/>
    </xf>
    <xf numFmtId="0" fontId="9" fillId="13" borderId="53" xfId="0" applyFont="1" applyFill="1" applyBorder="1" applyAlignment="1" applyProtection="1">
      <alignment horizontal="center" vertical="center" wrapText="1"/>
      <protection hidden="1"/>
    </xf>
    <xf numFmtId="0" fontId="9" fillId="13" borderId="77" xfId="0" applyFont="1" applyFill="1" applyBorder="1" applyAlignment="1" applyProtection="1">
      <alignment horizontal="center" vertical="center" wrapText="1"/>
      <protection hidden="1"/>
    </xf>
    <xf numFmtId="0" fontId="9" fillId="13" borderId="5" xfId="0" applyFont="1" applyFill="1" applyBorder="1" applyAlignment="1" applyProtection="1">
      <alignment horizontal="center" vertical="center" wrapText="1"/>
      <protection hidden="1"/>
    </xf>
    <xf numFmtId="0" fontId="9" fillId="13" borderId="54" xfId="0" applyFont="1" applyFill="1" applyBorder="1" applyAlignment="1" applyProtection="1">
      <alignment horizontal="center" vertical="center" wrapText="1"/>
      <protection hidden="1"/>
    </xf>
    <xf numFmtId="9" fontId="9" fillId="3" borderId="35" xfId="0" applyNumberFormat="1" applyFont="1" applyFill="1" applyBorder="1" applyAlignment="1" applyProtection="1">
      <alignment horizontal="center" vertical="center" wrapText="1"/>
      <protection hidden="1"/>
    </xf>
    <xf numFmtId="9" fontId="9" fillId="3" borderId="60" xfId="0" applyNumberFormat="1" applyFont="1" applyFill="1" applyBorder="1" applyAlignment="1" applyProtection="1">
      <alignment horizontal="center" vertical="center" wrapText="1"/>
      <protection hidden="1"/>
    </xf>
    <xf numFmtId="9" fontId="9" fillId="3" borderId="39" xfId="0" applyNumberFormat="1" applyFont="1" applyFill="1" applyBorder="1" applyAlignment="1" applyProtection="1">
      <alignment horizontal="center" vertical="center" wrapText="1"/>
      <protection hidden="1"/>
    </xf>
    <xf numFmtId="9" fontId="9" fillId="3" borderId="50" xfId="0" applyNumberFormat="1" applyFont="1" applyFill="1" applyBorder="1" applyAlignment="1" applyProtection="1">
      <alignment horizontal="center" vertical="center" wrapText="1"/>
      <protection hidden="1"/>
    </xf>
    <xf numFmtId="9" fontId="9" fillId="3" borderId="0" xfId="0" applyNumberFormat="1" applyFont="1" applyFill="1" applyAlignment="1" applyProtection="1">
      <alignment horizontal="center" vertical="center" wrapText="1"/>
      <protection hidden="1"/>
    </xf>
    <xf numFmtId="9" fontId="9" fillId="3" borderId="31" xfId="0" applyNumberFormat="1" applyFont="1" applyFill="1" applyBorder="1" applyAlignment="1" applyProtection="1">
      <alignment horizontal="center" vertical="center" wrapText="1"/>
      <protection hidden="1"/>
    </xf>
    <xf numFmtId="9" fontId="9" fillId="3" borderId="13" xfId="0" applyNumberFormat="1" applyFont="1" applyFill="1" applyBorder="1" applyAlignment="1" applyProtection="1">
      <alignment horizontal="center" vertical="center" wrapText="1"/>
      <protection hidden="1"/>
    </xf>
    <xf numFmtId="9" fontId="9" fillId="3" borderId="5" xfId="0" applyNumberFormat="1" applyFont="1" applyFill="1" applyBorder="1" applyAlignment="1" applyProtection="1">
      <alignment horizontal="center" vertical="center" wrapText="1"/>
      <protection hidden="1"/>
    </xf>
    <xf numFmtId="9" fontId="9" fillId="3" borderId="32"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protection hidden="1"/>
    </xf>
    <xf numFmtId="0" fontId="35" fillId="11" borderId="30" xfId="3" applyFont="1" applyFill="1" applyBorder="1" applyAlignment="1">
      <alignment horizontal="center" vertical="center"/>
    </xf>
    <xf numFmtId="0" fontId="35" fillId="11" borderId="68" xfId="3" applyFont="1" applyFill="1" applyBorder="1" applyAlignment="1">
      <alignment horizontal="center" vertical="center"/>
    </xf>
    <xf numFmtId="0" fontId="30" fillId="10" borderId="58" xfId="3" applyFont="1" applyFill="1" applyBorder="1" applyAlignment="1">
      <alignment horizontal="center"/>
    </xf>
    <xf numFmtId="0" fontId="30" fillId="10" borderId="8" xfId="3" applyFont="1" applyFill="1" applyBorder="1" applyAlignment="1">
      <alignment horizontal="center"/>
    </xf>
    <xf numFmtId="0" fontId="30" fillId="10" borderId="10" xfId="3" applyFont="1" applyFill="1" applyBorder="1" applyAlignment="1">
      <alignment horizontal="center"/>
    </xf>
    <xf numFmtId="0" fontId="7" fillId="0" borderId="0" xfId="0" applyFont="1" applyAlignment="1" applyProtection="1">
      <alignment horizontal="center" vertical="top" wrapText="1"/>
      <protection locked="0"/>
    </xf>
    <xf numFmtId="164" fontId="9" fillId="0" borderId="0" xfId="0" applyNumberFormat="1" applyFont="1" applyAlignment="1" applyProtection="1">
      <alignment horizontal="right" vertical="center"/>
      <protection hidden="1"/>
    </xf>
    <xf numFmtId="0" fontId="0" fillId="0" borderId="0" xfId="0" applyProtection="1">
      <protection hidden="1"/>
    </xf>
    <xf numFmtId="0" fontId="0" fillId="0" borderId="4" xfId="0" applyBorder="1" applyProtection="1">
      <protection locked="0"/>
    </xf>
    <xf numFmtId="0" fontId="4" fillId="0" borderId="10" xfId="0"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0" fontId="8" fillId="0" borderId="0" xfId="0" applyFont="1" applyAlignment="1" applyProtection="1">
      <alignment horizontal="center" vertical="top" wrapText="1"/>
      <protection locked="0"/>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164" fontId="10" fillId="0" borderId="1" xfId="0" applyNumberFormat="1"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164" fontId="4" fillId="0" borderId="10" xfId="0" applyNumberFormat="1" applyFont="1" applyBorder="1" applyAlignment="1" applyProtection="1">
      <alignment horizontal="left" vertical="center"/>
      <protection locked="0"/>
    </xf>
    <xf numFmtId="2" fontId="6" fillId="3" borderId="65" xfId="0" applyNumberFormat="1" applyFont="1" applyFill="1" applyBorder="1" applyAlignment="1" applyProtection="1">
      <alignment horizontal="center" vertical="center" wrapText="1"/>
      <protection hidden="1"/>
    </xf>
    <xf numFmtId="2" fontId="6" fillId="3" borderId="30" xfId="0" applyNumberFormat="1" applyFont="1" applyFill="1" applyBorder="1" applyAlignment="1" applyProtection="1">
      <alignment horizontal="center" vertical="center" wrapText="1"/>
      <protection hidden="1"/>
    </xf>
    <xf numFmtId="2" fontId="6" fillId="3" borderId="56" xfId="0" applyNumberFormat="1" applyFont="1" applyFill="1" applyBorder="1" applyAlignment="1" applyProtection="1">
      <alignment horizontal="center" vertical="center" wrapText="1"/>
      <protection hidden="1"/>
    </xf>
    <xf numFmtId="164" fontId="10" fillId="0" borderId="3" xfId="0" applyNumberFormat="1" applyFont="1" applyBorder="1" applyAlignment="1" applyProtection="1">
      <alignment horizontal="center" vertical="center" shrinkToFit="1"/>
      <protection hidden="1"/>
    </xf>
    <xf numFmtId="164" fontId="10" fillId="0" borderId="4" xfId="0" applyNumberFormat="1" applyFont="1" applyBorder="1" applyAlignment="1" applyProtection="1">
      <alignment horizontal="center" vertical="center" shrinkToFit="1"/>
      <protection hidden="1"/>
    </xf>
    <xf numFmtId="164" fontId="10" fillId="0" borderId="2"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right" vertical="center"/>
      <protection hidden="1"/>
    </xf>
    <xf numFmtId="164" fontId="10" fillId="0" borderId="3" xfId="0" applyNumberFormat="1" applyFont="1" applyBorder="1" applyAlignment="1" applyProtection="1">
      <alignment horizontal="center" vertical="center"/>
      <protection hidden="1"/>
    </xf>
    <xf numFmtId="164" fontId="10" fillId="0" borderId="4" xfId="0" applyNumberFormat="1" applyFont="1" applyBorder="1" applyAlignment="1" applyProtection="1">
      <alignment horizontal="center" vertical="center"/>
      <protection hidden="1"/>
    </xf>
    <xf numFmtId="164" fontId="10" fillId="0" borderId="2" xfId="0" applyNumberFormat="1" applyFont="1" applyBorder="1" applyAlignment="1" applyProtection="1">
      <alignment horizontal="center" vertical="center"/>
      <protection hidden="1"/>
    </xf>
    <xf numFmtId="164" fontId="9" fillId="0" borderId="50" xfId="0" applyNumberFormat="1" applyFont="1" applyBorder="1" applyAlignment="1" applyProtection="1">
      <alignment horizontal="right" vertical="center"/>
      <protection hidden="1"/>
    </xf>
    <xf numFmtId="164" fontId="9" fillId="0" borderId="53" xfId="0" applyNumberFormat="1" applyFont="1" applyBorder="1" applyAlignment="1" applyProtection="1">
      <alignment horizontal="right" vertical="center"/>
      <protection hidden="1"/>
    </xf>
    <xf numFmtId="0" fontId="4" fillId="0" borderId="8" xfId="0" applyFont="1" applyBorder="1" applyAlignment="1" applyProtection="1">
      <alignment horizontal="center" vertical="center"/>
      <protection hidden="1"/>
    </xf>
    <xf numFmtId="0" fontId="4" fillId="0" borderId="10" xfId="0" applyFont="1" applyBorder="1" applyAlignment="1" applyProtection="1">
      <alignment horizontal="center" vertical="center"/>
      <protection hidden="1"/>
    </xf>
    <xf numFmtId="164" fontId="12" fillId="0" borderId="9"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164" fontId="4"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9" fillId="3" borderId="25" xfId="0" applyNumberFormat="1" applyFont="1" applyFill="1" applyBorder="1" applyAlignment="1" applyProtection="1">
      <alignment horizontal="center" vertical="center" wrapText="1"/>
      <protection hidden="1"/>
    </xf>
    <xf numFmtId="10" fontId="9" fillId="3" borderId="23" xfId="0" applyNumberFormat="1" applyFont="1" applyFill="1" applyBorder="1" applyAlignment="1" applyProtection="1">
      <alignment horizontal="center" vertical="center" wrapText="1"/>
      <protection hidden="1"/>
    </xf>
    <xf numFmtId="10" fontId="9" fillId="3" borderId="27" xfId="0" applyNumberFormat="1" applyFont="1" applyFill="1" applyBorder="1" applyAlignment="1" applyProtection="1">
      <alignment horizontal="center" vertical="center" wrapText="1"/>
      <protection hidden="1"/>
    </xf>
    <xf numFmtId="164" fontId="9" fillId="0" borderId="13" xfId="0" applyNumberFormat="1" applyFont="1" applyBorder="1" applyAlignment="1" applyProtection="1">
      <alignment horizontal="right" vertical="center"/>
      <protection hidden="1"/>
    </xf>
    <xf numFmtId="164" fontId="9" fillId="0" borderId="5" xfId="0" applyNumberFormat="1" applyFont="1" applyBorder="1" applyAlignment="1" applyProtection="1">
      <alignment horizontal="right" vertical="center"/>
      <protection hidden="1"/>
    </xf>
    <xf numFmtId="164" fontId="9" fillId="0" borderId="54" xfId="0" applyNumberFormat="1" applyFont="1" applyBorder="1" applyAlignment="1" applyProtection="1">
      <alignment horizontal="right" vertical="center"/>
      <protection hidden="1"/>
    </xf>
    <xf numFmtId="0" fontId="7" fillId="0" borderId="0" xfId="0" applyFont="1" applyAlignment="1" applyProtection="1">
      <alignment horizontal="center" vertical="top" wrapText="1"/>
      <protection hidden="1"/>
    </xf>
    <xf numFmtId="0" fontId="6" fillId="3" borderId="9" xfId="0" applyFont="1" applyFill="1" applyBorder="1" applyAlignment="1" applyProtection="1">
      <alignment horizontal="left" vertical="center" shrinkToFit="1"/>
      <protection hidden="1"/>
    </xf>
    <xf numFmtId="0" fontId="6" fillId="3" borderId="8"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6" fillId="0" borderId="10" xfId="0" applyFont="1" applyBorder="1" applyAlignment="1" applyProtection="1">
      <alignment horizontal="center" vertical="center"/>
      <protection locked="0"/>
    </xf>
    <xf numFmtId="0" fontId="6" fillId="0" borderId="41" xfId="0" applyFont="1" applyBorder="1" applyAlignment="1" applyProtection="1">
      <alignment horizontal="center" shrinkToFit="1"/>
      <protection hidden="1"/>
    </xf>
    <xf numFmtId="0" fontId="6" fillId="0" borderId="4" xfId="0" applyFont="1" applyBorder="1" applyAlignment="1" applyProtection="1">
      <alignment horizontal="center" shrinkToFit="1"/>
      <protection hidden="1"/>
    </xf>
    <xf numFmtId="0" fontId="6" fillId="0" borderId="43" xfId="0" applyFont="1" applyBorder="1" applyAlignment="1" applyProtection="1">
      <alignment horizontal="center" shrinkToFit="1"/>
      <protection hidden="1"/>
    </xf>
    <xf numFmtId="0" fontId="6" fillId="3" borderId="17" xfId="0" applyFont="1" applyFill="1" applyBorder="1" applyAlignment="1" applyProtection="1">
      <alignment horizontal="left" vertical="center" shrinkToFit="1"/>
      <protection hidden="1"/>
    </xf>
    <xf numFmtId="0" fontId="6" fillId="3" borderId="47" xfId="0" applyFont="1" applyFill="1" applyBorder="1" applyAlignment="1" applyProtection="1">
      <alignment horizontal="left" vertical="center" shrinkToFit="1"/>
      <protection hidden="1"/>
    </xf>
    <xf numFmtId="0" fontId="6" fillId="0" borderId="18" xfId="0" applyFont="1" applyBorder="1" applyAlignment="1" applyProtection="1">
      <alignment horizontal="center" vertical="center" textRotation="90" shrinkToFit="1"/>
      <protection hidden="1"/>
    </xf>
    <xf numFmtId="0" fontId="6" fillId="0" borderId="11" xfId="0" applyFont="1" applyBorder="1" applyAlignment="1" applyProtection="1">
      <alignment horizontal="center" vertical="center" textRotation="90" shrinkToFit="1"/>
      <protection hidden="1"/>
    </xf>
    <xf numFmtId="0" fontId="24" fillId="0" borderId="66"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24" fillId="0" borderId="67" xfId="0" applyFont="1" applyBorder="1" applyAlignment="1" applyProtection="1">
      <alignment horizontal="center" vertical="center" wrapText="1"/>
      <protection hidden="1"/>
    </xf>
    <xf numFmtId="0" fontId="11" fillId="0" borderId="64" xfId="0" applyFont="1" applyBorder="1" applyAlignment="1" applyProtection="1">
      <alignment horizontal="center" vertical="center" wrapText="1"/>
      <protection hidden="1"/>
    </xf>
    <xf numFmtId="9" fontId="9" fillId="3" borderId="25" xfId="0" applyNumberFormat="1" applyFont="1" applyFill="1" applyBorder="1" applyAlignment="1" applyProtection="1">
      <alignment horizontal="center" vertical="center" wrapText="1"/>
      <protection hidden="1"/>
    </xf>
    <xf numFmtId="9" fontId="9" fillId="3" borderId="23" xfId="0" applyNumberFormat="1" applyFont="1" applyFill="1" applyBorder="1" applyAlignment="1" applyProtection="1">
      <alignment horizontal="center" vertical="center" wrapText="1"/>
      <protection hidden="1"/>
    </xf>
    <xf numFmtId="9" fontId="9" fillId="3" borderId="27" xfId="0" applyNumberFormat="1" applyFont="1" applyFill="1" applyBorder="1" applyAlignment="1" applyProtection="1">
      <alignment horizontal="center" vertical="center" wrapText="1"/>
      <protection hidden="1"/>
    </xf>
    <xf numFmtId="0" fontId="33" fillId="11" borderId="77" xfId="3" applyFont="1" applyFill="1" applyBorder="1" applyAlignment="1">
      <alignment horizontal="center" vertical="center"/>
    </xf>
    <xf numFmtId="0" fontId="33" fillId="11" borderId="5" xfId="3" applyFont="1" applyFill="1" applyBorder="1" applyAlignment="1">
      <alignment horizontal="center" vertical="center"/>
    </xf>
    <xf numFmtId="0" fontId="33" fillId="11" borderId="32" xfId="3" applyFont="1" applyFill="1" applyBorder="1" applyAlignment="1">
      <alignment horizontal="center" vertical="center"/>
    </xf>
    <xf numFmtId="0" fontId="35" fillId="11" borderId="59" xfId="3" applyFont="1" applyFill="1" applyBorder="1" applyAlignment="1">
      <alignment horizontal="center" vertical="center"/>
    </xf>
    <xf numFmtId="0" fontId="35" fillId="11" borderId="57" xfId="3" applyFont="1" applyFill="1" applyBorder="1" applyAlignment="1">
      <alignment horizontal="center" vertical="center"/>
    </xf>
    <xf numFmtId="0" fontId="35" fillId="11" borderId="58" xfId="3" applyFont="1" applyFill="1" applyBorder="1" applyAlignment="1">
      <alignment horizontal="center" vertical="center"/>
    </xf>
    <xf numFmtId="0" fontId="33" fillId="11" borderId="25" xfId="3" applyFont="1" applyFill="1" applyBorder="1" applyAlignment="1">
      <alignment horizontal="center" vertical="center"/>
    </xf>
    <xf numFmtId="0" fontId="33" fillId="11" borderId="23" xfId="3" applyFont="1" applyFill="1" applyBorder="1" applyAlignment="1">
      <alignment horizontal="center" vertical="center"/>
    </xf>
    <xf numFmtId="0" fontId="33" fillId="11" borderId="27" xfId="3" applyFont="1" applyFill="1" applyBorder="1" applyAlignment="1">
      <alignment horizontal="center" vertical="center"/>
    </xf>
    <xf numFmtId="164" fontId="10" fillId="0" borderId="14" xfId="0" applyNumberFormat="1" applyFont="1" applyBorder="1" applyAlignment="1" applyProtection="1">
      <alignment horizontal="center" vertical="center"/>
      <protection hidden="1"/>
    </xf>
    <xf numFmtId="0" fontId="0" fillId="0" borderId="3" xfId="0" applyBorder="1" applyProtection="1">
      <protection hidden="1"/>
    </xf>
    <xf numFmtId="164" fontId="10" fillId="0" borderId="1" xfId="0" applyNumberFormat="1" applyFont="1" applyBorder="1" applyAlignment="1" applyProtection="1">
      <alignment horizontal="center" vertical="center"/>
      <protection hidden="1"/>
    </xf>
    <xf numFmtId="164" fontId="10" fillId="0" borderId="28"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0" fontId="10" fillId="0" borderId="14" xfId="0" applyFont="1" applyBorder="1" applyAlignment="1" applyProtection="1">
      <alignment horizontal="center" vertical="center"/>
      <protection hidden="1"/>
    </xf>
    <xf numFmtId="0" fontId="0" fillId="0" borderId="43" xfId="0" applyBorder="1" applyProtection="1">
      <protection hidden="1"/>
    </xf>
    <xf numFmtId="164" fontId="10" fillId="0" borderId="69" xfId="0" applyNumberFormat="1" applyFont="1" applyBorder="1" applyAlignment="1" applyProtection="1">
      <alignment horizontal="center" vertical="center"/>
      <protection hidden="1"/>
    </xf>
    <xf numFmtId="0" fontId="0" fillId="0" borderId="70" xfId="0" applyBorder="1" applyProtection="1">
      <protection hidden="1"/>
    </xf>
    <xf numFmtId="0" fontId="0" fillId="0" borderId="71" xfId="0" applyBorder="1" applyProtection="1">
      <protection hidden="1"/>
    </xf>
    <xf numFmtId="164" fontId="9" fillId="0" borderId="79" xfId="0" applyNumberFormat="1" applyFont="1" applyBorder="1" applyAlignment="1" applyProtection="1">
      <alignment horizontal="center" vertical="center"/>
      <protection hidden="1"/>
    </xf>
    <xf numFmtId="0" fontId="0" fillId="0" borderId="57" xfId="0" applyBorder="1" applyProtection="1">
      <protection hidden="1"/>
    </xf>
    <xf numFmtId="0" fontId="0" fillId="0" borderId="79" xfId="0" applyBorder="1" applyProtection="1">
      <protection hidden="1"/>
    </xf>
    <xf numFmtId="0" fontId="10" fillId="0" borderId="69" xfId="0" applyFont="1" applyBorder="1" applyAlignment="1" applyProtection="1">
      <alignment horizontal="center" vertical="center"/>
      <protection hidden="1"/>
    </xf>
    <xf numFmtId="0" fontId="0" fillId="0" borderId="58" xfId="0" applyBorder="1" applyProtection="1">
      <protection hidden="1"/>
    </xf>
    <xf numFmtId="164" fontId="10" fillId="0" borderId="15" xfId="0" applyNumberFormat="1" applyFont="1" applyBorder="1" applyAlignment="1" applyProtection="1">
      <alignment horizontal="center" vertical="center"/>
      <protection hidden="1"/>
    </xf>
    <xf numFmtId="164" fontId="10" fillId="0" borderId="52"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17" xfId="0" applyBorder="1" applyProtection="1">
      <protection hidden="1"/>
    </xf>
    <xf numFmtId="0" fontId="0" fillId="0" borderId="44" xfId="0" applyBorder="1" applyProtection="1">
      <protection hidden="1"/>
    </xf>
    <xf numFmtId="164" fontId="9" fillId="0" borderId="52" xfId="0" applyNumberFormat="1" applyFont="1" applyBorder="1" applyAlignment="1" applyProtection="1">
      <alignment horizontal="center" vertical="center"/>
      <protection hidden="1"/>
    </xf>
    <xf numFmtId="164" fontId="9" fillId="0" borderId="47" xfId="0" applyNumberFormat="1" applyFont="1" applyBorder="1" applyAlignment="1" applyProtection="1">
      <alignment horizontal="center" vertical="center"/>
      <protection hidden="1"/>
    </xf>
    <xf numFmtId="164" fontId="10" fillId="0" borderId="45" xfId="0" applyNumberFormat="1" applyFont="1" applyBorder="1" applyAlignment="1" applyProtection="1">
      <alignment horizontal="center" vertical="center"/>
      <protection hidden="1"/>
    </xf>
    <xf numFmtId="164" fontId="10" fillId="0" borderId="47" xfId="0" applyNumberFormat="1" applyFont="1" applyBorder="1" applyAlignment="1" applyProtection="1">
      <alignment horizontal="center" vertical="center"/>
      <protection hidden="1"/>
    </xf>
    <xf numFmtId="0" fontId="10" fillId="0" borderId="45" xfId="0" applyFont="1" applyBorder="1" applyAlignment="1" applyProtection="1">
      <alignment horizontal="center" vertical="center"/>
      <protection hidden="1"/>
    </xf>
    <xf numFmtId="0" fontId="10" fillId="0" borderId="52" xfId="0" applyFont="1" applyBorder="1" applyAlignment="1" applyProtection="1">
      <alignment horizontal="center" vertical="center"/>
      <protection hidden="1"/>
    </xf>
    <xf numFmtId="0" fontId="10" fillId="0" borderId="47" xfId="0" applyFont="1" applyBorder="1" applyAlignment="1" applyProtection="1">
      <alignment horizontal="center" vertical="center"/>
      <protection hidden="1"/>
    </xf>
    <xf numFmtId="164" fontId="10" fillId="0" borderId="21" xfId="0" applyNumberFormat="1" applyFont="1" applyBorder="1" applyAlignment="1" applyProtection="1">
      <alignment horizontal="center" vertical="center"/>
      <protection hidden="1"/>
    </xf>
    <xf numFmtId="164" fontId="10" fillId="0" borderId="23" xfId="0" applyNumberFormat="1" applyFont="1" applyBorder="1" applyAlignment="1" applyProtection="1">
      <alignment horizontal="center" vertical="center"/>
      <protection hidden="1"/>
    </xf>
    <xf numFmtId="164" fontId="10" fillId="0" borderId="22" xfId="0" applyNumberFormat="1" applyFont="1" applyBorder="1" applyAlignment="1" applyProtection="1">
      <alignment horizontal="center" vertical="center"/>
      <protection hidden="1"/>
    </xf>
    <xf numFmtId="164" fontId="10" fillId="0" borderId="78" xfId="0" applyNumberFormat="1" applyFont="1" applyBorder="1" applyAlignment="1" applyProtection="1">
      <alignment horizontal="center" vertical="center"/>
      <protection hidden="1"/>
    </xf>
    <xf numFmtId="164" fontId="10" fillId="0" borderId="40" xfId="0" applyNumberFormat="1" applyFont="1" applyBorder="1" applyAlignment="1" applyProtection="1">
      <alignment horizontal="center" vertical="center"/>
      <protection hidden="1"/>
    </xf>
    <xf numFmtId="164" fontId="9" fillId="0" borderId="23" xfId="0" applyNumberFormat="1" applyFont="1" applyBorder="1" applyAlignment="1" applyProtection="1">
      <alignment horizontal="center" vertical="center"/>
      <protection hidden="1"/>
    </xf>
    <xf numFmtId="164" fontId="9" fillId="0" borderId="27" xfId="0" applyNumberFormat="1" applyFont="1" applyBorder="1" applyAlignment="1" applyProtection="1">
      <alignment horizontal="center" vertical="center"/>
      <protection hidden="1"/>
    </xf>
    <xf numFmtId="164" fontId="10" fillId="0" borderId="25" xfId="0" applyNumberFormat="1" applyFont="1" applyBorder="1" applyAlignment="1" applyProtection="1">
      <alignment horizontal="center" vertical="center"/>
      <protection hidden="1"/>
    </xf>
    <xf numFmtId="164" fontId="10" fillId="0" borderId="27" xfId="0" applyNumberFormat="1" applyFont="1" applyBorder="1" applyAlignment="1" applyProtection="1">
      <alignment horizontal="center" vertical="center"/>
      <protection hidden="1"/>
    </xf>
    <xf numFmtId="0" fontId="10" fillId="0" borderId="25" xfId="0" applyFont="1" applyBorder="1" applyAlignment="1" applyProtection="1">
      <alignment horizontal="center" vertical="center"/>
      <protection hidden="1"/>
    </xf>
    <xf numFmtId="0" fontId="10" fillId="0" borderId="23" xfId="0" applyFont="1" applyBorder="1" applyAlignment="1" applyProtection="1">
      <alignment horizontal="center" vertical="center"/>
      <protection hidden="1"/>
    </xf>
    <xf numFmtId="0" fontId="10" fillId="0" borderId="27" xfId="0" applyFont="1" applyBorder="1" applyAlignment="1" applyProtection="1">
      <alignment horizontal="center" vertical="center"/>
      <protection hidden="1"/>
    </xf>
    <xf numFmtId="0" fontId="6" fillId="2" borderId="30" xfId="0" applyFont="1" applyFill="1" applyBorder="1" applyAlignment="1" applyProtection="1">
      <alignment horizontal="center" shrinkToFit="1"/>
      <protection hidden="1"/>
    </xf>
    <xf numFmtId="0" fontId="0" fillId="0" borderId="31" xfId="0" applyBorder="1" applyProtection="1">
      <protection hidden="1"/>
    </xf>
    <xf numFmtId="0" fontId="0" fillId="0" borderId="78" xfId="0" applyBorder="1" applyProtection="1">
      <protection hidden="1"/>
    </xf>
    <xf numFmtId="164" fontId="9"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10" fillId="0" borderId="21" xfId="0" applyFont="1" applyBorder="1" applyAlignment="1" applyProtection="1">
      <alignment horizontal="center" vertical="center"/>
      <protection hidden="1"/>
    </xf>
    <xf numFmtId="0" fontId="0" fillId="0" borderId="27" xfId="0" applyBorder="1" applyProtection="1">
      <protection hidden="1"/>
    </xf>
    <xf numFmtId="164" fontId="10" fillId="0" borderId="1" xfId="0" applyNumberFormat="1" applyFont="1" applyBorder="1" applyAlignment="1" applyProtection="1">
      <alignment horizontal="center" vertical="center" shrinkToFit="1"/>
      <protection hidden="1"/>
    </xf>
    <xf numFmtId="164" fontId="11" fillId="0" borderId="54"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4" xfId="0" applyBorder="1" applyProtection="1">
      <protection hidden="1"/>
    </xf>
    <xf numFmtId="164" fontId="11" fillId="0" borderId="0" xfId="0" applyNumberFormat="1" applyFont="1" applyAlignment="1" applyProtection="1">
      <alignment horizontal="right" vertical="center"/>
      <protection hidden="1"/>
    </xf>
    <xf numFmtId="164" fontId="10" fillId="0" borderId="0" xfId="0" applyNumberFormat="1" applyFont="1" applyAlignment="1" applyProtection="1">
      <alignment horizontal="center" vertical="center"/>
      <protection hidden="1"/>
    </xf>
    <xf numFmtId="0" fontId="38" fillId="0" borderId="0" xfId="0" applyFont="1" applyAlignment="1" applyProtection="1">
      <alignment horizontal="center"/>
      <protection hidden="1"/>
    </xf>
    <xf numFmtId="0" fontId="0" fillId="0" borderId="0" xfId="0" applyAlignment="1" applyProtection="1">
      <alignment horizontal="center"/>
      <protection hidden="1"/>
    </xf>
    <xf numFmtId="0" fontId="6" fillId="0" borderId="55" xfId="0" applyFont="1" applyBorder="1" applyAlignment="1" applyProtection="1">
      <alignment horizontal="center" vertical="center"/>
      <protection hidden="1"/>
    </xf>
    <xf numFmtId="0" fontId="0" fillId="0" borderId="30" xfId="0" applyBorder="1" applyProtection="1">
      <protection hidden="1"/>
    </xf>
    <xf numFmtId="0" fontId="0" fillId="0" borderId="56" xfId="0" applyBorder="1" applyProtection="1">
      <protection hidden="1"/>
    </xf>
    <xf numFmtId="0" fontId="11"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6" fillId="0" borderId="9" xfId="0" applyFont="1" applyBorder="1" applyAlignment="1" applyProtection="1">
      <alignment horizontal="right" vertical="center"/>
      <protection hidden="1"/>
    </xf>
    <xf numFmtId="0" fontId="0" fillId="0" borderId="8"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9" xfId="0" applyNumberFormat="1" applyFont="1" applyBorder="1" applyAlignment="1" applyProtection="1">
      <alignment horizontal="right" vertical="center"/>
      <protection hidden="1"/>
    </xf>
    <xf numFmtId="164" fontId="10"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2" fillId="0" borderId="8" xfId="0" applyFont="1" applyBorder="1" applyProtection="1">
      <protection hidden="1"/>
    </xf>
    <xf numFmtId="0" fontId="2" fillId="0" borderId="10" xfId="0" applyFont="1" applyBorder="1" applyProtection="1">
      <protection hidden="1"/>
    </xf>
    <xf numFmtId="164" fontId="9" fillId="0" borderId="55" xfId="0" applyNumberFormat="1" applyFont="1" applyBorder="1" applyAlignment="1" applyProtection="1">
      <alignment horizontal="center" vertical="center"/>
      <protection hidden="1"/>
    </xf>
    <xf numFmtId="0" fontId="0" fillId="0" borderId="59" xfId="0" applyBorder="1" applyProtection="1">
      <protection hidden="1"/>
    </xf>
    <xf numFmtId="0" fontId="9" fillId="0" borderId="55" xfId="0" applyFont="1" applyBorder="1" applyAlignment="1" applyProtection="1">
      <alignment horizontal="center" vertical="center" shrinkToFit="1"/>
      <protection hidden="1"/>
    </xf>
    <xf numFmtId="164" fontId="10" fillId="2" borderId="37" xfId="0" applyNumberFormat="1" applyFont="1" applyFill="1" applyBorder="1" applyAlignment="1" applyProtection="1">
      <alignment horizontal="center" vertical="center"/>
      <protection hidden="1"/>
    </xf>
    <xf numFmtId="164" fontId="10" fillId="2" borderId="60" xfId="0" applyNumberFormat="1" applyFont="1" applyFill="1" applyBorder="1" applyAlignment="1" applyProtection="1">
      <alignment horizontal="center" vertical="center"/>
      <protection hidden="1"/>
    </xf>
    <xf numFmtId="164" fontId="10" fillId="2" borderId="39" xfId="0" applyNumberFormat="1" applyFont="1" applyFill="1" applyBorder="1" applyAlignment="1" applyProtection="1">
      <alignment horizontal="center" vertical="center"/>
      <protection hidden="1"/>
    </xf>
    <xf numFmtId="164" fontId="10" fillId="4" borderId="37" xfId="0" applyNumberFormat="1" applyFont="1" applyFill="1" applyBorder="1" applyAlignment="1" applyProtection="1">
      <alignment horizontal="center" vertical="center"/>
      <protection hidden="1"/>
    </xf>
    <xf numFmtId="164" fontId="10" fillId="4" borderId="60" xfId="0" applyNumberFormat="1" applyFont="1" applyFill="1" applyBorder="1" applyAlignment="1" applyProtection="1">
      <alignment horizontal="center" vertical="center"/>
      <protection hidden="1"/>
    </xf>
    <xf numFmtId="164" fontId="10" fillId="4" borderId="39" xfId="0" applyNumberFormat="1" applyFont="1" applyFill="1" applyBorder="1" applyAlignment="1" applyProtection="1">
      <alignment horizontal="center" vertical="center"/>
      <protection hidden="1"/>
    </xf>
    <xf numFmtId="164" fontId="10" fillId="2" borderId="41" xfId="0" applyNumberFormat="1" applyFont="1" applyFill="1" applyBorder="1" applyAlignment="1" applyProtection="1">
      <alignment horizontal="center" vertical="center"/>
      <protection hidden="1"/>
    </xf>
    <xf numFmtId="164" fontId="10" fillId="2" borderId="4" xfId="0" applyNumberFormat="1" applyFont="1" applyFill="1" applyBorder="1" applyAlignment="1" applyProtection="1">
      <alignment horizontal="center" vertical="center"/>
      <protection hidden="1"/>
    </xf>
    <xf numFmtId="164" fontId="10" fillId="2" borderId="43" xfId="0" applyNumberFormat="1" applyFont="1" applyFill="1" applyBorder="1" applyAlignment="1" applyProtection="1">
      <alignment horizontal="center" vertical="center"/>
      <protection hidden="1"/>
    </xf>
    <xf numFmtId="0" fontId="10" fillId="4" borderId="37" xfId="0" applyFont="1" applyFill="1" applyBorder="1" applyAlignment="1" applyProtection="1">
      <alignment horizontal="center" vertical="center"/>
      <protection hidden="1"/>
    </xf>
    <xf numFmtId="0" fontId="10" fillId="4" borderId="60" xfId="0" applyFont="1" applyFill="1" applyBorder="1" applyAlignment="1" applyProtection="1">
      <alignment horizontal="center" vertical="center"/>
      <protection hidden="1"/>
    </xf>
    <xf numFmtId="0" fontId="10" fillId="4" borderId="39" xfId="0" applyFont="1" applyFill="1" applyBorder="1" applyAlignment="1" applyProtection="1">
      <alignment horizontal="center" vertical="center"/>
      <protection hidden="1"/>
    </xf>
    <xf numFmtId="0" fontId="29" fillId="10" borderId="65" xfId="3" applyFont="1" applyFill="1" applyBorder="1" applyAlignment="1">
      <alignment horizontal="center" vertical="center"/>
    </xf>
    <xf numFmtId="0" fontId="29" fillId="10" borderId="19" xfId="3" applyFont="1" applyFill="1" applyBorder="1" applyAlignment="1">
      <alignment horizontal="center" vertical="center"/>
    </xf>
    <xf numFmtId="0" fontId="29" fillId="10" borderId="20" xfId="3" applyFont="1" applyFill="1" applyBorder="1" applyAlignment="1">
      <alignment horizontal="center" vertical="center"/>
    </xf>
    <xf numFmtId="0" fontId="30" fillId="10" borderId="9" xfId="3" applyFont="1" applyFill="1" applyBorder="1" applyAlignment="1">
      <alignment horizontal="center"/>
    </xf>
    <xf numFmtId="0" fontId="6" fillId="2" borderId="59" xfId="0" applyFont="1" applyFill="1" applyBorder="1" applyAlignment="1" applyProtection="1">
      <alignment horizontal="center" shrinkToFit="1"/>
      <protection hidden="1"/>
    </xf>
    <xf numFmtId="0" fontId="6" fillId="2" borderId="57" xfId="0" applyFont="1" applyFill="1" applyBorder="1" applyAlignment="1" applyProtection="1">
      <alignment horizontal="center" shrinkToFit="1"/>
      <protection hidden="1"/>
    </xf>
    <xf numFmtId="0" fontId="6" fillId="2" borderId="58" xfId="0" applyFont="1" applyFill="1" applyBorder="1" applyAlignment="1" applyProtection="1">
      <alignment horizontal="center" shrinkToFit="1"/>
      <protection hidden="1"/>
    </xf>
    <xf numFmtId="0" fontId="6" fillId="2" borderId="29" xfId="0" applyFont="1" applyFill="1" applyBorder="1" applyAlignment="1" applyProtection="1">
      <alignment horizontal="center" shrinkToFit="1"/>
      <protection hidden="1"/>
    </xf>
    <xf numFmtId="0" fontId="6" fillId="2" borderId="0" xfId="0" applyFont="1" applyFill="1" applyAlignment="1" applyProtection="1">
      <alignment horizontal="center" shrinkToFit="1"/>
      <protection hidden="1"/>
    </xf>
    <xf numFmtId="0" fontId="6" fillId="2" borderId="31" xfId="0" applyFont="1" applyFill="1" applyBorder="1" applyAlignment="1" applyProtection="1">
      <alignment horizontal="center" shrinkToFit="1"/>
      <protection hidden="1"/>
    </xf>
    <xf numFmtId="164" fontId="10" fillId="2" borderId="45" xfId="0" applyNumberFormat="1" applyFont="1" applyFill="1" applyBorder="1" applyAlignment="1" applyProtection="1">
      <alignment horizontal="center" vertical="center"/>
      <protection hidden="1"/>
    </xf>
    <xf numFmtId="164" fontId="10" fillId="2" borderId="52" xfId="0" applyNumberFormat="1" applyFont="1" applyFill="1" applyBorder="1" applyAlignment="1" applyProtection="1">
      <alignment horizontal="center" vertical="center"/>
      <protection hidden="1"/>
    </xf>
    <xf numFmtId="164" fontId="10" fillId="2" borderId="47" xfId="0" applyNumberFormat="1" applyFont="1" applyFill="1" applyBorder="1" applyAlignment="1" applyProtection="1">
      <alignment horizontal="center" vertical="center"/>
      <protection hidden="1"/>
    </xf>
    <xf numFmtId="0" fontId="12" fillId="0" borderId="5" xfId="1" applyFont="1" applyBorder="1" applyAlignment="1" applyProtection="1">
      <alignment horizontal="center" vertical="center"/>
      <protection locked="0"/>
    </xf>
    <xf numFmtId="0" fontId="18" fillId="0" borderId="0" xfId="0" applyFont="1" applyAlignment="1">
      <alignment horizontal="center" vertical="center"/>
    </xf>
  </cellXfs>
  <cellStyles count="7">
    <cellStyle name="Normal" xfId="0" builtinId="0"/>
    <cellStyle name="Normal 2" xfId="1" xr:uid="{00000000-0005-0000-0000-000001000000}"/>
    <cellStyle name="Normal 2 2" xfId="5" xr:uid="{FC720AF8-E2A4-4CA0-B73E-14E38307769B}"/>
    <cellStyle name="Normal 3" xfId="4" xr:uid="{B60C4DB4-172B-43CA-A854-E12E5DFAB473}"/>
    <cellStyle name="Percent" xfId="2" builtinId="5"/>
    <cellStyle name="Percent 2" xfId="6" xr:uid="{0AFC5D90-122C-4A41-AEF8-36B87B5AE494}"/>
    <cellStyle name="TableStyleLight1" xfId="3" xr:uid="{27687F72-64E8-4936-945B-76D3A429A23B}"/>
  </cellStyles>
  <dxfs count="25">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1">
    <v>11</v>
    <v>1</v>
  </rv>
</rvData>
</file>

<file path=xl/richData/rdrichvaluestructure.xml><?xml version="1.0" encoding="utf-8"?>
<rvStructures xmlns="http://schemas.microsoft.com/office/spreadsheetml/2017/richdata" count="2">
  <s t="_localImage">
    <k n="_rvRel:LocalImageIdentifier" t="i"/>
    <k n="CalcOrigin" t="i"/>
  </s>
  <s t="_error">
    <k n="errorType" t="i"/>
    <k n="propagated" t="b"/>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4"/>
    <tableColumn id="2" xr3:uid="{00000000-0010-0000-0000-000002000000}" name="WWs" dataDxfId="23"/>
    <tableColumn id="3" xr3:uid="{00000000-0010-0000-0000-000003000000}" name="PTs" dataDxfId="22"/>
    <tableColumn id="4" xr3:uid="{00000000-0010-0000-0000-000004000000}" name="STs-TE" dataDxfId="21"/>
    <tableColumn id="5" xr3:uid="{00000000-0010-0000-0000-000005000000}" name="TOTAL" dataDxf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BL118"/>
  <sheetViews>
    <sheetView showGridLines="0" topLeftCell="A7" zoomScale="104" zoomScaleNormal="51" workbookViewId="0">
      <selection activeCell="J16" sqref="J16"/>
    </sheetView>
  </sheetViews>
  <sheetFormatPr defaultColWidth="4.7109375" defaultRowHeight="15"/>
  <cols>
    <col min="1" max="1" width="4.140625" style="2" customWidth="1"/>
    <col min="2" max="2" width="16.5703125" style="2" customWidth="1"/>
    <col min="3" max="3" width="35.7109375" style="2" customWidth="1"/>
    <col min="4" max="6" width="1.7109375" style="2" hidden="1" customWidth="1"/>
    <col min="7" max="11" width="4.7109375" style="2" customWidth="1"/>
    <col min="12" max="12" width="6.28515625" style="2" customWidth="1"/>
    <col min="13" max="14" width="7.140625" style="3" customWidth="1"/>
    <col min="15" max="17" width="4.7109375" style="2" customWidth="1"/>
    <col min="18" max="18" width="6.28515625" style="2" customWidth="1"/>
    <col min="19" max="20" width="7.140625" style="3" customWidth="1"/>
    <col min="21" max="22" width="4.7109375" style="3" customWidth="1"/>
    <col min="23" max="23" width="4.7109375" style="2" customWidth="1"/>
    <col min="24" max="25" width="7.140625" style="3" customWidth="1"/>
    <col min="26" max="26" width="11.28515625" style="3" customWidth="1"/>
    <col min="27" max="27" width="11.28515625" style="4" customWidth="1"/>
    <col min="28" max="44" width="4.7109375" style="5" customWidth="1"/>
    <col min="45" max="45" width="4.7109375" style="6" customWidth="1"/>
    <col min="46" max="46" width="0" style="6" hidden="1"/>
    <col min="47" max="61" width="4.7109375" style="1" customWidth="1"/>
  </cols>
  <sheetData>
    <row r="1" spans="1:46" ht="15" customHeight="1">
      <c r="A1" s="313" t="s">
        <v>0</v>
      </c>
      <c r="B1" s="313"/>
      <c r="C1" s="270"/>
      <c r="D1" s="270"/>
      <c r="E1" s="270"/>
      <c r="F1" s="270"/>
      <c r="G1" s="270"/>
      <c r="H1" s="270"/>
      <c r="I1" s="270"/>
      <c r="J1" s="270"/>
      <c r="K1" s="270"/>
      <c r="L1" s="270"/>
      <c r="M1" s="270"/>
      <c r="N1" s="270"/>
      <c r="O1" s="270"/>
      <c r="P1" s="270"/>
      <c r="Q1" s="270"/>
      <c r="R1" s="270"/>
      <c r="S1" s="270"/>
      <c r="T1" s="270"/>
      <c r="U1" s="270"/>
      <c r="V1" s="270"/>
      <c r="W1" s="270"/>
      <c r="X1" s="270"/>
      <c r="Y1" s="270"/>
      <c r="Z1" s="270"/>
      <c r="AA1" s="270"/>
    </row>
    <row r="2" spans="1:46" ht="15" customHeight="1">
      <c r="A2" s="270"/>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C2" s="307" t="e" vm="1">
        <v>#VALUE!</v>
      </c>
      <c r="AD2" s="307"/>
      <c r="AE2" s="307"/>
      <c r="AF2" s="307"/>
      <c r="AH2" s="307" t="e" vm="2">
        <v>#VALUE!</v>
      </c>
      <c r="AI2" s="307"/>
      <c r="AJ2" s="307"/>
      <c r="AK2" s="307"/>
      <c r="AL2" s="307"/>
      <c r="AM2" s="307"/>
    </row>
    <row r="3" spans="1:46" ht="15" customHeight="1">
      <c r="A3" s="320" t="s">
        <v>1</v>
      </c>
      <c r="B3" s="320"/>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C3" s="307"/>
      <c r="AD3" s="307"/>
      <c r="AE3" s="307"/>
      <c r="AF3" s="307"/>
      <c r="AH3" s="307"/>
      <c r="AI3" s="307"/>
      <c r="AJ3" s="307"/>
      <c r="AK3" s="307"/>
      <c r="AL3" s="307"/>
      <c r="AM3" s="307"/>
    </row>
    <row r="4" spans="1:46" ht="21" customHeight="1">
      <c r="B4" s="283"/>
      <c r="C4" s="269" t="s">
        <v>2</v>
      </c>
      <c r="D4" s="270"/>
      <c r="E4" s="270"/>
      <c r="F4" s="270"/>
      <c r="G4" s="270"/>
      <c r="H4" s="287">
        <v>10</v>
      </c>
      <c r="I4" s="288"/>
      <c r="J4" s="271" t="s">
        <v>3</v>
      </c>
      <c r="K4" s="272"/>
      <c r="L4" s="273"/>
      <c r="M4" s="287" t="s">
        <v>4</v>
      </c>
      <c r="N4" s="316"/>
      <c r="O4" s="316"/>
      <c r="P4" s="288"/>
      <c r="Q4" s="7"/>
      <c r="R4" s="8"/>
      <c r="S4" s="9"/>
      <c r="T4" s="10"/>
      <c r="U4" s="10"/>
      <c r="V4" s="10"/>
      <c r="W4" s="11"/>
      <c r="X4" s="11"/>
      <c r="Y4" s="11"/>
      <c r="Z4" s="11"/>
      <c r="AA4" s="12"/>
      <c r="AB4" s="13"/>
      <c r="AC4" s="307"/>
      <c r="AD4" s="307"/>
      <c r="AE4" s="307"/>
      <c r="AF4" s="307"/>
      <c r="AH4" s="307"/>
      <c r="AI4" s="307"/>
      <c r="AJ4" s="307"/>
      <c r="AK4" s="307"/>
      <c r="AL4" s="307"/>
      <c r="AM4" s="307"/>
    </row>
    <row r="5" spans="1:46" ht="21" customHeight="1">
      <c r="B5" s="283"/>
      <c r="C5" s="269" t="s">
        <v>5</v>
      </c>
      <c r="D5" s="270"/>
      <c r="E5" s="270"/>
      <c r="F5" s="270"/>
      <c r="G5" s="270"/>
      <c r="H5" s="287" t="s">
        <v>94</v>
      </c>
      <c r="I5" s="316"/>
      <c r="J5" s="324"/>
      <c r="K5" s="324"/>
      <c r="L5" s="324"/>
      <c r="M5" s="316"/>
      <c r="N5" s="316"/>
      <c r="O5" s="316"/>
      <c r="P5" s="288"/>
      <c r="Q5" s="7"/>
      <c r="R5" s="314" t="s">
        <v>6</v>
      </c>
      <c r="S5" s="315"/>
      <c r="T5" s="325">
        <v>405198</v>
      </c>
      <c r="U5" s="316"/>
      <c r="V5" s="288"/>
      <c r="W5" s="314" t="s">
        <v>7</v>
      </c>
      <c r="X5" s="315"/>
      <c r="Y5" s="315"/>
      <c r="Z5" s="325" t="s">
        <v>98</v>
      </c>
      <c r="AA5" s="288"/>
      <c r="AB5" s="13"/>
      <c r="AC5" s="307"/>
      <c r="AD5" s="307"/>
      <c r="AE5" s="307"/>
      <c r="AF5" s="307"/>
      <c r="AH5" s="307"/>
      <c r="AI5" s="307"/>
      <c r="AJ5" s="307"/>
      <c r="AK5" s="307"/>
      <c r="AL5" s="307"/>
      <c r="AM5" s="307"/>
    </row>
    <row r="6" spans="1:46" ht="14.65" customHeight="1" thickBot="1">
      <c r="B6" s="284"/>
    </row>
    <row r="7" spans="1:46" ht="23.25" customHeight="1" thickBot="1">
      <c r="A7" s="321"/>
      <c r="B7" s="322"/>
      <c r="C7" s="323"/>
      <c r="D7" s="14"/>
      <c r="E7" s="14"/>
      <c r="F7" s="14"/>
      <c r="G7" s="326" t="s">
        <v>8</v>
      </c>
      <c r="H7" s="327"/>
      <c r="I7" s="327"/>
      <c r="J7" s="327"/>
      <c r="K7" s="317" t="s">
        <v>95</v>
      </c>
      <c r="L7" s="318"/>
      <c r="M7" s="318"/>
      <c r="N7" s="319"/>
      <c r="O7" s="279" t="s">
        <v>9</v>
      </c>
      <c r="P7" s="280"/>
      <c r="Q7" s="280"/>
      <c r="R7" s="328" t="s">
        <v>97</v>
      </c>
      <c r="S7" s="318"/>
      <c r="T7" s="318"/>
      <c r="U7" s="318"/>
      <c r="V7" s="318"/>
      <c r="W7" s="319"/>
      <c r="X7" s="279" t="s">
        <v>10</v>
      </c>
      <c r="Y7" s="280"/>
      <c r="Z7" s="281" t="s">
        <v>96</v>
      </c>
      <c r="AA7" s="282"/>
      <c r="AD7" s="260" t="s">
        <v>68</v>
      </c>
      <c r="AE7" s="261"/>
      <c r="AF7" s="261"/>
      <c r="AG7" s="261"/>
      <c r="AH7" s="261"/>
      <c r="AI7" s="261"/>
      <c r="AJ7" s="261"/>
      <c r="AK7" s="261"/>
      <c r="AL7" s="262">
        <v>0.2</v>
      </c>
      <c r="AM7" s="261"/>
      <c r="AN7" s="261"/>
      <c r="AO7" s="261"/>
      <c r="AP7" s="261"/>
      <c r="AQ7" s="263"/>
    </row>
    <row r="8" spans="1:46" s="4" customFormat="1" ht="46.5" customHeight="1">
      <c r="A8" s="15"/>
      <c r="B8" s="236" t="s">
        <v>70</v>
      </c>
      <c r="C8" s="16" t="s">
        <v>11</v>
      </c>
      <c r="D8" s="16"/>
      <c r="E8" s="16"/>
      <c r="F8" s="17"/>
      <c r="G8" s="274"/>
      <c r="H8" s="270"/>
      <c r="I8" s="270"/>
      <c r="J8" s="270"/>
      <c r="K8" s="270"/>
      <c r="L8" s="270"/>
      <c r="M8" s="270"/>
      <c r="N8" s="270"/>
      <c r="O8" s="274"/>
      <c r="P8" s="270"/>
      <c r="Q8" s="270"/>
      <c r="R8" s="270"/>
      <c r="S8" s="270"/>
      <c r="T8" s="270"/>
      <c r="U8" s="274"/>
      <c r="V8" s="270"/>
      <c r="W8" s="270"/>
      <c r="X8" s="270"/>
      <c r="Y8" s="270"/>
      <c r="Z8" s="275"/>
      <c r="AA8" s="275"/>
      <c r="AB8" s="19"/>
      <c r="AC8" s="19"/>
      <c r="AD8" s="264" t="s">
        <v>69</v>
      </c>
      <c r="AE8" s="265"/>
      <c r="AF8" s="265"/>
      <c r="AG8" s="265"/>
      <c r="AH8" s="265"/>
      <c r="AI8" s="265"/>
      <c r="AJ8" s="265"/>
      <c r="AK8" s="265"/>
      <c r="AL8" s="266">
        <v>0.8</v>
      </c>
      <c r="AM8" s="267"/>
      <c r="AN8" s="267"/>
      <c r="AO8" s="267"/>
      <c r="AP8" s="267"/>
      <c r="AQ8" s="268"/>
      <c r="AR8" s="19"/>
      <c r="AS8" s="19"/>
      <c r="AT8" s="19"/>
    </row>
    <row r="9" spans="1:46" s="23" customFormat="1" ht="13.5" customHeight="1">
      <c r="A9" s="276" t="s">
        <v>12</v>
      </c>
      <c r="B9" s="277"/>
      <c r="C9" s="278"/>
      <c r="D9" s="24"/>
      <c r="E9" s="24"/>
      <c r="F9" s="25"/>
      <c r="G9" s="26"/>
      <c r="H9" s="26"/>
      <c r="I9" s="26"/>
      <c r="J9" s="26"/>
      <c r="K9" s="26"/>
      <c r="L9" s="27"/>
      <c r="M9" s="21"/>
      <c r="N9" s="28"/>
      <c r="O9" s="26"/>
      <c r="P9" s="26"/>
      <c r="Q9" s="26"/>
      <c r="R9" s="27"/>
      <c r="S9" s="21"/>
      <c r="T9" s="28"/>
      <c r="U9" s="28"/>
      <c r="V9" s="28"/>
      <c r="W9" s="26"/>
      <c r="X9" s="21"/>
      <c r="Y9" s="28"/>
      <c r="Z9" s="270"/>
      <c r="AA9" s="270"/>
      <c r="AB9" s="5"/>
      <c r="AC9" s="5"/>
      <c r="AD9" s="289" t="s">
        <v>105</v>
      </c>
      <c r="AE9" s="290"/>
      <c r="AF9" s="290"/>
      <c r="AG9" s="290"/>
      <c r="AH9" s="290"/>
      <c r="AI9" s="290"/>
      <c r="AJ9" s="290"/>
      <c r="AK9" s="291"/>
      <c r="AL9" s="298">
        <v>0.2</v>
      </c>
      <c r="AM9" s="299"/>
      <c r="AN9" s="299"/>
      <c r="AO9" s="299"/>
      <c r="AP9" s="299"/>
      <c r="AQ9" s="300"/>
      <c r="AR9" s="5"/>
      <c r="AS9" s="5"/>
      <c r="AT9" s="5"/>
    </row>
    <row r="10" spans="1:46" s="23" customFormat="1" ht="18" customHeight="1">
      <c r="A10" s="29"/>
      <c r="B10" s="258" t="s">
        <v>13</v>
      </c>
      <c r="C10" s="259"/>
      <c r="D10" s="30"/>
      <c r="E10" s="30"/>
      <c r="F10" s="31"/>
      <c r="G10" s="26"/>
      <c r="H10" s="26"/>
      <c r="I10" s="26"/>
      <c r="J10" s="26"/>
      <c r="K10" s="26"/>
      <c r="L10" s="20"/>
      <c r="M10" s="21"/>
      <c r="N10" s="21"/>
      <c r="O10" s="26"/>
      <c r="P10" s="26"/>
      <c r="Q10" s="26"/>
      <c r="R10" s="20"/>
      <c r="S10" s="21"/>
      <c r="T10" s="21"/>
      <c r="U10" s="21"/>
      <c r="V10" s="21"/>
      <c r="W10" s="26"/>
      <c r="X10" s="21"/>
      <c r="Y10" s="21"/>
      <c r="Z10" s="21"/>
      <c r="AA10" s="32"/>
      <c r="AB10" s="5"/>
      <c r="AC10" s="5"/>
      <c r="AD10" s="292"/>
      <c r="AE10" s="293"/>
      <c r="AF10" s="293"/>
      <c r="AG10" s="293"/>
      <c r="AH10" s="293"/>
      <c r="AI10" s="293"/>
      <c r="AJ10" s="293"/>
      <c r="AK10" s="294"/>
      <c r="AL10" s="301"/>
      <c r="AM10" s="302"/>
      <c r="AN10" s="302"/>
      <c r="AO10" s="302"/>
      <c r="AP10" s="302"/>
      <c r="AQ10" s="303"/>
      <c r="AR10" s="5"/>
      <c r="AS10" s="5"/>
      <c r="AT10" s="5"/>
    </row>
    <row r="11" spans="1:46" s="23" customFormat="1" ht="18" hidden="1" customHeight="1">
      <c r="A11" s="225" t="s">
        <v>71</v>
      </c>
      <c r="B11" s="235" t="s">
        <v>72</v>
      </c>
      <c r="C11" s="226" t="s">
        <v>73</v>
      </c>
      <c r="D11" s="30"/>
      <c r="E11" s="30"/>
      <c r="F11" s="31"/>
      <c r="G11" s="26"/>
      <c r="H11" s="26"/>
      <c r="I11" s="26"/>
      <c r="J11" s="26"/>
      <c r="K11" s="26"/>
      <c r="L11" s="20"/>
      <c r="M11" s="21"/>
      <c r="N11" s="21"/>
      <c r="O11" s="26"/>
      <c r="P11" s="26"/>
      <c r="Q11" s="26"/>
      <c r="R11" s="20"/>
      <c r="S11" s="21"/>
      <c r="T11" s="21"/>
      <c r="U11" s="21"/>
      <c r="V11" s="21"/>
      <c r="W11" s="26"/>
      <c r="X11" s="21"/>
      <c r="Y11" s="21"/>
      <c r="Z11" s="21"/>
      <c r="AA11" s="32"/>
      <c r="AB11" s="5"/>
      <c r="AC11" s="5"/>
      <c r="AD11" s="292"/>
      <c r="AE11" s="293"/>
      <c r="AF11" s="293"/>
      <c r="AG11" s="293"/>
      <c r="AH11" s="293"/>
      <c r="AI11" s="293"/>
      <c r="AJ11" s="293"/>
      <c r="AK11" s="294"/>
      <c r="AL11" s="301"/>
      <c r="AM11" s="302"/>
      <c r="AN11" s="302"/>
      <c r="AO11" s="302"/>
      <c r="AP11" s="302"/>
      <c r="AQ11" s="303"/>
      <c r="AR11" s="5"/>
      <c r="AS11" s="5"/>
      <c r="AT11" s="5"/>
    </row>
    <row r="12" spans="1:46" ht="18" customHeight="1">
      <c r="A12" s="33"/>
      <c r="B12" s="231"/>
      <c r="C12" s="232"/>
      <c r="D12" s="35"/>
      <c r="E12" s="35"/>
      <c r="F12" s="36"/>
      <c r="G12" s="37"/>
      <c r="H12" s="37"/>
      <c r="I12" s="37"/>
      <c r="J12" s="37"/>
      <c r="K12" s="37"/>
      <c r="L12" s="38"/>
      <c r="M12" s="39"/>
      <c r="N12" s="39"/>
      <c r="O12" s="37"/>
      <c r="P12" s="37"/>
      <c r="Q12" s="37"/>
      <c r="R12" s="38"/>
      <c r="S12" s="39"/>
      <c r="T12" s="39"/>
      <c r="U12" s="39"/>
      <c r="V12" s="39"/>
      <c r="W12" s="37"/>
      <c r="X12" s="39"/>
      <c r="Y12" s="39"/>
      <c r="Z12" s="39"/>
      <c r="AA12" s="40"/>
      <c r="AB12" s="41"/>
      <c r="AC12" s="41"/>
      <c r="AD12" s="295"/>
      <c r="AE12" s="296"/>
      <c r="AF12" s="296"/>
      <c r="AG12" s="296"/>
      <c r="AH12" s="296"/>
      <c r="AI12" s="296"/>
      <c r="AJ12" s="296"/>
      <c r="AK12" s="297"/>
      <c r="AL12" s="304"/>
      <c r="AM12" s="305"/>
      <c r="AN12" s="305"/>
      <c r="AO12" s="305"/>
      <c r="AP12" s="305"/>
      <c r="AQ12" s="306"/>
      <c r="AR12" s="41"/>
      <c r="AS12" s="41"/>
      <c r="AT12" s="41" t="e">
        <f>(W12/$W$9)*100</f>
        <v>#DIV/0!</v>
      </c>
    </row>
    <row r="13" spans="1:46" ht="18" customHeight="1">
      <c r="A13" s="33"/>
      <c r="B13" s="227"/>
      <c r="C13" s="34"/>
      <c r="D13" s="35"/>
      <c r="E13" s="35"/>
      <c r="F13" s="36"/>
      <c r="G13" s="37"/>
      <c r="H13" s="37"/>
      <c r="I13" s="37"/>
      <c r="J13" s="37"/>
      <c r="K13" s="37"/>
      <c r="L13" s="38"/>
      <c r="M13" s="39"/>
      <c r="N13" s="39"/>
      <c r="O13" s="37"/>
      <c r="P13" s="37"/>
      <c r="Q13" s="37"/>
      <c r="R13" s="38"/>
      <c r="S13" s="39"/>
      <c r="T13" s="39"/>
      <c r="U13" s="39"/>
      <c r="V13" s="39"/>
      <c r="W13" s="37"/>
      <c r="X13" s="39"/>
      <c r="Y13" s="39"/>
      <c r="Z13" s="39"/>
      <c r="AA13" s="40"/>
      <c r="AB13" s="41"/>
      <c r="AC13" s="41"/>
      <c r="AD13" s="285"/>
      <c r="AE13" s="285"/>
      <c r="AF13" s="285"/>
      <c r="AG13" s="285"/>
      <c r="AH13" s="285"/>
      <c r="AI13" s="285"/>
      <c r="AJ13" s="285"/>
      <c r="AK13" s="285"/>
      <c r="AL13" s="286"/>
      <c r="AM13" s="285"/>
      <c r="AN13" s="285"/>
      <c r="AO13" s="285"/>
      <c r="AP13" s="285"/>
      <c r="AQ13" s="285"/>
      <c r="AR13" s="41"/>
      <c r="AS13" s="41"/>
      <c r="AT13" s="41" t="e">
        <f t="shared" ref="AT13:AT74" si="0">(W13/$W$9)*100</f>
        <v>#DIV/0!</v>
      </c>
    </row>
    <row r="14" spans="1:46" ht="18" customHeight="1">
      <c r="A14" s="33"/>
      <c r="B14" s="227"/>
      <c r="C14" s="34"/>
      <c r="D14" s="35"/>
      <c r="E14" s="35"/>
      <c r="F14" s="36"/>
      <c r="G14" s="37"/>
      <c r="H14" s="37"/>
      <c r="I14" s="37"/>
      <c r="J14" s="37"/>
      <c r="K14" s="37"/>
      <c r="L14" s="38"/>
      <c r="M14" s="39"/>
      <c r="N14" s="39"/>
      <c r="O14" s="37"/>
      <c r="P14" s="37"/>
      <c r="Q14" s="37"/>
      <c r="R14" s="38"/>
      <c r="S14" s="39"/>
      <c r="T14" s="39"/>
      <c r="U14" s="39"/>
      <c r="V14" s="39"/>
      <c r="W14" s="37"/>
      <c r="X14" s="39"/>
      <c r="Y14" s="39"/>
      <c r="Z14" s="39"/>
      <c r="AA14" s="40"/>
      <c r="AB14" s="41"/>
      <c r="AC14" s="41"/>
      <c r="AD14" s="285"/>
      <c r="AE14" s="285"/>
      <c r="AF14" s="285"/>
      <c r="AG14" s="285"/>
      <c r="AH14" s="285"/>
      <c r="AI14" s="285"/>
      <c r="AJ14" s="285"/>
      <c r="AK14" s="285"/>
      <c r="AL14" s="286"/>
      <c r="AM14" s="285"/>
      <c r="AN14" s="285"/>
      <c r="AO14" s="285"/>
      <c r="AP14" s="285"/>
      <c r="AQ14" s="285"/>
      <c r="AR14" s="41"/>
      <c r="AS14" s="41"/>
      <c r="AT14" s="41" t="e">
        <f t="shared" si="0"/>
        <v>#DIV/0!</v>
      </c>
    </row>
    <row r="15" spans="1:46" ht="18" customHeight="1">
      <c r="A15" s="33"/>
      <c r="B15" s="227"/>
      <c r="C15" s="34"/>
      <c r="D15" s="35"/>
      <c r="E15" s="35"/>
      <c r="F15" s="36"/>
      <c r="G15" s="37"/>
      <c r="H15" s="37"/>
      <c r="I15" s="37"/>
      <c r="J15" s="37"/>
      <c r="K15" s="37"/>
      <c r="L15" s="38"/>
      <c r="M15" s="39"/>
      <c r="N15" s="39"/>
      <c r="O15" s="37"/>
      <c r="P15" s="37"/>
      <c r="Q15" s="37"/>
      <c r="R15" s="38"/>
      <c r="S15" s="39"/>
      <c r="T15" s="39"/>
      <c r="U15" s="39"/>
      <c r="V15" s="39"/>
      <c r="W15" s="37"/>
      <c r="X15" s="39"/>
      <c r="Y15" s="39"/>
      <c r="Z15" s="39"/>
      <c r="AA15" s="40"/>
      <c r="AB15" s="41"/>
      <c r="AC15" s="41"/>
      <c r="AD15" s="285"/>
      <c r="AE15" s="285"/>
      <c r="AF15" s="285"/>
      <c r="AG15" s="285"/>
      <c r="AH15" s="285"/>
      <c r="AI15" s="285"/>
      <c r="AJ15" s="285"/>
      <c r="AK15" s="285"/>
      <c r="AL15" s="285"/>
      <c r="AM15" s="285"/>
      <c r="AN15" s="285"/>
      <c r="AO15" s="285"/>
      <c r="AP15" s="285"/>
      <c r="AQ15" s="285"/>
      <c r="AR15" s="41"/>
      <c r="AS15" s="41"/>
      <c r="AT15" s="41" t="e">
        <f t="shared" si="0"/>
        <v>#DIV/0!</v>
      </c>
    </row>
    <row r="16" spans="1:46" ht="18" customHeight="1">
      <c r="A16" s="33"/>
      <c r="B16" s="227"/>
      <c r="C16" s="34"/>
      <c r="D16" s="35"/>
      <c r="E16" s="35"/>
      <c r="F16" s="36"/>
      <c r="G16" s="37"/>
      <c r="H16" s="37"/>
      <c r="I16" s="37"/>
      <c r="J16" s="37"/>
      <c r="K16" s="37"/>
      <c r="L16" s="38"/>
      <c r="M16" s="39"/>
      <c r="N16" s="39"/>
      <c r="O16" s="37"/>
      <c r="P16" s="37"/>
      <c r="Q16" s="37"/>
      <c r="R16" s="38"/>
      <c r="S16" s="39"/>
      <c r="T16" s="39"/>
      <c r="U16" s="39"/>
      <c r="V16" s="39"/>
      <c r="W16" s="37"/>
      <c r="X16" s="39"/>
      <c r="Y16" s="39"/>
      <c r="Z16" s="39"/>
      <c r="AA16" s="40"/>
      <c r="AB16" s="41"/>
      <c r="AC16" s="41"/>
      <c r="AD16" s="41"/>
      <c r="AE16" s="41"/>
      <c r="AF16" s="41"/>
      <c r="AG16" s="41"/>
      <c r="AH16" s="41"/>
      <c r="AI16" s="41"/>
      <c r="AJ16" s="41"/>
      <c r="AK16" s="41"/>
      <c r="AL16" s="41"/>
      <c r="AM16" s="41"/>
      <c r="AN16" s="41"/>
      <c r="AO16" s="41"/>
      <c r="AP16" s="41"/>
      <c r="AQ16" s="41"/>
      <c r="AR16" s="41"/>
      <c r="AS16" s="41"/>
      <c r="AT16" s="41" t="e">
        <f t="shared" si="0"/>
        <v>#DIV/0!</v>
      </c>
    </row>
    <row r="17" spans="1:46" ht="18" customHeight="1">
      <c r="A17" s="33"/>
      <c r="B17" s="227"/>
      <c r="C17" s="34"/>
      <c r="D17" s="35"/>
      <c r="E17" s="35"/>
      <c r="F17" s="36"/>
      <c r="G17" s="37"/>
      <c r="H17" s="37"/>
      <c r="I17" s="37"/>
      <c r="J17" s="37"/>
      <c r="K17" s="37"/>
      <c r="L17" s="38"/>
      <c r="M17" s="39"/>
      <c r="N17" s="39"/>
      <c r="O17" s="37"/>
      <c r="P17" s="37"/>
      <c r="Q17" s="37"/>
      <c r="R17" s="38"/>
      <c r="S17" s="39"/>
      <c r="T17" s="39"/>
      <c r="U17" s="39"/>
      <c r="V17" s="39"/>
      <c r="W17" s="37"/>
      <c r="X17" s="39"/>
      <c r="Y17" s="39"/>
      <c r="Z17" s="39"/>
      <c r="AA17" s="40"/>
      <c r="AB17" s="41"/>
      <c r="AC17" s="41"/>
      <c r="AD17" s="41"/>
      <c r="AE17" s="41"/>
      <c r="AF17" s="41"/>
      <c r="AG17" s="41"/>
      <c r="AH17" s="41"/>
      <c r="AI17" s="41"/>
      <c r="AJ17" s="41"/>
      <c r="AK17" s="41"/>
      <c r="AL17" s="41"/>
      <c r="AM17" s="41"/>
      <c r="AN17" s="41"/>
      <c r="AO17" s="41"/>
      <c r="AP17" s="41"/>
      <c r="AQ17" s="41"/>
      <c r="AR17" s="41"/>
      <c r="AS17" s="41"/>
      <c r="AT17" s="41" t="e">
        <f t="shared" si="0"/>
        <v>#DIV/0!</v>
      </c>
    </row>
    <row r="18" spans="1:46" ht="18" customHeight="1">
      <c r="A18" s="33"/>
      <c r="B18" s="227"/>
      <c r="C18" s="34"/>
      <c r="D18" s="35"/>
      <c r="E18" s="35"/>
      <c r="F18" s="36"/>
      <c r="G18" s="37"/>
      <c r="H18" s="37"/>
      <c r="I18" s="37"/>
      <c r="J18" s="37"/>
      <c r="K18" s="37"/>
      <c r="L18" s="38"/>
      <c r="M18" s="39"/>
      <c r="N18" s="39"/>
      <c r="O18" s="37"/>
      <c r="P18" s="37"/>
      <c r="Q18" s="37"/>
      <c r="R18" s="38"/>
      <c r="S18" s="39"/>
      <c r="T18" s="39"/>
      <c r="U18" s="39"/>
      <c r="V18" s="39"/>
      <c r="W18" s="37"/>
      <c r="X18" s="39"/>
      <c r="Y18" s="39"/>
      <c r="Z18" s="39"/>
      <c r="AA18" s="40"/>
      <c r="AB18" s="41"/>
      <c r="AC18" s="41"/>
      <c r="AD18" s="41"/>
      <c r="AE18" s="41"/>
      <c r="AF18" s="41"/>
      <c r="AG18" s="41"/>
      <c r="AH18" s="41"/>
      <c r="AI18" s="41"/>
      <c r="AJ18" s="41"/>
      <c r="AK18" s="41"/>
      <c r="AL18" s="41"/>
      <c r="AM18" s="41"/>
      <c r="AN18" s="41"/>
      <c r="AO18" s="41"/>
      <c r="AP18" s="41"/>
      <c r="AQ18" s="41"/>
      <c r="AR18" s="41"/>
      <c r="AS18" s="41"/>
      <c r="AT18" s="41" t="e">
        <f t="shared" si="0"/>
        <v>#DIV/0!</v>
      </c>
    </row>
    <row r="19" spans="1:46" ht="18" customHeight="1">
      <c r="A19" s="33"/>
      <c r="B19" s="227"/>
      <c r="C19" s="34"/>
      <c r="D19" s="35"/>
      <c r="E19" s="35"/>
      <c r="F19" s="36"/>
      <c r="G19" s="37"/>
      <c r="H19" s="37"/>
      <c r="I19" s="37"/>
      <c r="J19" s="37"/>
      <c r="K19" s="37"/>
      <c r="L19" s="38"/>
      <c r="M19" s="39"/>
      <c r="N19" s="39"/>
      <c r="O19" s="37"/>
      <c r="P19" s="37"/>
      <c r="Q19" s="37"/>
      <c r="R19" s="38"/>
      <c r="S19" s="39"/>
      <c r="T19" s="39"/>
      <c r="U19" s="39"/>
      <c r="V19" s="39"/>
      <c r="W19" s="37"/>
      <c r="X19" s="39"/>
      <c r="Y19" s="39"/>
      <c r="Z19" s="39"/>
      <c r="AA19" s="40"/>
      <c r="AB19" s="41"/>
      <c r="AC19" s="41"/>
      <c r="AD19" s="41"/>
      <c r="AE19" s="41"/>
      <c r="AF19" s="41"/>
      <c r="AG19" s="41"/>
      <c r="AH19" s="41"/>
      <c r="AI19" s="41"/>
      <c r="AJ19" s="41"/>
      <c r="AK19" s="41"/>
      <c r="AL19" s="41"/>
      <c r="AM19" s="41"/>
      <c r="AN19" s="41"/>
      <c r="AO19" s="41"/>
      <c r="AP19" s="41"/>
      <c r="AQ19" s="41"/>
      <c r="AR19" s="41"/>
      <c r="AS19" s="41"/>
      <c r="AT19" s="41" t="e">
        <f t="shared" si="0"/>
        <v>#DIV/0!</v>
      </c>
    </row>
    <row r="20" spans="1:46" ht="18" customHeight="1">
      <c r="A20" s="33"/>
      <c r="B20" s="227"/>
      <c r="C20" s="34"/>
      <c r="D20" s="35"/>
      <c r="E20" s="35"/>
      <c r="F20" s="36"/>
      <c r="G20" s="37"/>
      <c r="H20" s="37"/>
      <c r="I20" s="37"/>
      <c r="J20" s="37"/>
      <c r="K20" s="37"/>
      <c r="L20" s="38"/>
      <c r="M20" s="39"/>
      <c r="N20" s="39"/>
      <c r="O20" s="37"/>
      <c r="P20" s="37"/>
      <c r="Q20" s="37"/>
      <c r="R20" s="38"/>
      <c r="S20" s="39"/>
      <c r="T20" s="39"/>
      <c r="U20" s="39"/>
      <c r="V20" s="39"/>
      <c r="W20" s="37"/>
      <c r="X20" s="39"/>
      <c r="Y20" s="39"/>
      <c r="Z20" s="39"/>
      <c r="AA20" s="40"/>
      <c r="AB20" s="41"/>
      <c r="AC20" s="41"/>
      <c r="AD20" s="41"/>
      <c r="AE20" s="41"/>
      <c r="AF20" s="41"/>
      <c r="AG20" s="41"/>
      <c r="AH20" s="41"/>
      <c r="AI20" s="41"/>
      <c r="AJ20" s="41"/>
      <c r="AK20" s="41"/>
      <c r="AL20" s="41"/>
      <c r="AM20" s="41"/>
      <c r="AN20" s="41"/>
      <c r="AO20" s="41"/>
      <c r="AP20" s="41"/>
      <c r="AQ20" s="41"/>
      <c r="AR20" s="41"/>
      <c r="AS20" s="41"/>
      <c r="AT20" s="41" t="e">
        <f t="shared" si="0"/>
        <v>#DIV/0!</v>
      </c>
    </row>
    <row r="21" spans="1:46" ht="18" customHeight="1">
      <c r="A21" s="33"/>
      <c r="B21" s="227"/>
      <c r="C21" s="34"/>
      <c r="D21" s="35"/>
      <c r="E21" s="35"/>
      <c r="F21" s="36"/>
      <c r="G21" s="37"/>
      <c r="H21" s="37"/>
      <c r="I21" s="37"/>
      <c r="J21" s="37"/>
      <c r="K21" s="37"/>
      <c r="L21" s="38"/>
      <c r="M21" s="39"/>
      <c r="N21" s="39"/>
      <c r="O21" s="37"/>
      <c r="P21" s="37"/>
      <c r="Q21" s="37"/>
      <c r="R21" s="38"/>
      <c r="S21" s="39"/>
      <c r="T21" s="39"/>
      <c r="U21" s="39"/>
      <c r="V21" s="39"/>
      <c r="W21" s="37"/>
      <c r="X21" s="39"/>
      <c r="Y21" s="39"/>
      <c r="Z21" s="39"/>
      <c r="AA21" s="40"/>
      <c r="AS21" s="5"/>
      <c r="AT21" s="41" t="e">
        <f t="shared" si="0"/>
        <v>#DIV/0!</v>
      </c>
    </row>
    <row r="22" spans="1:46" ht="18" customHeight="1">
      <c r="A22" s="33"/>
      <c r="B22" s="227"/>
      <c r="C22" s="34"/>
      <c r="D22" s="35"/>
      <c r="E22" s="35"/>
      <c r="F22" s="36"/>
      <c r="G22" s="37"/>
      <c r="H22" s="37"/>
      <c r="I22" s="37"/>
      <c r="J22" s="37"/>
      <c r="K22" s="37"/>
      <c r="L22" s="38"/>
      <c r="M22" s="39"/>
      <c r="N22" s="39"/>
      <c r="O22" s="37"/>
      <c r="P22" s="37"/>
      <c r="Q22" s="37"/>
      <c r="R22" s="38"/>
      <c r="S22" s="39"/>
      <c r="T22" s="39"/>
      <c r="U22" s="39"/>
      <c r="V22" s="39"/>
      <c r="W22" s="37"/>
      <c r="X22" s="39"/>
      <c r="Y22" s="39"/>
      <c r="Z22" s="39"/>
      <c r="AA22" s="40"/>
      <c r="AB22" s="42"/>
      <c r="AC22" s="42"/>
      <c r="AD22" s="42"/>
      <c r="AE22" s="42"/>
      <c r="AF22" s="42"/>
      <c r="AG22" s="42"/>
      <c r="AH22" s="42"/>
      <c r="AI22" s="42"/>
      <c r="AJ22" s="42"/>
      <c r="AK22" s="42"/>
      <c r="AL22" s="42"/>
      <c r="AM22" s="42"/>
      <c r="AN22" s="42"/>
      <c r="AO22" s="42"/>
      <c r="AP22" s="42"/>
      <c r="AQ22" s="42"/>
      <c r="AR22" s="42"/>
      <c r="AS22" s="42"/>
      <c r="AT22" s="41" t="e">
        <f t="shared" si="0"/>
        <v>#DIV/0!</v>
      </c>
    </row>
    <row r="23" spans="1:46" ht="18" customHeight="1">
      <c r="A23" s="33"/>
      <c r="B23" s="227"/>
      <c r="C23" s="34"/>
      <c r="D23" s="35"/>
      <c r="E23" s="35"/>
      <c r="F23" s="36"/>
      <c r="G23" s="37"/>
      <c r="H23" s="37"/>
      <c r="I23" s="37"/>
      <c r="J23" s="37"/>
      <c r="K23" s="37"/>
      <c r="L23" s="38"/>
      <c r="M23" s="39"/>
      <c r="N23" s="39"/>
      <c r="O23" s="37"/>
      <c r="P23" s="37"/>
      <c r="Q23" s="37"/>
      <c r="R23" s="38"/>
      <c r="S23" s="39"/>
      <c r="T23" s="39"/>
      <c r="U23" s="39"/>
      <c r="V23" s="39"/>
      <c r="W23" s="37"/>
      <c r="X23" s="39"/>
      <c r="Y23" s="39"/>
      <c r="Z23" s="39"/>
      <c r="AA23" s="40"/>
      <c r="AB23" s="42"/>
      <c r="AC23" s="42"/>
      <c r="AD23" s="42"/>
      <c r="AE23" s="42"/>
      <c r="AF23" s="42"/>
      <c r="AG23" s="42"/>
      <c r="AH23" s="42"/>
      <c r="AI23" s="42"/>
      <c r="AJ23" s="42"/>
      <c r="AK23" s="42"/>
      <c r="AL23" s="42"/>
      <c r="AM23" s="42"/>
      <c r="AN23" s="42"/>
      <c r="AO23" s="42"/>
      <c r="AP23" s="42"/>
      <c r="AQ23" s="42"/>
      <c r="AR23" s="42"/>
      <c r="AS23" s="42"/>
      <c r="AT23" s="41" t="e">
        <f t="shared" si="0"/>
        <v>#DIV/0!</v>
      </c>
    </row>
    <row r="24" spans="1:46" ht="18" customHeight="1">
      <c r="A24" s="33"/>
      <c r="B24" s="227"/>
      <c r="C24" s="34"/>
      <c r="D24" s="35"/>
      <c r="E24" s="35"/>
      <c r="F24" s="36"/>
      <c r="G24" s="37"/>
      <c r="H24" s="37"/>
      <c r="I24" s="37"/>
      <c r="J24" s="37"/>
      <c r="K24" s="37"/>
      <c r="L24" s="38"/>
      <c r="M24" s="39"/>
      <c r="N24" s="39"/>
      <c r="O24" s="37"/>
      <c r="P24" s="37"/>
      <c r="Q24" s="37"/>
      <c r="R24" s="38"/>
      <c r="S24" s="39"/>
      <c r="T24" s="39"/>
      <c r="U24" s="39"/>
      <c r="V24" s="39"/>
      <c r="W24" s="37"/>
      <c r="X24" s="39"/>
      <c r="Y24" s="39"/>
      <c r="Z24" s="39"/>
      <c r="AA24" s="40"/>
      <c r="AB24" s="42"/>
      <c r="AC24" s="42"/>
      <c r="AD24" s="42"/>
      <c r="AE24" s="42"/>
      <c r="AF24" s="42"/>
      <c r="AG24" s="42"/>
      <c r="AH24" s="42"/>
      <c r="AI24" s="42"/>
      <c r="AJ24" s="42"/>
      <c r="AK24" s="42"/>
      <c r="AL24" s="42"/>
      <c r="AM24" s="42"/>
      <c r="AN24" s="42"/>
      <c r="AO24" s="42"/>
      <c r="AP24" s="42"/>
      <c r="AQ24" s="42"/>
      <c r="AR24" s="42"/>
      <c r="AS24" s="42"/>
      <c r="AT24" s="41" t="e">
        <f t="shared" si="0"/>
        <v>#DIV/0!</v>
      </c>
    </row>
    <row r="25" spans="1:46" ht="18" customHeight="1">
      <c r="A25" s="33"/>
      <c r="B25" s="227"/>
      <c r="C25" s="34"/>
      <c r="D25" s="35"/>
      <c r="E25" s="35"/>
      <c r="F25" s="36"/>
      <c r="G25" s="37"/>
      <c r="H25" s="37"/>
      <c r="I25" s="37"/>
      <c r="J25" s="37"/>
      <c r="K25" s="37"/>
      <c r="L25" s="38"/>
      <c r="M25" s="39"/>
      <c r="N25" s="39"/>
      <c r="O25" s="37"/>
      <c r="P25" s="37"/>
      <c r="Q25" s="37"/>
      <c r="R25" s="38"/>
      <c r="S25" s="39"/>
      <c r="T25" s="39"/>
      <c r="U25" s="39"/>
      <c r="V25" s="39"/>
      <c r="W25" s="37"/>
      <c r="X25" s="39"/>
      <c r="Y25" s="39"/>
      <c r="Z25" s="39"/>
      <c r="AA25" s="40"/>
      <c r="AT25" s="41" t="e">
        <f t="shared" si="0"/>
        <v>#DIV/0!</v>
      </c>
    </row>
    <row r="26" spans="1:46" ht="18" customHeight="1">
      <c r="A26" s="33"/>
      <c r="B26" s="227"/>
      <c r="C26" s="34"/>
      <c r="D26" s="35"/>
      <c r="E26" s="35"/>
      <c r="F26" s="36"/>
      <c r="G26" s="37"/>
      <c r="H26" s="37"/>
      <c r="I26" s="37"/>
      <c r="J26" s="37"/>
      <c r="K26" s="37"/>
      <c r="L26" s="38"/>
      <c r="M26" s="39"/>
      <c r="N26" s="39"/>
      <c r="O26" s="37"/>
      <c r="P26" s="37"/>
      <c r="Q26" s="37"/>
      <c r="R26" s="38"/>
      <c r="S26" s="39"/>
      <c r="T26" s="39"/>
      <c r="U26" s="39"/>
      <c r="V26" s="39"/>
      <c r="W26" s="37"/>
      <c r="X26" s="39"/>
      <c r="Y26" s="39"/>
      <c r="Z26" s="39"/>
      <c r="AA26" s="40"/>
      <c r="AT26" s="41" t="e">
        <f t="shared" si="0"/>
        <v>#DIV/0!</v>
      </c>
    </row>
    <row r="27" spans="1:46" ht="18" customHeight="1">
      <c r="A27" s="33"/>
      <c r="B27" s="227"/>
      <c r="C27" s="34"/>
      <c r="D27" s="35"/>
      <c r="E27" s="35"/>
      <c r="F27" s="36"/>
      <c r="G27" s="37"/>
      <c r="H27" s="37"/>
      <c r="I27" s="37"/>
      <c r="J27" s="37"/>
      <c r="K27" s="37"/>
      <c r="L27" s="38"/>
      <c r="M27" s="39"/>
      <c r="N27" s="39"/>
      <c r="O27" s="37"/>
      <c r="P27" s="37"/>
      <c r="Q27" s="37"/>
      <c r="R27" s="38"/>
      <c r="S27" s="39"/>
      <c r="T27" s="39"/>
      <c r="U27" s="39"/>
      <c r="V27" s="39"/>
      <c r="W27" s="37"/>
      <c r="X27" s="39"/>
      <c r="Y27" s="39"/>
      <c r="Z27" s="39"/>
      <c r="AA27" s="40"/>
      <c r="AT27" s="41" t="e">
        <f t="shared" si="0"/>
        <v>#DIV/0!</v>
      </c>
    </row>
    <row r="28" spans="1:46" ht="18" customHeight="1">
      <c r="A28" s="33"/>
      <c r="B28" s="227"/>
      <c r="C28" s="34"/>
      <c r="D28" s="35"/>
      <c r="E28" s="35"/>
      <c r="F28" s="36"/>
      <c r="G28" s="37"/>
      <c r="H28" s="37"/>
      <c r="I28" s="37"/>
      <c r="J28" s="37"/>
      <c r="K28" s="37"/>
      <c r="L28" s="38"/>
      <c r="M28" s="39"/>
      <c r="N28" s="39"/>
      <c r="O28" s="37"/>
      <c r="P28" s="37"/>
      <c r="Q28" s="37"/>
      <c r="R28" s="38"/>
      <c r="S28" s="39"/>
      <c r="T28" s="39"/>
      <c r="U28" s="39"/>
      <c r="V28" s="39"/>
      <c r="W28" s="37"/>
      <c r="X28" s="39"/>
      <c r="Y28" s="39"/>
      <c r="Z28" s="39"/>
      <c r="AA28" s="40"/>
      <c r="AT28" s="41" t="e">
        <f t="shared" si="0"/>
        <v>#DIV/0!</v>
      </c>
    </row>
    <row r="29" spans="1:46" ht="18" customHeight="1">
      <c r="A29" s="33"/>
      <c r="B29" s="227"/>
      <c r="C29" s="34"/>
      <c r="D29" s="35"/>
      <c r="E29" s="35"/>
      <c r="F29" s="36"/>
      <c r="G29" s="37"/>
      <c r="H29" s="37"/>
      <c r="I29" s="37"/>
      <c r="J29" s="37"/>
      <c r="K29" s="37"/>
      <c r="L29" s="38"/>
      <c r="M29" s="39"/>
      <c r="N29" s="39"/>
      <c r="O29" s="37"/>
      <c r="P29" s="37"/>
      <c r="Q29" s="37"/>
      <c r="R29" s="38"/>
      <c r="S29" s="39"/>
      <c r="T29" s="39"/>
      <c r="U29" s="39"/>
      <c r="V29" s="39"/>
      <c r="W29" s="37"/>
      <c r="X29" s="39"/>
      <c r="Y29" s="39"/>
      <c r="Z29" s="39"/>
      <c r="AA29" s="40"/>
      <c r="AT29" s="41" t="e">
        <f t="shared" si="0"/>
        <v>#DIV/0!</v>
      </c>
    </row>
    <row r="30" spans="1:46" ht="18" customHeight="1">
      <c r="A30" s="33"/>
      <c r="B30" s="227"/>
      <c r="C30" s="34"/>
      <c r="D30" s="35"/>
      <c r="E30" s="35"/>
      <c r="F30" s="36"/>
      <c r="G30" s="37"/>
      <c r="H30" s="37"/>
      <c r="I30" s="37"/>
      <c r="J30" s="37"/>
      <c r="K30" s="37"/>
      <c r="L30" s="38"/>
      <c r="M30" s="39"/>
      <c r="N30" s="39"/>
      <c r="O30" s="37"/>
      <c r="P30" s="37"/>
      <c r="Q30" s="37"/>
      <c r="R30" s="38"/>
      <c r="S30" s="39"/>
      <c r="T30" s="39"/>
      <c r="U30" s="39"/>
      <c r="V30" s="39"/>
      <c r="W30" s="37"/>
      <c r="X30" s="39"/>
      <c r="Y30" s="39"/>
      <c r="Z30" s="39"/>
      <c r="AA30" s="40"/>
      <c r="AT30" s="41" t="e">
        <f t="shared" si="0"/>
        <v>#DIV/0!</v>
      </c>
    </row>
    <row r="31" spans="1:46" ht="18" customHeight="1">
      <c r="A31" s="33"/>
      <c r="B31" s="227"/>
      <c r="C31" s="34"/>
      <c r="D31" s="35"/>
      <c r="E31" s="35"/>
      <c r="F31" s="36"/>
      <c r="G31" s="37"/>
      <c r="H31" s="37"/>
      <c r="I31" s="37"/>
      <c r="J31" s="37"/>
      <c r="K31" s="37"/>
      <c r="L31" s="38"/>
      <c r="M31" s="39"/>
      <c r="N31" s="39"/>
      <c r="O31" s="37"/>
      <c r="P31" s="37"/>
      <c r="Q31" s="37"/>
      <c r="R31" s="38"/>
      <c r="S31" s="39"/>
      <c r="T31" s="39"/>
      <c r="U31" s="39"/>
      <c r="V31" s="39"/>
      <c r="W31" s="37"/>
      <c r="X31" s="39"/>
      <c r="Y31" s="39"/>
      <c r="Z31" s="39"/>
      <c r="AA31" s="40"/>
      <c r="AT31" s="41" t="e">
        <f t="shared" si="0"/>
        <v>#DIV/0!</v>
      </c>
    </row>
    <row r="32" spans="1:46" ht="18" customHeight="1">
      <c r="A32" s="33"/>
      <c r="B32" s="227"/>
      <c r="C32" s="34"/>
      <c r="D32" s="35"/>
      <c r="E32" s="35"/>
      <c r="F32" s="36"/>
      <c r="G32" s="37"/>
      <c r="H32" s="37"/>
      <c r="I32" s="37"/>
      <c r="J32" s="37"/>
      <c r="K32" s="37"/>
      <c r="L32" s="38"/>
      <c r="M32" s="39"/>
      <c r="N32" s="39"/>
      <c r="O32" s="37"/>
      <c r="P32" s="37"/>
      <c r="Q32" s="37"/>
      <c r="R32" s="38"/>
      <c r="S32" s="39"/>
      <c r="T32" s="39"/>
      <c r="U32" s="39"/>
      <c r="V32" s="39"/>
      <c r="W32" s="37"/>
      <c r="X32" s="39"/>
      <c r="Y32" s="39"/>
      <c r="Z32" s="39"/>
      <c r="AA32" s="40"/>
      <c r="AC32" s="6"/>
      <c r="AD32" s="6"/>
      <c r="AE32" s="6"/>
      <c r="AF32" s="6"/>
      <c r="AG32" s="6"/>
      <c r="AH32" s="6"/>
      <c r="AI32" s="6"/>
      <c r="AJ32" s="6"/>
      <c r="AK32" s="6"/>
      <c r="AL32" s="6"/>
      <c r="AM32" s="6"/>
      <c r="AN32" s="6"/>
      <c r="AO32" s="6"/>
      <c r="AP32" s="6"/>
      <c r="AQ32" s="6"/>
      <c r="AR32" s="6"/>
      <c r="AT32" s="41" t="e">
        <f t="shared" si="0"/>
        <v>#DIV/0!</v>
      </c>
    </row>
    <row r="33" spans="1:46" ht="18" customHeight="1">
      <c r="A33" s="33"/>
      <c r="B33" s="227"/>
      <c r="C33" s="34"/>
      <c r="D33" s="35"/>
      <c r="E33" s="35"/>
      <c r="F33" s="36"/>
      <c r="G33" s="37"/>
      <c r="H33" s="37"/>
      <c r="I33" s="37"/>
      <c r="J33" s="37"/>
      <c r="K33" s="37"/>
      <c r="L33" s="38"/>
      <c r="M33" s="39"/>
      <c r="N33" s="39"/>
      <c r="O33" s="37"/>
      <c r="P33" s="37"/>
      <c r="Q33" s="37"/>
      <c r="R33" s="38"/>
      <c r="S33" s="39"/>
      <c r="T33" s="39"/>
      <c r="U33" s="39"/>
      <c r="V33" s="39"/>
      <c r="W33" s="37"/>
      <c r="X33" s="39"/>
      <c r="Y33" s="39"/>
      <c r="Z33" s="39"/>
      <c r="AA33" s="40"/>
      <c r="AC33" s="6"/>
      <c r="AD33" s="6"/>
      <c r="AE33" s="6"/>
      <c r="AF33" s="6"/>
      <c r="AG33" s="6"/>
      <c r="AH33" s="6"/>
      <c r="AI33" s="6"/>
      <c r="AJ33" s="6"/>
      <c r="AK33" s="6"/>
      <c r="AL33" s="6"/>
      <c r="AM33" s="6"/>
      <c r="AN33" s="6"/>
      <c r="AO33" s="6"/>
      <c r="AP33" s="6"/>
      <c r="AQ33" s="6"/>
      <c r="AR33" s="6"/>
      <c r="AT33" s="41" t="e">
        <f t="shared" si="0"/>
        <v>#DIV/0!</v>
      </c>
    </row>
    <row r="34" spans="1:46" ht="18" customHeight="1">
      <c r="A34" s="33"/>
      <c r="B34" s="227"/>
      <c r="C34" s="34"/>
      <c r="D34" s="35"/>
      <c r="E34" s="35"/>
      <c r="F34" s="36"/>
      <c r="G34" s="37"/>
      <c r="H34" s="37"/>
      <c r="I34" s="37"/>
      <c r="J34" s="37"/>
      <c r="K34" s="37"/>
      <c r="L34" s="38"/>
      <c r="M34" s="39"/>
      <c r="N34" s="39"/>
      <c r="O34" s="37"/>
      <c r="P34" s="37"/>
      <c r="Q34" s="37"/>
      <c r="R34" s="38"/>
      <c r="S34" s="39"/>
      <c r="T34" s="39"/>
      <c r="U34" s="39"/>
      <c r="V34" s="39"/>
      <c r="W34" s="37"/>
      <c r="X34" s="39"/>
      <c r="Y34" s="39"/>
      <c r="Z34" s="39"/>
      <c r="AA34" s="40"/>
      <c r="AC34" s="6"/>
      <c r="AD34" s="6"/>
      <c r="AE34" s="6"/>
      <c r="AF34" s="6"/>
      <c r="AG34" s="6"/>
      <c r="AH34" s="6"/>
      <c r="AI34" s="6"/>
      <c r="AJ34" s="6"/>
      <c r="AK34" s="6"/>
      <c r="AL34" s="6"/>
      <c r="AM34" s="6"/>
      <c r="AN34" s="6"/>
      <c r="AO34" s="6"/>
      <c r="AP34" s="6"/>
      <c r="AQ34" s="6"/>
      <c r="AR34" s="6"/>
      <c r="AT34" s="41" t="e">
        <f t="shared" si="0"/>
        <v>#DIV/0!</v>
      </c>
    </row>
    <row r="35" spans="1:46" ht="18" customHeight="1">
      <c r="A35" s="33"/>
      <c r="B35" s="227"/>
      <c r="C35" s="34"/>
      <c r="D35" s="35"/>
      <c r="E35" s="35"/>
      <c r="F35" s="36"/>
      <c r="G35" s="37"/>
      <c r="H35" s="37"/>
      <c r="I35" s="37"/>
      <c r="J35" s="37"/>
      <c r="K35" s="37"/>
      <c r="L35" s="38"/>
      <c r="M35" s="39"/>
      <c r="N35" s="39"/>
      <c r="O35" s="37"/>
      <c r="P35" s="37"/>
      <c r="Q35" s="37"/>
      <c r="R35" s="38"/>
      <c r="S35" s="39"/>
      <c r="T35" s="39"/>
      <c r="U35" s="39"/>
      <c r="V35" s="39"/>
      <c r="W35" s="37"/>
      <c r="X35" s="39"/>
      <c r="Y35" s="39"/>
      <c r="Z35" s="39"/>
      <c r="AA35" s="40"/>
      <c r="AC35" s="6"/>
      <c r="AD35" s="6"/>
      <c r="AE35" s="6"/>
      <c r="AF35" s="6"/>
      <c r="AG35" s="6"/>
      <c r="AH35" s="6"/>
      <c r="AI35" s="6"/>
      <c r="AJ35" s="6"/>
      <c r="AK35" s="6"/>
      <c r="AL35" s="6"/>
      <c r="AM35" s="6"/>
      <c r="AN35" s="6"/>
      <c r="AO35" s="6"/>
      <c r="AP35" s="6"/>
      <c r="AQ35" s="6"/>
      <c r="AR35" s="6"/>
      <c r="AT35" s="41" t="e">
        <f t="shared" si="0"/>
        <v>#DIV/0!</v>
      </c>
    </row>
    <row r="36" spans="1:46" ht="18" customHeight="1">
      <c r="A36" s="33"/>
      <c r="B36" s="227"/>
      <c r="C36" s="34"/>
      <c r="D36" s="35"/>
      <c r="E36" s="35"/>
      <c r="F36" s="36"/>
      <c r="G36" s="37"/>
      <c r="H36" s="37"/>
      <c r="I36" s="37"/>
      <c r="J36" s="37"/>
      <c r="K36" s="37"/>
      <c r="L36" s="38"/>
      <c r="M36" s="39"/>
      <c r="N36" s="39"/>
      <c r="O36" s="37"/>
      <c r="P36" s="37"/>
      <c r="Q36" s="37"/>
      <c r="R36" s="38"/>
      <c r="S36" s="39"/>
      <c r="T36" s="39"/>
      <c r="U36" s="39"/>
      <c r="V36" s="39"/>
      <c r="W36" s="37"/>
      <c r="X36" s="39"/>
      <c r="Y36" s="39"/>
      <c r="Z36" s="39"/>
      <c r="AA36" s="40"/>
      <c r="AC36" s="6"/>
      <c r="AD36" s="6"/>
      <c r="AE36" s="6"/>
      <c r="AF36" s="6"/>
      <c r="AG36" s="6"/>
      <c r="AH36" s="6"/>
      <c r="AI36" s="6"/>
      <c r="AJ36" s="6"/>
      <c r="AK36" s="6"/>
      <c r="AL36" s="6"/>
      <c r="AM36" s="6"/>
      <c r="AN36" s="6"/>
      <c r="AO36" s="6"/>
      <c r="AP36" s="6"/>
      <c r="AQ36" s="6"/>
      <c r="AR36" s="6"/>
      <c r="AT36" s="41" t="e">
        <f t="shared" si="0"/>
        <v>#DIV/0!</v>
      </c>
    </row>
    <row r="37" spans="1:46" ht="18" customHeight="1">
      <c r="A37" s="33"/>
      <c r="B37" s="227"/>
      <c r="C37" s="34"/>
      <c r="D37" s="35"/>
      <c r="E37" s="35"/>
      <c r="F37" s="36"/>
      <c r="G37" s="37"/>
      <c r="H37" s="37"/>
      <c r="I37" s="37"/>
      <c r="J37" s="37"/>
      <c r="K37" s="37"/>
      <c r="L37" s="38"/>
      <c r="M37" s="39"/>
      <c r="N37" s="39"/>
      <c r="O37" s="37"/>
      <c r="P37" s="37"/>
      <c r="Q37" s="37"/>
      <c r="R37" s="38"/>
      <c r="S37" s="39"/>
      <c r="T37" s="39"/>
      <c r="U37" s="39"/>
      <c r="V37" s="39"/>
      <c r="W37" s="37"/>
      <c r="X37" s="39"/>
      <c r="Y37" s="39"/>
      <c r="Z37" s="39"/>
      <c r="AA37" s="40"/>
      <c r="AC37" s="6"/>
      <c r="AD37" s="6"/>
      <c r="AE37" s="6"/>
      <c r="AF37" s="6"/>
      <c r="AG37" s="6"/>
      <c r="AH37" s="6"/>
      <c r="AI37" s="6"/>
      <c r="AJ37" s="6"/>
      <c r="AK37" s="6"/>
      <c r="AL37" s="6"/>
      <c r="AM37" s="6"/>
      <c r="AN37" s="6"/>
      <c r="AO37" s="6"/>
      <c r="AP37" s="6"/>
      <c r="AQ37" s="6"/>
      <c r="AR37" s="6"/>
      <c r="AT37" s="41" t="e">
        <f t="shared" si="0"/>
        <v>#DIV/0!</v>
      </c>
    </row>
    <row r="38" spans="1:46" ht="18" customHeight="1">
      <c r="A38" s="33"/>
      <c r="B38" s="227"/>
      <c r="C38" s="34"/>
      <c r="D38" s="35"/>
      <c r="E38" s="35"/>
      <c r="F38" s="36"/>
      <c r="G38" s="37"/>
      <c r="H38" s="37"/>
      <c r="I38" s="37"/>
      <c r="J38" s="37"/>
      <c r="K38" s="37"/>
      <c r="L38" s="38"/>
      <c r="M38" s="39"/>
      <c r="N38" s="39"/>
      <c r="O38" s="37"/>
      <c r="P38" s="37"/>
      <c r="Q38" s="37"/>
      <c r="R38" s="38"/>
      <c r="S38" s="39"/>
      <c r="T38" s="39"/>
      <c r="U38" s="39"/>
      <c r="V38" s="39"/>
      <c r="W38" s="37"/>
      <c r="X38" s="39"/>
      <c r="Y38" s="39"/>
      <c r="Z38" s="39"/>
      <c r="AA38" s="40"/>
      <c r="AC38" s="6"/>
      <c r="AD38" s="6"/>
      <c r="AE38" s="6"/>
      <c r="AF38" s="6"/>
      <c r="AG38" s="6"/>
      <c r="AH38" s="6"/>
      <c r="AI38" s="6"/>
      <c r="AJ38" s="6"/>
      <c r="AK38" s="6"/>
      <c r="AL38" s="6"/>
      <c r="AM38" s="6"/>
      <c r="AN38" s="6"/>
      <c r="AO38" s="6"/>
      <c r="AP38" s="6"/>
      <c r="AQ38" s="6"/>
      <c r="AR38" s="6"/>
      <c r="AT38" s="41" t="e">
        <f t="shared" si="0"/>
        <v>#DIV/0!</v>
      </c>
    </row>
    <row r="39" spans="1:46" ht="18" customHeight="1">
      <c r="A39" s="33"/>
      <c r="B39" s="227"/>
      <c r="C39" s="34"/>
      <c r="D39" s="35"/>
      <c r="E39" s="35"/>
      <c r="F39" s="36"/>
      <c r="G39" s="37"/>
      <c r="H39" s="37"/>
      <c r="I39" s="37"/>
      <c r="J39" s="37"/>
      <c r="K39" s="37"/>
      <c r="L39" s="38"/>
      <c r="M39" s="39"/>
      <c r="N39" s="39"/>
      <c r="O39" s="37"/>
      <c r="P39" s="37"/>
      <c r="Q39" s="37"/>
      <c r="R39" s="38"/>
      <c r="S39" s="39"/>
      <c r="T39" s="39"/>
      <c r="U39" s="39"/>
      <c r="V39" s="39"/>
      <c r="W39" s="37"/>
      <c r="X39" s="39"/>
      <c r="Y39" s="39"/>
      <c r="Z39" s="39"/>
      <c r="AA39" s="40"/>
      <c r="AC39" s="6"/>
      <c r="AD39" s="6"/>
      <c r="AE39" s="6"/>
      <c r="AF39" s="6"/>
      <c r="AG39" s="6"/>
      <c r="AH39" s="6"/>
      <c r="AI39" s="6"/>
      <c r="AJ39" s="6"/>
      <c r="AK39" s="6"/>
      <c r="AL39" s="6"/>
      <c r="AM39" s="6"/>
      <c r="AN39" s="6"/>
      <c r="AO39" s="6"/>
      <c r="AP39" s="6"/>
      <c r="AQ39" s="6"/>
      <c r="AR39" s="6"/>
      <c r="AT39" s="41" t="e">
        <f t="shared" si="0"/>
        <v>#DIV/0!</v>
      </c>
    </row>
    <row r="40" spans="1:46" ht="18" customHeight="1">
      <c r="A40" s="33"/>
      <c r="B40" s="227"/>
      <c r="C40" s="34"/>
      <c r="D40" s="35"/>
      <c r="E40" s="35"/>
      <c r="F40" s="36"/>
      <c r="G40" s="37"/>
      <c r="H40" s="37"/>
      <c r="I40" s="37"/>
      <c r="J40" s="37"/>
      <c r="K40" s="37"/>
      <c r="L40" s="38"/>
      <c r="M40" s="39"/>
      <c r="N40" s="39"/>
      <c r="O40" s="37"/>
      <c r="P40" s="37"/>
      <c r="Q40" s="37"/>
      <c r="R40" s="38"/>
      <c r="S40" s="39"/>
      <c r="T40" s="39"/>
      <c r="U40" s="39"/>
      <c r="V40" s="39"/>
      <c r="W40" s="37"/>
      <c r="X40" s="39"/>
      <c r="Y40" s="39"/>
      <c r="Z40" s="39"/>
      <c r="AA40" s="40"/>
      <c r="AC40" s="6"/>
      <c r="AD40" s="6"/>
      <c r="AE40" s="6"/>
      <c r="AF40" s="6"/>
      <c r="AG40" s="6"/>
      <c r="AH40" s="6"/>
      <c r="AI40" s="6"/>
      <c r="AJ40" s="6"/>
      <c r="AK40" s="6"/>
      <c r="AL40" s="6"/>
      <c r="AM40" s="6"/>
      <c r="AN40" s="6"/>
      <c r="AO40" s="6"/>
      <c r="AP40" s="6"/>
      <c r="AQ40" s="6"/>
      <c r="AR40" s="6"/>
      <c r="AT40" s="41" t="e">
        <f t="shared" si="0"/>
        <v>#DIV/0!</v>
      </c>
    </row>
    <row r="41" spans="1:46" ht="18" customHeight="1">
      <c r="A41" s="33"/>
      <c r="B41" s="227"/>
      <c r="C41" s="34"/>
      <c r="D41" s="35"/>
      <c r="E41" s="35"/>
      <c r="F41" s="36"/>
      <c r="G41" s="37"/>
      <c r="H41" s="37"/>
      <c r="I41" s="37"/>
      <c r="J41" s="37"/>
      <c r="K41" s="37"/>
      <c r="L41" s="38"/>
      <c r="M41" s="39"/>
      <c r="N41" s="39"/>
      <c r="O41" s="37"/>
      <c r="P41" s="37"/>
      <c r="Q41" s="37"/>
      <c r="R41" s="38"/>
      <c r="S41" s="39"/>
      <c r="T41" s="39"/>
      <c r="U41" s="39"/>
      <c r="V41" s="39"/>
      <c r="W41" s="37"/>
      <c r="X41" s="39"/>
      <c r="Y41" s="39"/>
      <c r="Z41" s="39"/>
      <c r="AA41" s="40"/>
      <c r="AC41" s="6"/>
      <c r="AD41" s="6"/>
      <c r="AE41" s="6"/>
      <c r="AF41" s="6"/>
      <c r="AG41" s="6"/>
      <c r="AH41" s="6"/>
      <c r="AI41" s="6"/>
      <c r="AJ41" s="6"/>
      <c r="AK41" s="6"/>
      <c r="AL41" s="6"/>
      <c r="AM41" s="6"/>
      <c r="AN41" s="6"/>
      <c r="AO41" s="6"/>
      <c r="AP41" s="6"/>
      <c r="AQ41" s="6"/>
      <c r="AR41" s="6"/>
      <c r="AT41" s="41" t="e">
        <f t="shared" si="0"/>
        <v>#DIV/0!</v>
      </c>
    </row>
    <row r="42" spans="1:46" ht="18" customHeight="1">
      <c r="A42" s="33"/>
      <c r="B42" s="227"/>
      <c r="C42" s="34"/>
      <c r="D42" s="35"/>
      <c r="E42" s="35"/>
      <c r="F42" s="36"/>
      <c r="G42" s="37"/>
      <c r="H42" s="37"/>
      <c r="I42" s="37"/>
      <c r="J42" s="37"/>
      <c r="K42" s="37"/>
      <c r="L42" s="38"/>
      <c r="M42" s="39"/>
      <c r="N42" s="39"/>
      <c r="O42" s="37"/>
      <c r="P42" s="37"/>
      <c r="Q42" s="37"/>
      <c r="R42" s="38"/>
      <c r="S42" s="39"/>
      <c r="T42" s="39"/>
      <c r="U42" s="39"/>
      <c r="V42" s="39"/>
      <c r="W42" s="37"/>
      <c r="X42" s="39"/>
      <c r="Y42" s="39"/>
      <c r="Z42" s="39"/>
      <c r="AA42" s="40"/>
      <c r="AC42" s="6"/>
      <c r="AD42" s="6"/>
      <c r="AE42" s="6"/>
      <c r="AF42" s="6"/>
      <c r="AG42" s="6"/>
      <c r="AH42" s="6"/>
      <c r="AI42" s="6"/>
      <c r="AJ42" s="6"/>
      <c r="AK42" s="6"/>
      <c r="AL42" s="6"/>
      <c r="AM42" s="6"/>
      <c r="AN42" s="6"/>
      <c r="AO42" s="6"/>
      <c r="AP42" s="6"/>
      <c r="AQ42" s="6"/>
      <c r="AR42" s="6"/>
      <c r="AT42" s="41" t="e">
        <f t="shared" si="0"/>
        <v>#DIV/0!</v>
      </c>
    </row>
    <row r="43" spans="1:46" ht="18" customHeight="1">
      <c r="A43" s="33"/>
      <c r="B43" s="227"/>
      <c r="C43" s="34"/>
      <c r="D43" s="35"/>
      <c r="E43" s="35"/>
      <c r="F43" s="36"/>
      <c r="G43" s="37"/>
      <c r="H43" s="37"/>
      <c r="I43" s="37"/>
      <c r="J43" s="37"/>
      <c r="K43" s="37"/>
      <c r="L43" s="38"/>
      <c r="M43" s="39"/>
      <c r="N43" s="39"/>
      <c r="O43" s="37"/>
      <c r="P43" s="37"/>
      <c r="Q43" s="37"/>
      <c r="R43" s="38"/>
      <c r="S43" s="39"/>
      <c r="T43" s="39"/>
      <c r="U43" s="39"/>
      <c r="V43" s="39"/>
      <c r="W43" s="37"/>
      <c r="X43" s="39"/>
      <c r="Y43" s="39"/>
      <c r="Z43" s="39"/>
      <c r="AA43" s="40"/>
      <c r="AC43" s="6"/>
      <c r="AD43" s="6"/>
      <c r="AE43" s="6"/>
      <c r="AF43" s="6"/>
      <c r="AG43" s="6"/>
      <c r="AH43" s="6"/>
      <c r="AI43" s="6"/>
      <c r="AJ43" s="6"/>
      <c r="AK43" s="6"/>
      <c r="AL43" s="6"/>
      <c r="AM43" s="6"/>
      <c r="AN43" s="6"/>
      <c r="AO43" s="6"/>
      <c r="AP43" s="6"/>
      <c r="AQ43" s="6"/>
      <c r="AR43" s="6"/>
      <c r="AT43" s="41" t="e">
        <f t="shared" si="0"/>
        <v>#DIV/0!</v>
      </c>
    </row>
    <row r="44" spans="1:46" ht="18" customHeight="1">
      <c r="A44" s="33"/>
      <c r="B44" s="227"/>
      <c r="C44" s="34"/>
      <c r="D44" s="35"/>
      <c r="E44" s="35"/>
      <c r="F44" s="36"/>
      <c r="G44" s="37"/>
      <c r="H44" s="37"/>
      <c r="I44" s="37"/>
      <c r="J44" s="37"/>
      <c r="K44" s="37"/>
      <c r="L44" s="38"/>
      <c r="M44" s="39"/>
      <c r="N44" s="39"/>
      <c r="O44" s="37"/>
      <c r="P44" s="37"/>
      <c r="Q44" s="37"/>
      <c r="R44" s="38"/>
      <c r="S44" s="39"/>
      <c r="T44" s="39"/>
      <c r="U44" s="39"/>
      <c r="V44" s="39"/>
      <c r="W44" s="37"/>
      <c r="X44" s="39"/>
      <c r="Y44" s="39"/>
      <c r="Z44" s="39"/>
      <c r="AA44" s="40"/>
      <c r="AC44" s="6"/>
      <c r="AD44" s="6"/>
      <c r="AE44" s="6"/>
      <c r="AF44" s="6"/>
      <c r="AG44" s="6"/>
      <c r="AH44" s="6"/>
      <c r="AI44" s="6"/>
      <c r="AJ44" s="6"/>
      <c r="AK44" s="6"/>
      <c r="AL44" s="6"/>
      <c r="AM44" s="6"/>
      <c r="AN44" s="6"/>
      <c r="AO44" s="6"/>
      <c r="AP44" s="6"/>
      <c r="AQ44" s="6"/>
      <c r="AR44" s="6"/>
      <c r="AT44" s="41" t="e">
        <f t="shared" si="0"/>
        <v>#DIV/0!</v>
      </c>
    </row>
    <row r="45" spans="1:46" ht="18" customHeight="1">
      <c r="A45" s="33"/>
      <c r="B45" s="227"/>
      <c r="C45" s="34"/>
      <c r="D45" s="35"/>
      <c r="E45" s="35"/>
      <c r="F45" s="36"/>
      <c r="G45" s="37"/>
      <c r="H45" s="37"/>
      <c r="I45" s="37"/>
      <c r="J45" s="37"/>
      <c r="K45" s="37"/>
      <c r="L45" s="38"/>
      <c r="M45" s="39"/>
      <c r="N45" s="39"/>
      <c r="O45" s="37"/>
      <c r="P45" s="37"/>
      <c r="Q45" s="37"/>
      <c r="R45" s="38"/>
      <c r="S45" s="39"/>
      <c r="T45" s="39"/>
      <c r="U45" s="39"/>
      <c r="V45" s="39"/>
      <c r="W45" s="37"/>
      <c r="X45" s="39"/>
      <c r="Y45" s="39"/>
      <c r="Z45" s="39"/>
      <c r="AA45" s="40"/>
      <c r="AC45" s="6"/>
      <c r="AD45" s="6"/>
      <c r="AE45" s="6"/>
      <c r="AF45" s="6"/>
      <c r="AG45" s="6"/>
      <c r="AH45" s="6"/>
      <c r="AI45" s="6"/>
      <c r="AJ45" s="6"/>
      <c r="AK45" s="6"/>
      <c r="AL45" s="6"/>
      <c r="AM45" s="6"/>
      <c r="AN45" s="6"/>
      <c r="AO45" s="6"/>
      <c r="AP45" s="6"/>
      <c r="AQ45" s="6"/>
      <c r="AR45" s="6"/>
      <c r="AT45" s="41" t="e">
        <f t="shared" si="0"/>
        <v>#DIV/0!</v>
      </c>
    </row>
    <row r="46" spans="1:46" ht="18" customHeight="1">
      <c r="A46" s="33"/>
      <c r="B46" s="227"/>
      <c r="C46" s="34"/>
      <c r="D46" s="35"/>
      <c r="E46" s="35"/>
      <c r="F46" s="36"/>
      <c r="G46" s="37"/>
      <c r="H46" s="37"/>
      <c r="I46" s="37"/>
      <c r="J46" s="37"/>
      <c r="K46" s="37"/>
      <c r="L46" s="38"/>
      <c r="M46" s="39"/>
      <c r="N46" s="39"/>
      <c r="O46" s="37"/>
      <c r="P46" s="37"/>
      <c r="Q46" s="37"/>
      <c r="R46" s="38"/>
      <c r="S46" s="39"/>
      <c r="T46" s="39"/>
      <c r="U46" s="39"/>
      <c r="V46" s="39"/>
      <c r="W46" s="37"/>
      <c r="X46" s="39"/>
      <c r="Y46" s="39"/>
      <c r="Z46" s="39"/>
      <c r="AA46" s="40"/>
      <c r="AC46" s="6"/>
      <c r="AD46" s="6"/>
      <c r="AE46" s="6"/>
      <c r="AF46" s="6"/>
      <c r="AG46" s="6"/>
      <c r="AH46" s="6"/>
      <c r="AI46" s="6"/>
      <c r="AJ46" s="6"/>
      <c r="AK46" s="6"/>
      <c r="AL46" s="6"/>
      <c r="AM46" s="6"/>
      <c r="AN46" s="6"/>
      <c r="AO46" s="6"/>
      <c r="AP46" s="6"/>
      <c r="AQ46" s="6"/>
      <c r="AR46" s="6"/>
      <c r="AT46" s="41" t="e">
        <f t="shared" si="0"/>
        <v>#DIV/0!</v>
      </c>
    </row>
    <row r="47" spans="1:46" ht="18" customHeight="1">
      <c r="A47" s="33"/>
      <c r="B47" s="227"/>
      <c r="C47" s="34"/>
      <c r="D47" s="35"/>
      <c r="E47" s="35"/>
      <c r="F47" s="36"/>
      <c r="G47" s="37"/>
      <c r="H47" s="37"/>
      <c r="I47" s="37"/>
      <c r="J47" s="37"/>
      <c r="K47" s="37"/>
      <c r="L47" s="38"/>
      <c r="M47" s="39"/>
      <c r="N47" s="39"/>
      <c r="O47" s="37"/>
      <c r="P47" s="37"/>
      <c r="Q47" s="37"/>
      <c r="R47" s="38"/>
      <c r="S47" s="39"/>
      <c r="T47" s="39"/>
      <c r="U47" s="39"/>
      <c r="V47" s="39"/>
      <c r="W47" s="37"/>
      <c r="X47" s="39"/>
      <c r="Y47" s="39"/>
      <c r="Z47" s="39"/>
      <c r="AA47" s="40"/>
      <c r="AC47" s="6"/>
      <c r="AD47" s="6"/>
      <c r="AE47" s="6"/>
      <c r="AF47" s="6"/>
      <c r="AG47" s="6"/>
      <c r="AH47" s="6"/>
      <c r="AI47" s="6"/>
      <c r="AJ47" s="6"/>
      <c r="AK47" s="6"/>
      <c r="AL47" s="6"/>
      <c r="AM47" s="6"/>
      <c r="AN47" s="6"/>
      <c r="AO47" s="6"/>
      <c r="AP47" s="6"/>
      <c r="AQ47" s="6"/>
      <c r="AR47" s="6"/>
      <c r="AT47" s="41" t="e">
        <f t="shared" si="0"/>
        <v>#DIV/0!</v>
      </c>
    </row>
    <row r="48" spans="1:46" ht="18" customHeight="1">
      <c r="A48" s="33"/>
      <c r="B48" s="227"/>
      <c r="C48" s="34"/>
      <c r="D48" s="35"/>
      <c r="E48" s="35"/>
      <c r="F48" s="36"/>
      <c r="G48" s="37"/>
      <c r="H48" s="37"/>
      <c r="I48" s="37"/>
      <c r="J48" s="37"/>
      <c r="K48" s="37"/>
      <c r="L48" s="38"/>
      <c r="M48" s="39"/>
      <c r="N48" s="39"/>
      <c r="O48" s="37"/>
      <c r="P48" s="37"/>
      <c r="Q48" s="37"/>
      <c r="R48" s="38"/>
      <c r="S48" s="39"/>
      <c r="T48" s="39"/>
      <c r="U48" s="39"/>
      <c r="V48" s="39"/>
      <c r="W48" s="37"/>
      <c r="X48" s="39"/>
      <c r="Y48" s="39"/>
      <c r="Z48" s="39"/>
      <c r="AA48" s="40"/>
      <c r="AC48" s="6"/>
      <c r="AD48" s="6"/>
      <c r="AE48" s="6"/>
      <c r="AF48" s="6"/>
      <c r="AG48" s="6"/>
      <c r="AH48" s="6"/>
      <c r="AI48" s="6"/>
      <c r="AJ48" s="6"/>
      <c r="AK48" s="6"/>
      <c r="AL48" s="6"/>
      <c r="AM48" s="6"/>
      <c r="AN48" s="6"/>
      <c r="AO48" s="6"/>
      <c r="AP48" s="6"/>
      <c r="AQ48" s="6"/>
      <c r="AR48" s="6"/>
      <c r="AT48" s="41" t="e">
        <f t="shared" si="0"/>
        <v>#DIV/0!</v>
      </c>
    </row>
    <row r="49" spans="1:64" ht="18" customHeight="1">
      <c r="A49" s="33"/>
      <c r="B49" s="227"/>
      <c r="C49" s="34"/>
      <c r="D49" s="35"/>
      <c r="E49" s="35"/>
      <c r="F49" s="36"/>
      <c r="G49" s="37"/>
      <c r="H49" s="37"/>
      <c r="I49" s="37"/>
      <c r="J49" s="37"/>
      <c r="K49" s="37"/>
      <c r="L49" s="38"/>
      <c r="M49" s="39"/>
      <c r="N49" s="39"/>
      <c r="O49" s="37"/>
      <c r="P49" s="37"/>
      <c r="Q49" s="37"/>
      <c r="R49" s="38"/>
      <c r="S49" s="39"/>
      <c r="T49" s="39"/>
      <c r="U49" s="39"/>
      <c r="V49" s="39"/>
      <c r="W49" s="37"/>
      <c r="X49" s="39"/>
      <c r="Y49" s="39"/>
      <c r="Z49" s="39"/>
      <c r="AA49" s="40"/>
      <c r="AC49" s="6"/>
      <c r="AD49" s="6"/>
      <c r="AE49" s="6"/>
      <c r="AF49" s="6"/>
      <c r="AG49" s="6"/>
      <c r="AH49" s="6"/>
      <c r="AI49" s="6"/>
      <c r="AJ49" s="6"/>
      <c r="AK49" s="6"/>
      <c r="AL49" s="6"/>
      <c r="AM49" s="6"/>
      <c r="AN49" s="6"/>
      <c r="AO49" s="6"/>
      <c r="AP49" s="6"/>
      <c r="AQ49" s="6"/>
      <c r="AR49" s="6"/>
      <c r="AT49" s="41" t="e">
        <f t="shared" si="0"/>
        <v>#DIV/0!</v>
      </c>
    </row>
    <row r="50" spans="1:64" ht="18" customHeight="1">
      <c r="A50" s="33"/>
      <c r="B50" s="227"/>
      <c r="C50" s="34"/>
      <c r="D50" s="35"/>
      <c r="E50" s="35"/>
      <c r="F50" s="36"/>
      <c r="G50" s="37"/>
      <c r="H50" s="37"/>
      <c r="I50" s="37"/>
      <c r="J50" s="37"/>
      <c r="K50" s="37"/>
      <c r="L50" s="38"/>
      <c r="M50" s="39"/>
      <c r="N50" s="39"/>
      <c r="O50" s="37"/>
      <c r="P50" s="37"/>
      <c r="Q50" s="37"/>
      <c r="R50" s="38"/>
      <c r="S50" s="39"/>
      <c r="T50" s="39"/>
      <c r="U50" s="39"/>
      <c r="V50" s="39"/>
      <c r="W50" s="37"/>
      <c r="X50" s="39"/>
      <c r="Y50" s="39"/>
      <c r="Z50" s="39"/>
      <c r="AA50" s="40"/>
      <c r="AC50" s="6"/>
      <c r="AD50" s="6"/>
      <c r="AE50" s="6"/>
      <c r="AF50" s="6"/>
      <c r="AG50" s="6"/>
      <c r="AH50" s="6"/>
      <c r="AI50" s="6"/>
      <c r="AJ50" s="6"/>
      <c r="AK50" s="6"/>
      <c r="AL50" s="6"/>
      <c r="AM50" s="6"/>
      <c r="AN50" s="6"/>
      <c r="AO50" s="6"/>
      <c r="AP50" s="6"/>
      <c r="AQ50" s="6"/>
      <c r="AR50" s="6"/>
      <c r="AT50" s="41" t="e">
        <f t="shared" si="0"/>
        <v>#DIV/0!</v>
      </c>
    </row>
    <row r="51" spans="1:64" ht="18" customHeight="1">
      <c r="A51" s="33"/>
      <c r="B51" s="227"/>
      <c r="C51" s="34"/>
      <c r="D51" s="35"/>
      <c r="E51" s="35"/>
      <c r="F51" s="36"/>
      <c r="G51" s="37"/>
      <c r="H51" s="37"/>
      <c r="I51" s="37"/>
      <c r="J51" s="37"/>
      <c r="K51" s="37"/>
      <c r="L51" s="38"/>
      <c r="M51" s="39"/>
      <c r="N51" s="39"/>
      <c r="O51" s="37"/>
      <c r="P51" s="37"/>
      <c r="Q51" s="37"/>
      <c r="R51" s="38"/>
      <c r="S51" s="39"/>
      <c r="T51" s="39"/>
      <c r="U51" s="39"/>
      <c r="V51" s="39"/>
      <c r="W51" s="37"/>
      <c r="X51" s="39"/>
      <c r="Y51" s="39"/>
      <c r="Z51" s="39"/>
      <c r="AA51" s="40"/>
      <c r="AC51" s="6"/>
      <c r="AD51" s="6"/>
      <c r="AE51" s="6"/>
      <c r="AF51" s="6"/>
      <c r="AG51" s="6"/>
      <c r="AH51" s="6"/>
      <c r="AI51" s="6"/>
      <c r="AJ51" s="6"/>
      <c r="AK51" s="6"/>
      <c r="AL51" s="6"/>
      <c r="AM51" s="6"/>
      <c r="AN51" s="6"/>
      <c r="AO51" s="6"/>
      <c r="AP51" s="6"/>
      <c r="AQ51" s="6"/>
      <c r="AR51" s="6"/>
      <c r="AT51" s="41" t="e">
        <f t="shared" si="0"/>
        <v>#DIV/0!</v>
      </c>
    </row>
    <row r="52" spans="1:64" ht="18" customHeight="1">
      <c r="A52" s="33"/>
      <c r="B52" s="227"/>
      <c r="C52" s="34"/>
      <c r="D52" s="35"/>
      <c r="E52" s="35"/>
      <c r="F52" s="36"/>
      <c r="G52" s="37"/>
      <c r="H52" s="37"/>
      <c r="I52" s="37"/>
      <c r="J52" s="37"/>
      <c r="K52" s="37"/>
      <c r="L52" s="38"/>
      <c r="M52" s="39"/>
      <c r="N52" s="39"/>
      <c r="O52" s="37"/>
      <c r="P52" s="37"/>
      <c r="Q52" s="37"/>
      <c r="R52" s="38"/>
      <c r="S52" s="39"/>
      <c r="T52" s="39"/>
      <c r="U52" s="39"/>
      <c r="V52" s="39"/>
      <c r="W52" s="37"/>
      <c r="X52" s="39"/>
      <c r="Y52" s="39"/>
      <c r="Z52" s="39"/>
      <c r="AA52" s="40"/>
      <c r="AC52" s="6"/>
      <c r="AD52" s="6"/>
      <c r="AE52" s="6"/>
      <c r="AF52" s="6"/>
      <c r="AG52" s="6"/>
      <c r="AH52" s="6"/>
      <c r="AI52" s="6"/>
      <c r="AJ52" s="6"/>
      <c r="AK52" s="6"/>
      <c r="AL52" s="6"/>
      <c r="AM52" s="6"/>
      <c r="AN52" s="6"/>
      <c r="AO52" s="6"/>
      <c r="AP52" s="1"/>
      <c r="AQ52" s="1"/>
      <c r="AR52" s="1"/>
      <c r="AS52" s="1"/>
      <c r="AT52" s="1"/>
    </row>
    <row r="53" spans="1:64" ht="18" customHeight="1">
      <c r="A53" s="33"/>
      <c r="B53" s="227"/>
      <c r="C53" s="34"/>
      <c r="D53" s="35"/>
      <c r="E53" s="35"/>
      <c r="F53" s="36"/>
      <c r="G53" s="37"/>
      <c r="H53" s="37"/>
      <c r="I53" s="37"/>
      <c r="J53" s="37"/>
      <c r="K53" s="37"/>
      <c r="L53" s="38"/>
      <c r="M53" s="39"/>
      <c r="N53" s="39"/>
      <c r="O53" s="37"/>
      <c r="P53" s="37"/>
      <c r="Q53" s="37"/>
      <c r="R53" s="38"/>
      <c r="S53" s="39"/>
      <c r="T53" s="39"/>
      <c r="U53" s="39"/>
      <c r="V53" s="39"/>
      <c r="W53" s="37"/>
      <c r="X53" s="39"/>
      <c r="Y53" s="39"/>
      <c r="Z53" s="39"/>
      <c r="AA53" s="40"/>
      <c r="AC53" s="6"/>
      <c r="AD53" s="6"/>
      <c r="AE53" s="6"/>
      <c r="AF53" s="6"/>
      <c r="AG53" s="6"/>
      <c r="AH53" s="6"/>
      <c r="AI53" s="6"/>
      <c r="AJ53" s="6"/>
      <c r="AK53" s="6"/>
      <c r="AL53" s="6"/>
      <c r="AM53" s="6"/>
      <c r="AN53" s="6"/>
      <c r="AO53" s="6"/>
      <c r="AP53" s="1"/>
      <c r="AQ53" s="1"/>
      <c r="AR53" s="1"/>
      <c r="AS53" s="1"/>
      <c r="AT53" s="1"/>
    </row>
    <row r="54" spans="1:64" ht="18" customHeight="1">
      <c r="A54" s="33"/>
      <c r="B54" s="227"/>
      <c r="C54" s="34"/>
      <c r="D54" s="35"/>
      <c r="E54" s="35"/>
      <c r="F54" s="36"/>
      <c r="G54" s="37"/>
      <c r="H54" s="37"/>
      <c r="I54" s="37"/>
      <c r="J54" s="37"/>
      <c r="K54" s="37"/>
      <c r="L54" s="37"/>
      <c r="M54" s="37"/>
      <c r="N54" s="37"/>
      <c r="O54" s="38"/>
      <c r="P54" s="39"/>
      <c r="Q54" s="39"/>
      <c r="R54" s="37"/>
      <c r="S54" s="37"/>
      <c r="T54" s="37"/>
      <c r="U54" s="38"/>
      <c r="V54" s="39"/>
      <c r="W54" s="39"/>
      <c r="X54" s="39"/>
      <c r="Y54" s="39"/>
      <c r="Z54" s="37"/>
      <c r="AA54" s="39"/>
      <c r="AB54" s="39"/>
      <c r="AC54" s="39"/>
      <c r="AD54" s="40"/>
      <c r="AF54" s="6"/>
      <c r="AG54" s="6"/>
      <c r="AH54" s="6"/>
      <c r="AI54" s="6"/>
      <c r="AJ54" s="6"/>
      <c r="AK54" s="6"/>
      <c r="AL54" s="6"/>
      <c r="AM54" s="6"/>
      <c r="AN54" s="6"/>
      <c r="AO54" s="6"/>
      <c r="AP54" s="1"/>
      <c r="AQ54" s="1"/>
      <c r="AR54" s="1"/>
      <c r="AS54" s="1"/>
      <c r="AT54" s="1"/>
      <c r="BJ54" s="1"/>
      <c r="BK54" s="1"/>
      <c r="BL54" s="1"/>
    </row>
    <row r="55" spans="1:64" ht="18" customHeight="1">
      <c r="A55" s="33"/>
      <c r="B55" s="227"/>
      <c r="C55" s="34"/>
      <c r="D55" s="35"/>
      <c r="E55" s="35"/>
      <c r="F55" s="36"/>
      <c r="G55" s="37"/>
      <c r="H55" s="37"/>
      <c r="I55" s="37"/>
      <c r="J55" s="37"/>
      <c r="K55" s="37"/>
      <c r="L55" s="37"/>
      <c r="M55" s="37"/>
      <c r="N55" s="37"/>
      <c r="O55" s="38"/>
      <c r="P55" s="39"/>
      <c r="Q55" s="39"/>
      <c r="R55" s="37"/>
      <c r="S55" s="37"/>
      <c r="T55" s="37"/>
      <c r="U55" s="38"/>
      <c r="V55" s="39"/>
      <c r="W55" s="39"/>
      <c r="X55" s="39"/>
      <c r="Y55" s="39"/>
      <c r="Z55" s="37"/>
      <c r="AA55" s="39"/>
      <c r="AB55" s="39"/>
      <c r="AC55" s="39"/>
      <c r="AD55" s="40"/>
      <c r="AF55" s="6"/>
      <c r="AG55" s="6"/>
      <c r="AH55" s="6"/>
      <c r="AI55" s="6"/>
      <c r="AJ55" s="6"/>
      <c r="AK55" s="6"/>
      <c r="AL55" s="6"/>
      <c r="AM55" s="6"/>
      <c r="AN55" s="6"/>
      <c r="AO55" s="6"/>
      <c r="AP55" s="1"/>
      <c r="AQ55" s="1"/>
      <c r="AR55" s="1"/>
      <c r="AS55" s="1"/>
      <c r="AT55" s="1"/>
      <c r="BJ55" s="1"/>
      <c r="BK55" s="1"/>
      <c r="BL55" s="1"/>
    </row>
    <row r="56" spans="1:64" ht="18" customHeight="1">
      <c r="A56" s="33"/>
      <c r="B56" s="227"/>
      <c r="C56" s="34"/>
      <c r="D56" s="35"/>
      <c r="E56" s="35"/>
      <c r="F56" s="36"/>
      <c r="G56" s="37"/>
      <c r="H56" s="37"/>
      <c r="I56" s="37"/>
      <c r="J56" s="37"/>
      <c r="K56" s="37"/>
      <c r="L56" s="37"/>
      <c r="M56" s="37"/>
      <c r="O56" s="38"/>
      <c r="P56" s="39"/>
      <c r="Q56" s="39"/>
      <c r="R56" s="37"/>
      <c r="S56" s="37"/>
      <c r="T56" s="37"/>
      <c r="U56" s="38"/>
      <c r="V56" s="39"/>
      <c r="W56" s="39"/>
      <c r="X56" s="39"/>
      <c r="Y56" s="39"/>
      <c r="Z56" s="37"/>
      <c r="AA56" s="39"/>
      <c r="AB56" s="39"/>
      <c r="AC56" s="39"/>
      <c r="AD56" s="40"/>
      <c r="AF56" s="6"/>
      <c r="AG56" s="6"/>
      <c r="AH56" s="6"/>
      <c r="AI56" s="6"/>
      <c r="AJ56" s="6"/>
      <c r="AK56" s="6"/>
      <c r="AL56" s="6"/>
      <c r="AM56" s="6"/>
      <c r="AN56" s="6"/>
      <c r="AO56" s="6"/>
      <c r="AP56" s="1"/>
      <c r="AQ56" s="1"/>
      <c r="AR56" s="1"/>
      <c r="AS56" s="1"/>
      <c r="AT56" s="1"/>
      <c r="BJ56" s="1"/>
      <c r="BK56" s="1"/>
      <c r="BL56" s="1"/>
    </row>
    <row r="57" spans="1:64" ht="18" customHeight="1">
      <c r="A57" s="33"/>
      <c r="B57" s="227"/>
      <c r="C57" s="34"/>
      <c r="D57" s="35"/>
      <c r="E57" s="35"/>
      <c r="F57" s="36"/>
      <c r="G57" s="37"/>
      <c r="H57" s="37"/>
      <c r="I57" s="37"/>
      <c r="J57" s="37"/>
      <c r="K57" s="37"/>
      <c r="L57" s="37"/>
      <c r="M57" s="37"/>
      <c r="N57" s="37"/>
      <c r="O57" s="38"/>
      <c r="P57" s="39"/>
      <c r="Q57" s="39"/>
      <c r="R57" s="37"/>
      <c r="S57" s="37"/>
      <c r="T57" s="37"/>
      <c r="U57" s="38"/>
      <c r="V57" s="39"/>
      <c r="W57" s="39"/>
      <c r="X57" s="39"/>
      <c r="Y57" s="39"/>
      <c r="Z57" s="37"/>
      <c r="AA57" s="39"/>
      <c r="AB57" s="39"/>
      <c r="AC57" s="39"/>
      <c r="AD57" s="40"/>
      <c r="AF57" s="6"/>
      <c r="AG57" s="6"/>
      <c r="AH57" s="6"/>
      <c r="AI57" s="6"/>
      <c r="AJ57" s="6"/>
      <c r="AK57" s="6"/>
      <c r="AL57" s="6"/>
      <c r="AM57" s="6"/>
      <c r="AN57" s="6"/>
      <c r="AO57" s="6"/>
      <c r="AP57" s="1"/>
      <c r="AQ57" s="1"/>
      <c r="AR57" s="1"/>
      <c r="AS57" s="1"/>
      <c r="AT57" s="1"/>
      <c r="BJ57" s="1"/>
      <c r="BK57" s="1"/>
      <c r="BL57" s="1"/>
    </row>
    <row r="58" spans="1:64" ht="18" customHeight="1">
      <c r="A58" s="33"/>
      <c r="B58" s="227"/>
      <c r="C58" s="34"/>
      <c r="D58" s="35"/>
      <c r="E58" s="35"/>
      <c r="F58" s="36"/>
      <c r="G58" s="37"/>
      <c r="H58" s="37"/>
      <c r="I58" s="37"/>
      <c r="J58" s="37"/>
      <c r="K58" s="37"/>
      <c r="L58" s="37"/>
      <c r="M58" s="37"/>
      <c r="N58" s="37"/>
      <c r="O58" s="38"/>
      <c r="P58" s="39"/>
      <c r="Q58" s="39"/>
      <c r="R58" s="37"/>
      <c r="S58" s="37"/>
      <c r="T58" s="37"/>
      <c r="U58" s="38"/>
      <c r="V58" s="39"/>
      <c r="W58" s="39"/>
      <c r="X58" s="39"/>
      <c r="Y58" s="39"/>
      <c r="Z58" s="37"/>
      <c r="AA58" s="39"/>
      <c r="AB58" s="39"/>
      <c r="AC58" s="39"/>
      <c r="AD58" s="40"/>
      <c r="AF58" s="6"/>
      <c r="AG58" s="6"/>
      <c r="AH58" s="6"/>
      <c r="AI58" s="6"/>
      <c r="AJ58" s="6"/>
      <c r="AK58" s="6"/>
      <c r="AL58" s="6"/>
      <c r="AM58" s="6"/>
      <c r="AN58" s="6"/>
      <c r="AO58" s="6"/>
      <c r="AP58" s="1"/>
      <c r="AQ58" s="1"/>
      <c r="AR58" s="1"/>
      <c r="AS58" s="1"/>
      <c r="AT58" s="1"/>
      <c r="BJ58" s="1"/>
      <c r="BK58" s="1"/>
      <c r="BL58" s="1"/>
    </row>
    <row r="59" spans="1:64" ht="18" customHeight="1">
      <c r="A59" s="33"/>
      <c r="B59" s="227"/>
      <c r="C59" s="34"/>
      <c r="D59" s="35"/>
      <c r="E59" s="35"/>
      <c r="F59" s="36"/>
      <c r="G59" s="37"/>
      <c r="H59" s="37"/>
      <c r="I59" s="37"/>
      <c r="J59" s="37"/>
      <c r="K59" s="37"/>
      <c r="L59" s="37"/>
      <c r="M59" s="37"/>
      <c r="N59" s="37"/>
      <c r="O59" s="38"/>
      <c r="P59" s="39"/>
      <c r="Q59" s="39"/>
      <c r="R59" s="37"/>
      <c r="S59" s="37"/>
      <c r="T59" s="37"/>
      <c r="U59" s="38"/>
      <c r="V59" s="39"/>
      <c r="W59" s="39"/>
      <c r="X59" s="39"/>
      <c r="Y59" s="39"/>
      <c r="Z59" s="37"/>
      <c r="AA59" s="39"/>
      <c r="AB59" s="39"/>
      <c r="AC59" s="39"/>
      <c r="AD59" s="40"/>
      <c r="AF59" s="6"/>
      <c r="AG59" s="6"/>
      <c r="AH59" s="6"/>
      <c r="AI59" s="6"/>
      <c r="AJ59" s="6"/>
      <c r="AK59" s="6"/>
      <c r="AL59" s="6"/>
      <c r="AM59" s="6"/>
      <c r="AN59" s="6"/>
      <c r="AO59" s="6"/>
      <c r="AP59" s="1"/>
      <c r="AQ59" s="1"/>
      <c r="AR59" s="1"/>
      <c r="AS59" s="1"/>
      <c r="AT59" s="1"/>
      <c r="BJ59" s="1"/>
      <c r="BK59" s="1"/>
      <c r="BL59" s="1"/>
    </row>
    <row r="60" spans="1:64" ht="18" customHeight="1" thickBot="1">
      <c r="A60" s="33"/>
      <c r="B60" s="231"/>
      <c r="C60" s="232"/>
      <c r="D60" s="35"/>
      <c r="E60" s="35"/>
      <c r="F60" s="36"/>
      <c r="G60" s="39"/>
      <c r="H60" s="39"/>
      <c r="I60" s="37"/>
      <c r="J60" s="37"/>
      <c r="K60" s="37"/>
      <c r="L60" s="37"/>
      <c r="M60" s="37"/>
      <c r="N60" s="37"/>
      <c r="O60" s="38"/>
      <c r="P60" s="39"/>
      <c r="Q60" s="39"/>
      <c r="R60" s="37"/>
      <c r="S60" s="37"/>
      <c r="T60" s="37"/>
      <c r="U60" s="38"/>
      <c r="V60" s="39"/>
      <c r="W60" s="39"/>
      <c r="X60" s="39"/>
      <c r="Y60" s="39"/>
      <c r="Z60" s="37"/>
      <c r="AA60" s="39"/>
      <c r="AB60" s="39"/>
      <c r="AC60" s="39"/>
      <c r="AD60" s="40"/>
      <c r="AF60" s="6"/>
      <c r="AG60" s="6"/>
      <c r="AH60" s="6"/>
      <c r="AI60" s="6"/>
      <c r="AJ60" s="6"/>
      <c r="AK60" s="6"/>
      <c r="AL60" s="6"/>
      <c r="AM60" s="6"/>
      <c r="AN60" s="6"/>
      <c r="AO60" s="6"/>
      <c r="AP60" s="1"/>
      <c r="AQ60" s="1"/>
      <c r="AR60" s="1"/>
      <c r="AS60" s="1"/>
      <c r="AT60" s="1"/>
      <c r="BJ60" s="1"/>
      <c r="BK60" s="1"/>
      <c r="BL60" s="1"/>
    </row>
    <row r="61" spans="1:64" ht="18" hidden="1" customHeight="1" thickBot="1">
      <c r="A61" s="221" t="s">
        <v>99</v>
      </c>
      <c r="B61" s="228" t="s">
        <v>103</v>
      </c>
      <c r="C61" s="308" t="s">
        <v>100</v>
      </c>
      <c r="D61" s="309"/>
      <c r="E61" s="309"/>
      <c r="F61" s="199" t="s">
        <v>99</v>
      </c>
      <c r="G61" s="39"/>
      <c r="H61" s="39"/>
      <c r="I61" s="37"/>
      <c r="J61" s="37"/>
      <c r="K61" s="37"/>
      <c r="L61" s="37"/>
      <c r="M61" s="37"/>
      <c r="N61" s="37"/>
      <c r="O61" s="38"/>
      <c r="P61" s="39"/>
      <c r="Q61" s="39"/>
      <c r="R61" s="37"/>
      <c r="S61" s="37"/>
      <c r="T61" s="37"/>
      <c r="U61" s="38"/>
      <c r="V61" s="39"/>
      <c r="W61" s="39"/>
      <c r="X61" s="39"/>
      <c r="Y61" s="39"/>
      <c r="Z61" s="37"/>
      <c r="AA61" s="39"/>
      <c r="AB61" s="39"/>
      <c r="AC61" s="39"/>
      <c r="AD61" s="40"/>
      <c r="AF61" s="6"/>
      <c r="AG61" s="6"/>
      <c r="AH61" s="6"/>
      <c r="AI61" s="6"/>
      <c r="AJ61" s="6"/>
      <c r="AK61" s="6"/>
      <c r="AL61" s="6"/>
      <c r="AM61" s="6"/>
      <c r="AN61" s="6"/>
      <c r="AO61" s="6"/>
      <c r="AP61" s="1"/>
      <c r="AQ61" s="1"/>
      <c r="AR61" s="1"/>
      <c r="AS61" s="1"/>
      <c r="AT61" s="1"/>
      <c r="BJ61" s="1"/>
      <c r="BK61" s="1"/>
      <c r="BL61" s="1"/>
    </row>
    <row r="62" spans="1:64" ht="18" customHeight="1" thickBot="1">
      <c r="A62" s="223"/>
      <c r="B62" s="223"/>
      <c r="C62" s="224" t="s">
        <v>14</v>
      </c>
      <c r="D62" s="139"/>
      <c r="E62" s="139"/>
      <c r="F62" s="139"/>
      <c r="G62" s="39"/>
      <c r="H62" s="39"/>
      <c r="I62" s="37"/>
      <c r="J62" s="37"/>
      <c r="K62" s="37"/>
      <c r="L62" s="37"/>
      <c r="M62" s="37"/>
      <c r="N62" s="37"/>
      <c r="O62" s="38"/>
      <c r="P62" s="39"/>
      <c r="Q62" s="39"/>
      <c r="R62" s="37"/>
      <c r="S62" s="37"/>
      <c r="T62" s="37"/>
      <c r="U62" s="38"/>
      <c r="V62" s="39"/>
      <c r="W62" s="39"/>
      <c r="X62" s="39"/>
      <c r="Y62" s="39"/>
      <c r="Z62" s="37"/>
      <c r="AA62" s="39"/>
      <c r="AB62" s="39"/>
      <c r="AC62" s="39"/>
      <c r="AD62" s="40"/>
      <c r="AF62" s="6"/>
      <c r="AG62" s="6"/>
      <c r="AH62" s="6"/>
      <c r="AI62" s="6"/>
      <c r="AJ62" s="6"/>
      <c r="AK62" s="6"/>
      <c r="AL62" s="6"/>
      <c r="AM62" s="6"/>
      <c r="AN62" s="6"/>
      <c r="AO62" s="6"/>
      <c r="AP62" s="1"/>
      <c r="AQ62" s="1"/>
      <c r="AR62" s="1"/>
      <c r="AS62" s="1"/>
      <c r="AT62" s="1"/>
      <c r="BJ62" s="1"/>
      <c r="BK62" s="1"/>
      <c r="BL62" s="1"/>
    </row>
    <row r="63" spans="1:64" ht="18" hidden="1" customHeight="1" thickBot="1">
      <c r="A63" s="222" t="s">
        <v>91</v>
      </c>
      <c r="B63" s="229" t="s">
        <v>92</v>
      </c>
      <c r="C63" s="310" t="s">
        <v>93</v>
      </c>
      <c r="D63" s="311"/>
      <c r="E63" s="312"/>
      <c r="F63" s="191"/>
      <c r="G63" s="39"/>
      <c r="H63" s="39"/>
      <c r="I63" s="37"/>
      <c r="J63" s="37"/>
      <c r="K63" s="37"/>
      <c r="L63" s="37"/>
      <c r="M63" s="37"/>
      <c r="N63" s="37"/>
      <c r="O63" s="38"/>
      <c r="P63" s="39"/>
      <c r="Q63" s="39"/>
      <c r="R63" s="37"/>
      <c r="S63" s="37"/>
      <c r="T63" s="37"/>
      <c r="U63" s="38"/>
      <c r="V63" s="39"/>
      <c r="W63" s="39"/>
      <c r="X63" s="39"/>
      <c r="Y63" s="39"/>
      <c r="Z63" s="37"/>
      <c r="AA63" s="39"/>
      <c r="AB63" s="39"/>
      <c r="AC63" s="39"/>
      <c r="AD63" s="40"/>
      <c r="AF63" s="6"/>
      <c r="AG63" s="6"/>
      <c r="AH63" s="6"/>
      <c r="AI63" s="6"/>
      <c r="AJ63" s="6"/>
      <c r="AK63" s="6"/>
      <c r="AL63" s="6"/>
      <c r="AM63" s="6"/>
      <c r="AN63" s="6"/>
      <c r="AO63" s="6"/>
      <c r="AP63" s="1"/>
      <c r="AQ63" s="1"/>
      <c r="AR63" s="1"/>
      <c r="AS63" s="1"/>
      <c r="AT63" s="1"/>
      <c r="BJ63" s="1"/>
      <c r="BK63" s="1"/>
      <c r="BL63" s="1"/>
    </row>
    <row r="64" spans="1:64" ht="18" customHeight="1">
      <c r="A64" s="33"/>
      <c r="B64" s="231"/>
      <c r="C64" s="232"/>
      <c r="D64" s="35"/>
      <c r="E64" s="35"/>
      <c r="F64" s="36"/>
      <c r="G64" s="39"/>
      <c r="H64" s="39"/>
      <c r="I64" s="37"/>
      <c r="J64" s="37"/>
      <c r="K64" s="37"/>
      <c r="L64" s="37"/>
      <c r="M64" s="37"/>
      <c r="N64" s="37"/>
      <c r="O64" s="38"/>
      <c r="P64" s="39"/>
      <c r="Q64" s="39"/>
      <c r="R64" s="37"/>
      <c r="S64" s="37"/>
      <c r="T64" s="37"/>
      <c r="U64" s="38"/>
      <c r="V64" s="39"/>
      <c r="W64" s="39"/>
      <c r="X64" s="39"/>
      <c r="Y64" s="39"/>
      <c r="Z64" s="37"/>
      <c r="AA64" s="39"/>
      <c r="AB64" s="39"/>
      <c r="AC64" s="39"/>
      <c r="AD64" s="40"/>
      <c r="AF64" s="6"/>
      <c r="AG64" s="6"/>
      <c r="AH64" s="6"/>
      <c r="AI64" s="6"/>
      <c r="AJ64" s="6"/>
      <c r="AK64" s="6"/>
      <c r="AL64" s="6"/>
      <c r="AM64" s="6"/>
      <c r="AN64" s="6"/>
      <c r="AO64" s="6"/>
      <c r="AP64" s="1"/>
      <c r="AQ64" s="1"/>
      <c r="AR64" s="1"/>
      <c r="AS64" s="1"/>
      <c r="AT64" s="1"/>
      <c r="BJ64" s="1"/>
      <c r="BK64" s="1"/>
      <c r="BL64" s="1"/>
    </row>
    <row r="65" spans="1:64" ht="18" customHeight="1">
      <c r="A65" s="33"/>
      <c r="B65" s="227"/>
      <c r="C65" s="34"/>
      <c r="D65" s="35"/>
      <c r="E65" s="35"/>
      <c r="F65" s="36"/>
      <c r="G65" s="39"/>
      <c r="H65" s="39"/>
      <c r="I65" s="37"/>
      <c r="J65" s="37"/>
      <c r="K65" s="37"/>
      <c r="L65" s="37"/>
      <c r="M65" s="37"/>
      <c r="N65" s="37"/>
      <c r="O65" s="38"/>
      <c r="P65" s="39"/>
      <c r="Q65" s="39"/>
      <c r="R65" s="37"/>
      <c r="S65" s="37"/>
      <c r="T65" s="37"/>
      <c r="U65" s="38"/>
      <c r="V65" s="39"/>
      <c r="W65" s="39"/>
      <c r="X65" s="39"/>
      <c r="Y65" s="39"/>
      <c r="Z65" s="37"/>
      <c r="AA65" s="39"/>
      <c r="AB65" s="39"/>
      <c r="AC65" s="39"/>
      <c r="AD65" s="40"/>
      <c r="AF65" s="6"/>
      <c r="AG65" s="6"/>
      <c r="AH65" s="6"/>
      <c r="AI65" s="6"/>
      <c r="AJ65" s="6"/>
      <c r="AK65" s="6"/>
      <c r="AL65" s="6"/>
      <c r="AM65" s="6"/>
      <c r="AN65" s="6"/>
      <c r="AO65" s="6"/>
      <c r="AP65" s="1"/>
      <c r="AQ65" s="1"/>
      <c r="AR65" s="1"/>
      <c r="AS65" s="1"/>
      <c r="AT65" s="1"/>
      <c r="BJ65" s="1"/>
      <c r="BK65" s="1"/>
      <c r="BL65" s="1"/>
    </row>
    <row r="66" spans="1:64" ht="18" customHeight="1">
      <c r="A66" s="33"/>
      <c r="B66" s="227"/>
      <c r="C66" s="34"/>
      <c r="D66" s="35"/>
      <c r="E66" s="35"/>
      <c r="F66" s="36"/>
      <c r="G66" s="39"/>
      <c r="H66" s="39"/>
      <c r="I66" s="37"/>
      <c r="J66" s="37"/>
      <c r="K66" s="37"/>
      <c r="L66" s="37"/>
      <c r="M66" s="37"/>
      <c r="N66" s="37"/>
      <c r="O66" s="38"/>
      <c r="P66" s="39"/>
      <c r="Q66" s="39"/>
      <c r="R66" s="37"/>
      <c r="S66" s="37"/>
      <c r="T66" s="37"/>
      <c r="U66" s="38"/>
      <c r="V66" s="39"/>
      <c r="W66" s="39"/>
      <c r="X66" s="39"/>
      <c r="Y66" s="39"/>
      <c r="Z66" s="37"/>
      <c r="AA66" s="39"/>
      <c r="AB66" s="39"/>
      <c r="AC66" s="39"/>
      <c r="AD66" s="40"/>
      <c r="AF66" s="6"/>
      <c r="AG66" s="6"/>
      <c r="AH66" s="6"/>
      <c r="AI66" s="6"/>
      <c r="AJ66" s="6"/>
      <c r="AK66" s="6"/>
      <c r="AL66" s="6"/>
      <c r="AM66" s="6"/>
      <c r="AN66" s="6"/>
      <c r="AO66" s="6"/>
      <c r="AP66" s="1"/>
      <c r="AQ66" s="1"/>
      <c r="AR66" s="1"/>
      <c r="AS66" s="1"/>
      <c r="AT66" s="1"/>
      <c r="BJ66" s="1"/>
      <c r="BK66" s="1"/>
      <c r="BL66" s="1"/>
    </row>
    <row r="67" spans="1:64" ht="18" customHeight="1">
      <c r="A67" s="33"/>
      <c r="B67" s="227"/>
      <c r="C67" s="43"/>
      <c r="D67" s="35"/>
      <c r="E67" s="35"/>
      <c r="F67" s="36"/>
      <c r="G67" s="39"/>
      <c r="H67" s="39"/>
      <c r="I67" s="37"/>
      <c r="J67" s="37"/>
      <c r="K67" s="37"/>
      <c r="L67" s="37"/>
      <c r="M67" s="37"/>
      <c r="N67" s="37"/>
      <c r="O67" s="38"/>
      <c r="P67" s="39"/>
      <c r="Q67" s="39"/>
      <c r="R67" s="37"/>
      <c r="S67" s="37"/>
      <c r="T67" s="37"/>
      <c r="U67" s="38"/>
      <c r="V67" s="39"/>
      <c r="W67" s="39"/>
      <c r="X67" s="39"/>
      <c r="Y67" s="39"/>
      <c r="Z67" s="37"/>
      <c r="AA67" s="39"/>
      <c r="AB67" s="39"/>
      <c r="AC67" s="39"/>
      <c r="AD67" s="40"/>
      <c r="AF67" s="6"/>
      <c r="AG67" s="6"/>
      <c r="AH67" s="6"/>
      <c r="AI67" s="6"/>
      <c r="AJ67" s="6"/>
      <c r="AK67" s="6"/>
      <c r="AL67" s="6"/>
      <c r="AM67" s="6"/>
      <c r="AN67" s="6"/>
      <c r="AO67" s="6"/>
      <c r="AP67" s="1"/>
      <c r="AQ67" s="1"/>
      <c r="AR67" s="1"/>
      <c r="AS67" s="1"/>
      <c r="AT67" s="1"/>
      <c r="BJ67" s="1"/>
      <c r="BK67" s="1"/>
      <c r="BL67" s="1"/>
    </row>
    <row r="68" spans="1:64" ht="18" customHeight="1">
      <c r="A68" s="33"/>
      <c r="B68" s="227"/>
      <c r="C68" s="34"/>
      <c r="D68" s="35"/>
      <c r="E68" s="35"/>
      <c r="F68" s="36"/>
      <c r="G68" s="39"/>
      <c r="H68" s="39"/>
      <c r="I68" s="37"/>
      <c r="J68" s="37"/>
      <c r="K68" s="37"/>
      <c r="L68" s="37"/>
      <c r="M68" s="37"/>
      <c r="N68" s="37"/>
      <c r="O68" s="38"/>
      <c r="P68" s="39"/>
      <c r="Q68" s="39"/>
      <c r="R68" s="37"/>
      <c r="S68" s="37"/>
      <c r="T68" s="37"/>
      <c r="U68" s="38"/>
      <c r="V68" s="39"/>
      <c r="W68" s="39"/>
      <c r="X68" s="39"/>
      <c r="Y68" s="39"/>
      <c r="Z68" s="37"/>
      <c r="AA68" s="39"/>
      <c r="AB68" s="39"/>
      <c r="AC68" s="39"/>
      <c r="AD68" s="40"/>
      <c r="AF68" s="6"/>
      <c r="AG68" s="6"/>
      <c r="AH68" s="6"/>
      <c r="AI68" s="6"/>
      <c r="AJ68" s="6"/>
      <c r="AK68" s="6"/>
      <c r="AL68" s="6"/>
      <c r="AM68" s="6"/>
      <c r="AN68" s="6"/>
      <c r="AO68" s="6"/>
      <c r="AP68" s="1"/>
      <c r="AQ68" s="1"/>
      <c r="AR68" s="1"/>
      <c r="AS68" s="1"/>
      <c r="AT68" s="1"/>
      <c r="BJ68" s="1"/>
      <c r="BK68" s="1"/>
      <c r="BL68" s="1"/>
    </row>
    <row r="69" spans="1:64" ht="18" customHeight="1">
      <c r="A69" s="33"/>
      <c r="B69" s="227"/>
      <c r="C69" s="34"/>
      <c r="D69" s="35"/>
      <c r="E69" s="35"/>
      <c r="F69" s="36"/>
      <c r="G69" s="37"/>
      <c r="H69" s="37"/>
      <c r="I69" s="37"/>
      <c r="J69" s="37"/>
      <c r="K69" s="37"/>
      <c r="L69" s="37"/>
      <c r="M69" s="37"/>
      <c r="N69" s="37"/>
      <c r="O69" s="38"/>
      <c r="P69" s="39"/>
      <c r="Q69" s="39"/>
      <c r="R69" s="37"/>
      <c r="S69" s="37"/>
      <c r="T69" s="37"/>
      <c r="U69" s="38"/>
      <c r="V69" s="39"/>
      <c r="W69" s="39"/>
      <c r="X69" s="39"/>
      <c r="Y69" s="39"/>
      <c r="Z69" s="37"/>
      <c r="AA69" s="39"/>
      <c r="AB69" s="39"/>
      <c r="AC69" s="39"/>
      <c r="AD69" s="40"/>
      <c r="AF69" s="6"/>
      <c r="AG69" s="6"/>
      <c r="AH69" s="6"/>
      <c r="AI69" s="6"/>
      <c r="AJ69" s="6"/>
      <c r="AK69" s="6"/>
      <c r="AL69" s="6"/>
      <c r="AM69" s="6"/>
      <c r="AN69" s="6"/>
      <c r="AO69" s="6"/>
      <c r="AP69" s="1"/>
      <c r="AQ69" s="1"/>
      <c r="AR69" s="1"/>
      <c r="AS69" s="1"/>
      <c r="AT69" s="1"/>
      <c r="BJ69" s="1"/>
      <c r="BK69" s="1"/>
      <c r="BL69" s="1"/>
    </row>
    <row r="70" spans="1:64" ht="18" customHeight="1">
      <c r="A70" s="33"/>
      <c r="B70" s="227"/>
      <c r="C70" s="34"/>
      <c r="D70" s="35"/>
      <c r="E70" s="35"/>
      <c r="F70" s="36"/>
      <c r="G70" s="37"/>
      <c r="H70" s="37"/>
      <c r="I70" s="37"/>
      <c r="J70" s="37"/>
      <c r="K70" s="37"/>
      <c r="L70" s="38"/>
      <c r="M70" s="39"/>
      <c r="N70" s="39"/>
      <c r="O70" s="37"/>
      <c r="P70" s="37"/>
      <c r="Q70" s="37"/>
      <c r="R70" s="38"/>
      <c r="S70" s="39"/>
      <c r="T70" s="39"/>
      <c r="U70" s="39"/>
      <c r="V70" s="39"/>
      <c r="W70" s="37"/>
      <c r="X70" s="39"/>
      <c r="Y70" s="39"/>
      <c r="Z70" s="39"/>
      <c r="AA70" s="40"/>
      <c r="AC70" s="6"/>
      <c r="AD70" s="6"/>
      <c r="AE70" s="6"/>
      <c r="AF70" s="6"/>
      <c r="AG70" s="6"/>
      <c r="AH70" s="6"/>
      <c r="AI70" s="6"/>
      <c r="AJ70" s="6"/>
      <c r="AK70" s="6"/>
      <c r="AL70" s="6"/>
      <c r="AM70" s="6"/>
      <c r="AN70" s="6"/>
      <c r="AO70" s="6"/>
      <c r="AP70" s="1"/>
      <c r="AQ70" s="1"/>
      <c r="AR70" s="1"/>
      <c r="AS70" s="1"/>
      <c r="AT70" s="1"/>
    </row>
    <row r="71" spans="1:64" ht="18" customHeight="1">
      <c r="A71" s="33"/>
      <c r="B71" s="227"/>
      <c r="C71" s="34"/>
      <c r="D71" s="35"/>
      <c r="E71" s="35"/>
      <c r="F71" s="36"/>
      <c r="G71" s="37"/>
      <c r="H71" s="37"/>
      <c r="I71" s="37"/>
      <c r="J71" s="37"/>
      <c r="K71" s="37"/>
      <c r="L71" s="38"/>
      <c r="M71" s="39"/>
      <c r="N71" s="39"/>
      <c r="O71" s="37"/>
      <c r="P71" s="37"/>
      <c r="Q71" s="37"/>
      <c r="R71" s="38"/>
      <c r="S71" s="39"/>
      <c r="T71" s="39"/>
      <c r="U71" s="39"/>
      <c r="V71" s="39"/>
      <c r="W71" s="37"/>
      <c r="X71" s="39"/>
      <c r="Y71" s="39"/>
      <c r="Z71" s="39"/>
      <c r="AA71" s="40"/>
      <c r="AC71" s="6"/>
      <c r="AD71" s="6"/>
      <c r="AE71" s="6"/>
      <c r="AF71" s="6"/>
      <c r="AG71" s="6"/>
      <c r="AH71" s="6"/>
      <c r="AI71" s="6"/>
      <c r="AJ71" s="6"/>
      <c r="AK71" s="6"/>
      <c r="AL71" s="6"/>
      <c r="AM71" s="6"/>
      <c r="AN71" s="6"/>
      <c r="AO71" s="6"/>
      <c r="AP71" s="1"/>
      <c r="AQ71" s="1"/>
      <c r="AR71" s="1"/>
      <c r="AS71" s="1"/>
      <c r="AT71" s="1"/>
    </row>
    <row r="72" spans="1:64" ht="18" customHeight="1">
      <c r="A72" s="33"/>
      <c r="B72" s="227"/>
      <c r="C72" s="34"/>
      <c r="D72" s="35"/>
      <c r="E72" s="35"/>
      <c r="F72" s="36"/>
      <c r="G72" s="37"/>
      <c r="H72" s="37"/>
      <c r="I72" s="37"/>
      <c r="J72" s="37"/>
      <c r="K72" s="37"/>
      <c r="L72" s="38"/>
      <c r="M72" s="39"/>
      <c r="N72" s="39"/>
      <c r="O72" s="37"/>
      <c r="P72" s="37"/>
      <c r="Q72" s="37"/>
      <c r="R72" s="38"/>
      <c r="S72" s="39"/>
      <c r="T72" s="39"/>
      <c r="U72" s="39"/>
      <c r="V72" s="39"/>
      <c r="W72" s="37"/>
      <c r="X72" s="39"/>
      <c r="Y72" s="39"/>
      <c r="Z72" s="39"/>
      <c r="AA72" s="40"/>
      <c r="AC72" s="6"/>
      <c r="AD72" s="6"/>
      <c r="AE72" s="6"/>
      <c r="AF72" s="6"/>
      <c r="AG72" s="6"/>
      <c r="AH72" s="6"/>
      <c r="AI72" s="6"/>
      <c r="AJ72" s="6"/>
      <c r="AK72" s="6"/>
      <c r="AL72" s="6"/>
      <c r="AM72" s="6"/>
      <c r="AN72" s="6"/>
      <c r="AO72" s="6"/>
      <c r="AP72" s="1"/>
      <c r="AQ72" s="1"/>
      <c r="AR72" s="1"/>
      <c r="AS72" s="1"/>
      <c r="AT72" s="1"/>
    </row>
    <row r="73" spans="1:64" ht="18" customHeight="1">
      <c r="A73" s="33"/>
      <c r="B73" s="227"/>
      <c r="C73" s="34"/>
      <c r="D73" s="35"/>
      <c r="E73" s="35"/>
      <c r="F73" s="36"/>
      <c r="G73" s="37"/>
      <c r="H73" s="37"/>
      <c r="I73" s="37"/>
      <c r="J73" s="37"/>
      <c r="K73" s="37"/>
      <c r="L73" s="38"/>
      <c r="M73" s="39"/>
      <c r="N73" s="39"/>
      <c r="O73" s="37"/>
      <c r="P73" s="37"/>
      <c r="Q73" s="37"/>
      <c r="R73" s="38"/>
      <c r="S73" s="39"/>
      <c r="T73" s="39"/>
      <c r="U73" s="39"/>
      <c r="V73" s="39"/>
      <c r="W73" s="37"/>
      <c r="X73" s="39"/>
      <c r="Y73" s="39"/>
      <c r="Z73" s="39"/>
      <c r="AA73" s="40"/>
      <c r="AC73" s="6"/>
      <c r="AD73" s="6"/>
      <c r="AE73" s="6"/>
      <c r="AF73" s="6"/>
      <c r="AG73" s="6"/>
      <c r="AH73" s="6"/>
      <c r="AI73" s="6"/>
      <c r="AJ73" s="6"/>
      <c r="AK73" s="6"/>
      <c r="AL73" s="6"/>
      <c r="AM73" s="6"/>
      <c r="AN73" s="6"/>
      <c r="AO73" s="6"/>
      <c r="AP73" s="6"/>
      <c r="AQ73" s="6"/>
      <c r="AR73" s="6"/>
      <c r="AT73" s="41" t="e">
        <f t="shared" si="0"/>
        <v>#DIV/0!</v>
      </c>
    </row>
    <row r="74" spans="1:64" ht="18" customHeight="1">
      <c r="A74" s="33"/>
      <c r="B74" s="227"/>
      <c r="C74" s="34"/>
      <c r="D74" s="35"/>
      <c r="E74" s="35"/>
      <c r="F74" s="36"/>
      <c r="G74" s="37"/>
      <c r="H74" s="37"/>
      <c r="I74" s="37"/>
      <c r="J74" s="37"/>
      <c r="K74" s="37"/>
      <c r="L74" s="38"/>
      <c r="M74" s="39"/>
      <c r="N74" s="39"/>
      <c r="O74" s="37"/>
      <c r="P74" s="37"/>
      <c r="Q74" s="37"/>
      <c r="R74" s="38"/>
      <c r="S74" s="39"/>
      <c r="T74" s="39"/>
      <c r="U74" s="39"/>
      <c r="V74" s="39"/>
      <c r="W74" s="37"/>
      <c r="X74" s="39"/>
      <c r="Y74" s="39"/>
      <c r="Z74" s="39"/>
      <c r="AA74" s="40"/>
      <c r="AC74" s="6"/>
      <c r="AD74" s="6"/>
      <c r="AE74" s="6"/>
      <c r="AF74" s="6"/>
      <c r="AG74" s="6"/>
      <c r="AH74" s="6"/>
      <c r="AI74" s="6"/>
      <c r="AJ74" s="6"/>
      <c r="AK74" s="6"/>
      <c r="AL74" s="6"/>
      <c r="AM74" s="6"/>
      <c r="AN74" s="6"/>
      <c r="AO74" s="6"/>
      <c r="AP74" s="6"/>
      <c r="AQ74" s="6"/>
      <c r="AR74" s="6"/>
      <c r="AT74" s="41" t="e">
        <f t="shared" si="0"/>
        <v>#DIV/0!</v>
      </c>
    </row>
    <row r="75" spans="1:64" ht="18" customHeight="1">
      <c r="A75" s="33"/>
      <c r="B75" s="227"/>
      <c r="C75" s="34"/>
      <c r="D75" s="35"/>
      <c r="E75" s="35"/>
      <c r="F75" s="36"/>
      <c r="G75" s="37"/>
      <c r="H75" s="37"/>
      <c r="I75" s="37"/>
      <c r="J75" s="37"/>
      <c r="K75" s="37"/>
      <c r="L75" s="38"/>
      <c r="M75" s="39"/>
      <c r="N75" s="39"/>
      <c r="O75" s="37"/>
      <c r="P75" s="37"/>
      <c r="Q75" s="37"/>
      <c r="R75" s="38"/>
      <c r="S75" s="39"/>
      <c r="T75" s="39"/>
      <c r="U75" s="39"/>
      <c r="V75" s="39"/>
      <c r="W75" s="37"/>
      <c r="X75" s="39"/>
      <c r="Y75" s="39"/>
      <c r="Z75" s="39"/>
      <c r="AA75" s="40"/>
      <c r="AC75" s="6"/>
      <c r="AD75" s="6"/>
      <c r="AE75" s="6"/>
      <c r="AF75" s="6"/>
      <c r="AG75" s="6"/>
      <c r="AH75" s="6"/>
      <c r="AI75" s="6"/>
      <c r="AJ75" s="6"/>
      <c r="AK75" s="6"/>
      <c r="AL75" s="6"/>
      <c r="AM75" s="6"/>
      <c r="AN75" s="6"/>
      <c r="AO75" s="6"/>
      <c r="AP75" s="6"/>
      <c r="AQ75" s="6"/>
      <c r="AR75" s="6"/>
      <c r="AT75" s="41" t="e">
        <f t="shared" ref="AT75:AT111" si="1">(W75/$W$9)*100</f>
        <v>#DIV/0!</v>
      </c>
    </row>
    <row r="76" spans="1:64" ht="18" customHeight="1">
      <c r="A76" s="33"/>
      <c r="B76" s="227"/>
      <c r="C76" s="34"/>
      <c r="D76" s="35"/>
      <c r="E76" s="35"/>
      <c r="F76" s="36"/>
      <c r="G76" s="37"/>
      <c r="H76" s="37"/>
      <c r="I76" s="37"/>
      <c r="J76" s="37"/>
      <c r="K76" s="37"/>
      <c r="L76" s="38"/>
      <c r="M76" s="39"/>
      <c r="N76" s="39"/>
      <c r="O76" s="37"/>
      <c r="P76" s="37"/>
      <c r="Q76" s="37"/>
      <c r="R76" s="38"/>
      <c r="S76" s="39"/>
      <c r="T76" s="39"/>
      <c r="U76" s="39"/>
      <c r="V76" s="39"/>
      <c r="W76" s="37"/>
      <c r="X76" s="39"/>
      <c r="Y76" s="39"/>
      <c r="Z76" s="39"/>
      <c r="AA76" s="40"/>
      <c r="AC76" s="6"/>
      <c r="AD76" s="6"/>
      <c r="AE76" s="6"/>
      <c r="AF76" s="6"/>
      <c r="AG76" s="6"/>
      <c r="AH76" s="6"/>
      <c r="AI76" s="6"/>
      <c r="AJ76" s="6"/>
      <c r="AK76" s="6"/>
      <c r="AL76" s="6"/>
      <c r="AM76" s="6"/>
      <c r="AN76" s="6"/>
      <c r="AO76" s="6"/>
      <c r="AP76" s="6"/>
      <c r="AQ76" s="6"/>
      <c r="AR76" s="6"/>
      <c r="AT76" s="41" t="e">
        <f t="shared" si="1"/>
        <v>#DIV/0!</v>
      </c>
    </row>
    <row r="77" spans="1:64" ht="18" customHeight="1">
      <c r="A77" s="33"/>
      <c r="B77" s="227"/>
      <c r="C77" s="34"/>
      <c r="D77" s="35"/>
      <c r="E77" s="35"/>
      <c r="F77" s="36"/>
      <c r="G77" s="37"/>
      <c r="H77" s="37"/>
      <c r="I77" s="37"/>
      <c r="J77" s="37"/>
      <c r="K77" s="37"/>
      <c r="L77" s="38"/>
      <c r="M77" s="39"/>
      <c r="N77" s="39"/>
      <c r="O77" s="37"/>
      <c r="P77" s="37"/>
      <c r="Q77" s="37"/>
      <c r="R77" s="38"/>
      <c r="S77" s="39"/>
      <c r="T77" s="39"/>
      <c r="U77" s="39"/>
      <c r="V77" s="39"/>
      <c r="W77" s="37"/>
      <c r="X77" s="39"/>
      <c r="Y77" s="39"/>
      <c r="Z77" s="39"/>
      <c r="AA77" s="40"/>
      <c r="AC77" s="6"/>
      <c r="AD77" s="6"/>
      <c r="AE77" s="6"/>
      <c r="AF77" s="6"/>
      <c r="AG77" s="6"/>
      <c r="AH77" s="6"/>
      <c r="AI77" s="6"/>
      <c r="AJ77" s="6"/>
      <c r="AK77" s="6"/>
      <c r="AL77" s="6"/>
      <c r="AM77" s="6"/>
      <c r="AN77" s="6"/>
      <c r="AO77" s="6"/>
      <c r="AP77" s="6"/>
      <c r="AQ77" s="6"/>
      <c r="AR77" s="6"/>
      <c r="AT77" s="41" t="e">
        <f t="shared" si="1"/>
        <v>#DIV/0!</v>
      </c>
    </row>
    <row r="78" spans="1:64" ht="18" customHeight="1">
      <c r="A78" s="33"/>
      <c r="B78" s="227"/>
      <c r="C78" s="34"/>
      <c r="D78" s="35"/>
      <c r="E78" s="35"/>
      <c r="F78" s="36"/>
      <c r="G78" s="37"/>
      <c r="H78" s="37"/>
      <c r="I78" s="37"/>
      <c r="J78" s="37"/>
      <c r="K78" s="37"/>
      <c r="L78" s="38"/>
      <c r="M78" s="39"/>
      <c r="N78" s="39"/>
      <c r="O78" s="37"/>
      <c r="P78" s="37"/>
      <c r="Q78" s="37"/>
      <c r="R78" s="38"/>
      <c r="S78" s="39"/>
      <c r="T78" s="39"/>
      <c r="U78" s="39"/>
      <c r="V78" s="39"/>
      <c r="W78" s="37"/>
      <c r="X78" s="39"/>
      <c r="Y78" s="39"/>
      <c r="Z78" s="39"/>
      <c r="AA78" s="40"/>
      <c r="AC78" s="6"/>
      <c r="AD78" s="6"/>
      <c r="AE78" s="6"/>
      <c r="AF78" s="6"/>
      <c r="AG78" s="6"/>
      <c r="AH78" s="6"/>
      <c r="AI78" s="6"/>
      <c r="AJ78" s="6"/>
      <c r="AK78" s="6"/>
      <c r="AL78" s="6"/>
      <c r="AM78" s="6"/>
      <c r="AN78" s="6"/>
      <c r="AO78" s="6"/>
      <c r="AP78" s="6"/>
      <c r="AQ78" s="6"/>
      <c r="AR78" s="6"/>
      <c r="AT78" s="41" t="e">
        <f t="shared" si="1"/>
        <v>#DIV/0!</v>
      </c>
    </row>
    <row r="79" spans="1:64" ht="18" customHeight="1">
      <c r="A79" s="33"/>
      <c r="B79" s="227"/>
      <c r="C79" s="34"/>
      <c r="D79" s="35"/>
      <c r="E79" s="35"/>
      <c r="F79" s="36"/>
      <c r="G79" s="37"/>
      <c r="H79" s="37"/>
      <c r="I79" s="37"/>
      <c r="J79" s="37"/>
      <c r="K79" s="37"/>
      <c r="L79" s="38"/>
      <c r="M79" s="39"/>
      <c r="N79" s="39"/>
      <c r="O79" s="37"/>
      <c r="P79" s="37"/>
      <c r="Q79" s="37"/>
      <c r="R79" s="38"/>
      <c r="S79" s="39"/>
      <c r="T79" s="39"/>
      <c r="U79" s="39"/>
      <c r="V79" s="39"/>
      <c r="W79" s="37"/>
      <c r="X79" s="39"/>
      <c r="Y79" s="39"/>
      <c r="Z79" s="39"/>
      <c r="AA79" s="40"/>
      <c r="AC79" s="6"/>
      <c r="AD79" s="6"/>
      <c r="AE79" s="6"/>
      <c r="AF79" s="6"/>
      <c r="AG79" s="6"/>
      <c r="AH79" s="6"/>
      <c r="AI79" s="6"/>
      <c r="AJ79" s="6"/>
      <c r="AK79" s="6"/>
      <c r="AL79" s="6"/>
      <c r="AM79" s="6"/>
      <c r="AN79" s="6"/>
      <c r="AO79" s="6"/>
      <c r="AP79" s="6"/>
      <c r="AQ79" s="6"/>
      <c r="AR79" s="6"/>
      <c r="AT79" s="41" t="e">
        <f t="shared" si="1"/>
        <v>#DIV/0!</v>
      </c>
    </row>
    <row r="80" spans="1:64" ht="18" customHeight="1">
      <c r="A80" s="33"/>
      <c r="B80" s="227"/>
      <c r="C80" s="34"/>
      <c r="D80" s="35"/>
      <c r="E80" s="35"/>
      <c r="F80" s="36"/>
      <c r="G80" s="37"/>
      <c r="H80" s="37"/>
      <c r="I80" s="37"/>
      <c r="J80" s="37"/>
      <c r="K80" s="37"/>
      <c r="L80" s="38"/>
      <c r="M80" s="39"/>
      <c r="N80" s="39"/>
      <c r="O80" s="37"/>
      <c r="P80" s="37"/>
      <c r="Q80" s="37"/>
      <c r="R80" s="38"/>
      <c r="S80" s="39"/>
      <c r="T80" s="39"/>
      <c r="U80" s="39"/>
      <c r="V80" s="39"/>
      <c r="W80" s="37"/>
      <c r="X80" s="39"/>
      <c r="Y80" s="39"/>
      <c r="Z80" s="39"/>
      <c r="AA80" s="40"/>
      <c r="AC80" s="6"/>
      <c r="AD80" s="6"/>
      <c r="AE80" s="6"/>
      <c r="AF80" s="6"/>
      <c r="AG80" s="6"/>
      <c r="AH80" s="6"/>
      <c r="AI80" s="6"/>
      <c r="AJ80" s="6"/>
      <c r="AK80" s="6"/>
      <c r="AL80" s="6"/>
      <c r="AM80" s="6"/>
      <c r="AN80" s="6"/>
      <c r="AO80" s="6"/>
      <c r="AP80" s="6"/>
      <c r="AQ80" s="6"/>
      <c r="AR80" s="6"/>
      <c r="AT80" s="41" t="e">
        <f t="shared" si="1"/>
        <v>#DIV/0!</v>
      </c>
    </row>
    <row r="81" spans="1:46" ht="18" customHeight="1">
      <c r="A81" s="33"/>
      <c r="B81" s="227"/>
      <c r="C81" s="34"/>
      <c r="D81" s="35"/>
      <c r="E81" s="35"/>
      <c r="F81" s="36"/>
      <c r="G81" s="37"/>
      <c r="H81" s="37"/>
      <c r="I81" s="37"/>
      <c r="J81" s="37"/>
      <c r="K81" s="37"/>
      <c r="L81" s="38"/>
      <c r="M81" s="39"/>
      <c r="N81" s="39"/>
      <c r="O81" s="37"/>
      <c r="P81" s="37"/>
      <c r="Q81" s="37"/>
      <c r="R81" s="38"/>
      <c r="S81" s="39"/>
      <c r="T81" s="39"/>
      <c r="U81" s="39"/>
      <c r="V81" s="39"/>
      <c r="W81" s="37"/>
      <c r="X81" s="39"/>
      <c r="Y81" s="39"/>
      <c r="Z81" s="39"/>
      <c r="AA81" s="40"/>
      <c r="AC81" s="6"/>
      <c r="AD81" s="6"/>
      <c r="AE81" s="6"/>
      <c r="AF81" s="6"/>
      <c r="AG81" s="6"/>
      <c r="AH81" s="6"/>
      <c r="AI81" s="6"/>
      <c r="AJ81" s="6"/>
      <c r="AK81" s="6"/>
      <c r="AL81" s="6"/>
      <c r="AM81" s="6"/>
      <c r="AN81" s="6"/>
      <c r="AO81" s="6"/>
      <c r="AP81" s="6"/>
      <c r="AQ81" s="6"/>
      <c r="AR81" s="6"/>
      <c r="AT81" s="41" t="e">
        <f t="shared" si="1"/>
        <v>#DIV/0!</v>
      </c>
    </row>
    <row r="82" spans="1:46" ht="18" customHeight="1">
      <c r="A82" s="33"/>
      <c r="B82" s="227"/>
      <c r="C82" s="34"/>
      <c r="D82" s="35"/>
      <c r="E82" s="35"/>
      <c r="F82" s="36"/>
      <c r="G82" s="37"/>
      <c r="H82" s="37"/>
      <c r="I82" s="37"/>
      <c r="J82" s="37"/>
      <c r="K82" s="37"/>
      <c r="L82" s="38"/>
      <c r="M82" s="39"/>
      <c r="N82" s="39"/>
      <c r="O82" s="37"/>
      <c r="P82" s="37"/>
      <c r="Q82" s="37"/>
      <c r="R82" s="38"/>
      <c r="S82" s="39"/>
      <c r="T82" s="39"/>
      <c r="U82" s="39"/>
      <c r="V82" s="39"/>
      <c r="W82" s="37"/>
      <c r="X82" s="39"/>
      <c r="Y82" s="39"/>
      <c r="Z82" s="39"/>
      <c r="AA82" s="40"/>
      <c r="AC82" s="6"/>
      <c r="AD82" s="6"/>
      <c r="AE82" s="6"/>
      <c r="AF82" s="6"/>
      <c r="AG82" s="6"/>
      <c r="AH82" s="6"/>
      <c r="AI82" s="6"/>
      <c r="AJ82" s="6"/>
      <c r="AK82" s="6"/>
      <c r="AL82" s="6"/>
      <c r="AM82" s="6"/>
      <c r="AN82" s="6"/>
      <c r="AO82" s="6"/>
      <c r="AP82" s="6"/>
      <c r="AQ82" s="6"/>
      <c r="AR82" s="6"/>
      <c r="AT82" s="41" t="e">
        <f t="shared" si="1"/>
        <v>#DIV/0!</v>
      </c>
    </row>
    <row r="83" spans="1:46" ht="18" customHeight="1">
      <c r="A83" s="33"/>
      <c r="B83" s="227"/>
      <c r="C83" s="34"/>
      <c r="D83" s="35"/>
      <c r="E83" s="35"/>
      <c r="F83" s="36"/>
      <c r="G83" s="37"/>
      <c r="H83" s="37"/>
      <c r="I83" s="37"/>
      <c r="J83" s="37"/>
      <c r="K83" s="37"/>
      <c r="L83" s="38"/>
      <c r="M83" s="39"/>
      <c r="N83" s="39"/>
      <c r="O83" s="37"/>
      <c r="P83" s="37"/>
      <c r="Q83" s="37"/>
      <c r="R83" s="38"/>
      <c r="S83" s="39"/>
      <c r="T83" s="39"/>
      <c r="U83" s="39"/>
      <c r="V83" s="39"/>
      <c r="W83" s="37"/>
      <c r="X83" s="39"/>
      <c r="Y83" s="39"/>
      <c r="Z83" s="39"/>
      <c r="AA83" s="40"/>
      <c r="AC83" s="6"/>
      <c r="AD83" s="6"/>
      <c r="AE83" s="6"/>
      <c r="AF83" s="6"/>
      <c r="AG83" s="6"/>
      <c r="AH83" s="6"/>
      <c r="AI83" s="6"/>
      <c r="AJ83" s="6"/>
      <c r="AK83" s="6"/>
      <c r="AL83" s="6"/>
      <c r="AM83" s="6"/>
      <c r="AN83" s="6"/>
      <c r="AO83" s="6"/>
      <c r="AP83" s="6"/>
      <c r="AQ83" s="6"/>
      <c r="AR83" s="6"/>
      <c r="AT83" s="41" t="e">
        <f t="shared" si="1"/>
        <v>#DIV/0!</v>
      </c>
    </row>
    <row r="84" spans="1:46" ht="18" customHeight="1">
      <c r="A84" s="33"/>
      <c r="B84" s="227"/>
      <c r="C84" s="34"/>
      <c r="D84" s="35"/>
      <c r="E84" s="35"/>
      <c r="F84" s="36"/>
      <c r="G84" s="37"/>
      <c r="H84" s="37"/>
      <c r="I84" s="37"/>
      <c r="J84" s="37"/>
      <c r="K84" s="37"/>
      <c r="L84" s="38"/>
      <c r="M84" s="39"/>
      <c r="N84" s="39"/>
      <c r="O84" s="37"/>
      <c r="P84" s="37"/>
      <c r="Q84" s="37"/>
      <c r="R84" s="38"/>
      <c r="S84" s="39"/>
      <c r="T84" s="39"/>
      <c r="U84" s="39"/>
      <c r="V84" s="39"/>
      <c r="W84" s="37"/>
      <c r="X84" s="39"/>
      <c r="Y84" s="39"/>
      <c r="Z84" s="39"/>
      <c r="AA84" s="40"/>
      <c r="AC84" s="6"/>
      <c r="AD84" s="6"/>
      <c r="AE84" s="6"/>
      <c r="AF84" s="6"/>
      <c r="AG84" s="6"/>
      <c r="AH84" s="6"/>
      <c r="AI84" s="6"/>
      <c r="AJ84" s="6"/>
      <c r="AK84" s="6"/>
      <c r="AL84" s="6"/>
      <c r="AM84" s="6"/>
      <c r="AN84" s="6"/>
      <c r="AO84" s="6"/>
      <c r="AP84" s="6"/>
      <c r="AQ84" s="6"/>
      <c r="AR84" s="6"/>
      <c r="AT84" s="41" t="e">
        <f t="shared" si="1"/>
        <v>#DIV/0!</v>
      </c>
    </row>
    <row r="85" spans="1:46" ht="18" customHeight="1">
      <c r="A85" s="33"/>
      <c r="B85" s="227"/>
      <c r="C85" s="34"/>
      <c r="D85" s="35"/>
      <c r="E85" s="35"/>
      <c r="F85" s="36"/>
      <c r="G85" s="37"/>
      <c r="H85" s="37"/>
      <c r="I85" s="37"/>
      <c r="J85" s="37"/>
      <c r="K85" s="37"/>
      <c r="L85" s="38"/>
      <c r="M85" s="39"/>
      <c r="N85" s="39"/>
      <c r="O85" s="37"/>
      <c r="P85" s="37"/>
      <c r="Q85" s="37"/>
      <c r="R85" s="38"/>
      <c r="S85" s="39"/>
      <c r="T85" s="39"/>
      <c r="U85" s="39"/>
      <c r="V85" s="39"/>
      <c r="W85" s="37"/>
      <c r="X85" s="39"/>
      <c r="Y85" s="39"/>
      <c r="Z85" s="39"/>
      <c r="AA85" s="40"/>
      <c r="AC85" s="6"/>
      <c r="AD85" s="6"/>
      <c r="AE85" s="6"/>
      <c r="AF85" s="6"/>
      <c r="AG85" s="6"/>
      <c r="AH85" s="6"/>
      <c r="AI85" s="6"/>
      <c r="AJ85" s="6"/>
      <c r="AK85" s="6"/>
      <c r="AL85" s="6"/>
      <c r="AM85" s="6"/>
      <c r="AN85" s="6"/>
      <c r="AO85" s="6"/>
      <c r="AP85" s="6"/>
      <c r="AQ85" s="6"/>
      <c r="AR85" s="6"/>
      <c r="AT85" s="41" t="e">
        <f t="shared" si="1"/>
        <v>#DIV/0!</v>
      </c>
    </row>
    <row r="86" spans="1:46" ht="18" customHeight="1">
      <c r="A86" s="33"/>
      <c r="B86" s="227"/>
      <c r="C86" s="34"/>
      <c r="D86" s="35"/>
      <c r="E86" s="35"/>
      <c r="F86" s="36"/>
      <c r="G86" s="37"/>
      <c r="H86" s="37"/>
      <c r="I86" s="37"/>
      <c r="J86" s="37"/>
      <c r="K86" s="37"/>
      <c r="L86" s="38"/>
      <c r="M86" s="39"/>
      <c r="N86" s="39"/>
      <c r="O86" s="37"/>
      <c r="P86" s="37"/>
      <c r="Q86" s="37"/>
      <c r="R86" s="38"/>
      <c r="S86" s="39"/>
      <c r="T86" s="39"/>
      <c r="U86" s="39"/>
      <c r="V86" s="39"/>
      <c r="W86" s="37"/>
      <c r="X86" s="39"/>
      <c r="Y86" s="39"/>
      <c r="Z86" s="39"/>
      <c r="AA86" s="40"/>
      <c r="AC86" s="6"/>
      <c r="AD86" s="6"/>
      <c r="AE86" s="6"/>
      <c r="AF86" s="6"/>
      <c r="AG86" s="6"/>
      <c r="AH86" s="6"/>
      <c r="AI86" s="6"/>
      <c r="AJ86" s="6"/>
      <c r="AK86" s="6"/>
      <c r="AL86" s="6"/>
      <c r="AM86" s="6"/>
      <c r="AN86" s="6"/>
      <c r="AO86" s="6"/>
      <c r="AP86" s="6"/>
      <c r="AQ86" s="6"/>
      <c r="AR86" s="6"/>
      <c r="AT86" s="41" t="e">
        <f t="shared" si="1"/>
        <v>#DIV/0!</v>
      </c>
    </row>
    <row r="87" spans="1:46" ht="18" customHeight="1">
      <c r="A87" s="33"/>
      <c r="B87" s="227"/>
      <c r="C87" s="34"/>
      <c r="D87" s="35"/>
      <c r="E87" s="35"/>
      <c r="F87" s="36"/>
      <c r="G87" s="37"/>
      <c r="H87" s="37"/>
      <c r="I87" s="37"/>
      <c r="J87" s="37"/>
      <c r="K87" s="37"/>
      <c r="L87" s="38"/>
      <c r="M87" s="39"/>
      <c r="N87" s="39"/>
      <c r="O87" s="37"/>
      <c r="P87" s="37"/>
      <c r="Q87" s="37"/>
      <c r="R87" s="38"/>
      <c r="S87" s="39"/>
      <c r="T87" s="39"/>
      <c r="U87" s="39"/>
      <c r="V87" s="39"/>
      <c r="W87" s="37"/>
      <c r="X87" s="39"/>
      <c r="Y87" s="39"/>
      <c r="Z87" s="39"/>
      <c r="AA87" s="40"/>
      <c r="AC87" s="6"/>
      <c r="AD87" s="6"/>
      <c r="AE87" s="6"/>
      <c r="AF87" s="6"/>
      <c r="AG87" s="6"/>
      <c r="AH87" s="6"/>
      <c r="AI87" s="6"/>
      <c r="AJ87" s="6"/>
      <c r="AK87" s="6"/>
      <c r="AL87" s="6"/>
      <c r="AM87" s="6"/>
      <c r="AN87" s="6"/>
      <c r="AO87" s="6"/>
      <c r="AP87" s="6"/>
      <c r="AQ87" s="6"/>
      <c r="AR87" s="6"/>
      <c r="AT87" s="41" t="e">
        <f t="shared" si="1"/>
        <v>#DIV/0!</v>
      </c>
    </row>
    <row r="88" spans="1:46" ht="18" customHeight="1">
      <c r="A88" s="33"/>
      <c r="B88" s="227"/>
      <c r="C88" s="34"/>
      <c r="D88" s="35"/>
      <c r="E88" s="35"/>
      <c r="F88" s="36"/>
      <c r="G88" s="37"/>
      <c r="H88" s="37"/>
      <c r="I88" s="37"/>
      <c r="J88" s="37"/>
      <c r="K88" s="37"/>
      <c r="L88" s="38"/>
      <c r="M88" s="39"/>
      <c r="N88" s="39"/>
      <c r="O88" s="37"/>
      <c r="P88" s="37"/>
      <c r="Q88" s="37"/>
      <c r="R88" s="38"/>
      <c r="S88" s="39"/>
      <c r="T88" s="39"/>
      <c r="U88" s="39"/>
      <c r="V88" s="39"/>
      <c r="W88" s="37"/>
      <c r="X88" s="39"/>
      <c r="Y88" s="39"/>
      <c r="Z88" s="39"/>
      <c r="AA88" s="40"/>
      <c r="AC88" s="6"/>
      <c r="AD88" s="6"/>
      <c r="AE88" s="6"/>
      <c r="AF88" s="6"/>
      <c r="AG88" s="6"/>
      <c r="AH88" s="6"/>
      <c r="AI88" s="6"/>
      <c r="AJ88" s="6"/>
      <c r="AK88" s="6"/>
      <c r="AL88" s="6"/>
      <c r="AM88" s="6"/>
      <c r="AN88" s="6"/>
      <c r="AO88" s="6"/>
      <c r="AP88" s="6"/>
      <c r="AQ88" s="6"/>
      <c r="AR88" s="6"/>
      <c r="AT88" s="41" t="e">
        <f t="shared" si="1"/>
        <v>#DIV/0!</v>
      </c>
    </row>
    <row r="89" spans="1:46" ht="18" customHeight="1">
      <c r="A89" s="33"/>
      <c r="B89" s="227"/>
      <c r="C89" s="34"/>
      <c r="D89" s="35"/>
      <c r="E89" s="35"/>
      <c r="F89" s="36"/>
      <c r="G89" s="37"/>
      <c r="H89" s="37"/>
      <c r="I89" s="37"/>
      <c r="J89" s="37"/>
      <c r="K89" s="37"/>
      <c r="L89" s="38"/>
      <c r="M89" s="39"/>
      <c r="N89" s="39"/>
      <c r="O89" s="37"/>
      <c r="P89" s="37"/>
      <c r="Q89" s="37"/>
      <c r="R89" s="38"/>
      <c r="S89" s="39"/>
      <c r="T89" s="39"/>
      <c r="U89" s="39"/>
      <c r="V89" s="39"/>
      <c r="W89" s="37"/>
      <c r="X89" s="39"/>
      <c r="Y89" s="39"/>
      <c r="Z89" s="39"/>
      <c r="AA89" s="40"/>
      <c r="AC89" s="6"/>
      <c r="AD89" s="6"/>
      <c r="AE89" s="6"/>
      <c r="AF89" s="6"/>
      <c r="AG89" s="6"/>
      <c r="AH89" s="6"/>
      <c r="AI89" s="6"/>
      <c r="AJ89" s="6"/>
      <c r="AK89" s="6"/>
      <c r="AL89" s="6"/>
      <c r="AM89" s="6"/>
      <c r="AN89" s="6"/>
      <c r="AO89" s="6"/>
      <c r="AP89" s="6"/>
      <c r="AQ89" s="6"/>
      <c r="AR89" s="6"/>
      <c r="AT89" s="41" t="e">
        <f t="shared" si="1"/>
        <v>#DIV/0!</v>
      </c>
    </row>
    <row r="90" spans="1:46" ht="18" customHeight="1">
      <c r="A90" s="33"/>
      <c r="B90" s="227"/>
      <c r="C90" s="34"/>
      <c r="D90" s="35"/>
      <c r="E90" s="35"/>
      <c r="F90" s="36"/>
      <c r="G90" s="37"/>
      <c r="H90" s="37"/>
      <c r="I90" s="37"/>
      <c r="J90" s="37"/>
      <c r="K90" s="37"/>
      <c r="L90" s="38"/>
      <c r="M90" s="39"/>
      <c r="N90" s="39"/>
      <c r="O90" s="37"/>
      <c r="P90" s="37"/>
      <c r="Q90" s="37"/>
      <c r="R90" s="38"/>
      <c r="S90" s="39"/>
      <c r="T90" s="39"/>
      <c r="U90" s="39"/>
      <c r="V90" s="39"/>
      <c r="W90" s="37"/>
      <c r="X90" s="39"/>
      <c r="Y90" s="39"/>
      <c r="Z90" s="39"/>
      <c r="AA90" s="40"/>
      <c r="AC90" s="6"/>
      <c r="AD90" s="6"/>
      <c r="AE90" s="6"/>
      <c r="AF90" s="6"/>
      <c r="AG90" s="6"/>
      <c r="AH90" s="6"/>
      <c r="AI90" s="6"/>
      <c r="AJ90" s="6"/>
      <c r="AK90" s="6"/>
      <c r="AL90" s="6"/>
      <c r="AM90" s="6"/>
      <c r="AN90" s="6"/>
      <c r="AO90" s="6"/>
      <c r="AP90" s="6"/>
      <c r="AQ90" s="6"/>
      <c r="AR90" s="6"/>
      <c r="AT90" s="41" t="e">
        <f t="shared" si="1"/>
        <v>#DIV/0!</v>
      </c>
    </row>
    <row r="91" spans="1:46" ht="18" customHeight="1">
      <c r="A91" s="33"/>
      <c r="B91" s="227"/>
      <c r="C91" s="34"/>
      <c r="D91" s="35"/>
      <c r="E91" s="35"/>
      <c r="F91" s="36"/>
      <c r="G91" s="37"/>
      <c r="H91" s="37"/>
      <c r="I91" s="37"/>
      <c r="J91" s="37"/>
      <c r="K91" s="37"/>
      <c r="L91" s="38"/>
      <c r="M91" s="39"/>
      <c r="N91" s="39"/>
      <c r="O91" s="37"/>
      <c r="P91" s="37"/>
      <c r="Q91" s="37"/>
      <c r="R91" s="38"/>
      <c r="S91" s="39"/>
      <c r="T91" s="39"/>
      <c r="U91" s="39"/>
      <c r="V91" s="39"/>
      <c r="W91" s="37"/>
      <c r="X91" s="39"/>
      <c r="Y91" s="39"/>
      <c r="Z91" s="39"/>
      <c r="AA91" s="40"/>
      <c r="AC91" s="6"/>
      <c r="AD91" s="6"/>
      <c r="AE91" s="6"/>
      <c r="AF91" s="6"/>
      <c r="AG91" s="6"/>
      <c r="AH91" s="6"/>
      <c r="AI91" s="6"/>
      <c r="AJ91" s="6"/>
      <c r="AK91" s="6"/>
      <c r="AL91" s="6"/>
      <c r="AM91" s="6"/>
      <c r="AN91" s="6"/>
      <c r="AO91" s="6"/>
      <c r="AP91" s="6"/>
      <c r="AQ91" s="6"/>
      <c r="AR91" s="6"/>
      <c r="AT91" s="41" t="e">
        <f t="shared" si="1"/>
        <v>#DIV/0!</v>
      </c>
    </row>
    <row r="92" spans="1:46" ht="18" customHeight="1">
      <c r="A92" s="33"/>
      <c r="B92" s="227"/>
      <c r="C92" s="34"/>
      <c r="D92" s="35"/>
      <c r="E92" s="35"/>
      <c r="F92" s="36"/>
      <c r="G92" s="37"/>
      <c r="H92" s="37"/>
      <c r="I92" s="37"/>
      <c r="J92" s="37"/>
      <c r="K92" s="37"/>
      <c r="L92" s="38"/>
      <c r="M92" s="39"/>
      <c r="N92" s="39"/>
      <c r="O92" s="37"/>
      <c r="P92" s="37"/>
      <c r="Q92" s="37"/>
      <c r="R92" s="38"/>
      <c r="S92" s="39"/>
      <c r="T92" s="39"/>
      <c r="U92" s="39"/>
      <c r="V92" s="39"/>
      <c r="W92" s="37"/>
      <c r="X92" s="39"/>
      <c r="Y92" s="39"/>
      <c r="Z92" s="39"/>
      <c r="AA92" s="40"/>
      <c r="AC92" s="6"/>
      <c r="AD92" s="6"/>
      <c r="AE92" s="6"/>
      <c r="AF92" s="6"/>
      <c r="AG92" s="6"/>
      <c r="AH92" s="6"/>
      <c r="AI92" s="6"/>
      <c r="AJ92" s="6"/>
      <c r="AK92" s="6"/>
      <c r="AL92" s="6"/>
      <c r="AM92" s="6"/>
      <c r="AN92" s="6"/>
      <c r="AO92" s="6"/>
      <c r="AP92" s="6"/>
      <c r="AQ92" s="6"/>
      <c r="AR92" s="6"/>
      <c r="AT92" s="41" t="e">
        <f t="shared" si="1"/>
        <v>#DIV/0!</v>
      </c>
    </row>
    <row r="93" spans="1:46" ht="18" customHeight="1">
      <c r="A93" s="33"/>
      <c r="B93" s="227"/>
      <c r="C93" s="34"/>
      <c r="D93" s="35"/>
      <c r="E93" s="35"/>
      <c r="F93" s="36"/>
      <c r="G93" s="37"/>
      <c r="H93" s="37"/>
      <c r="I93" s="37"/>
      <c r="J93" s="37"/>
      <c r="K93" s="37"/>
      <c r="L93" s="38"/>
      <c r="M93" s="39"/>
      <c r="N93" s="39"/>
      <c r="O93" s="37"/>
      <c r="P93" s="37"/>
      <c r="Q93" s="37"/>
      <c r="R93" s="38"/>
      <c r="S93" s="39"/>
      <c r="T93" s="39"/>
      <c r="U93" s="39"/>
      <c r="V93" s="39"/>
      <c r="W93" s="37"/>
      <c r="X93" s="39"/>
      <c r="Y93" s="39"/>
      <c r="Z93" s="39"/>
      <c r="AA93" s="40"/>
      <c r="AC93" s="6"/>
      <c r="AD93" s="6"/>
      <c r="AE93" s="6"/>
      <c r="AF93" s="6"/>
      <c r="AG93" s="6"/>
      <c r="AH93" s="6"/>
      <c r="AI93" s="6"/>
      <c r="AJ93" s="6"/>
      <c r="AK93" s="6"/>
      <c r="AL93" s="6"/>
      <c r="AM93" s="6"/>
      <c r="AN93" s="6"/>
      <c r="AO93" s="6"/>
      <c r="AP93" s="6"/>
      <c r="AQ93" s="6"/>
      <c r="AR93" s="6"/>
      <c r="AT93" s="41" t="e">
        <f t="shared" si="1"/>
        <v>#DIV/0!</v>
      </c>
    </row>
    <row r="94" spans="1:46" ht="18" customHeight="1">
      <c r="A94" s="33"/>
      <c r="B94" s="227"/>
      <c r="C94" s="34"/>
      <c r="D94" s="35"/>
      <c r="E94" s="35"/>
      <c r="F94" s="36"/>
      <c r="G94" s="37"/>
      <c r="H94" s="37"/>
      <c r="I94" s="37"/>
      <c r="J94" s="37"/>
      <c r="K94" s="37"/>
      <c r="L94" s="38"/>
      <c r="M94" s="39"/>
      <c r="N94" s="39"/>
      <c r="O94" s="37"/>
      <c r="P94" s="37"/>
      <c r="Q94" s="37"/>
      <c r="R94" s="38"/>
      <c r="S94" s="39"/>
      <c r="T94" s="39"/>
      <c r="U94" s="39"/>
      <c r="V94" s="39"/>
      <c r="W94" s="37"/>
      <c r="X94" s="39"/>
      <c r="Y94" s="39"/>
      <c r="Z94" s="39"/>
      <c r="AA94" s="40"/>
      <c r="AC94" s="6"/>
      <c r="AD94" s="6"/>
      <c r="AE94" s="6"/>
      <c r="AF94" s="6"/>
      <c r="AG94" s="6"/>
      <c r="AH94" s="6"/>
      <c r="AI94" s="6"/>
      <c r="AJ94" s="6"/>
      <c r="AK94" s="6"/>
      <c r="AL94" s="6"/>
      <c r="AM94" s="6"/>
      <c r="AN94" s="6"/>
      <c r="AO94" s="6"/>
      <c r="AP94" s="6"/>
      <c r="AQ94" s="6"/>
      <c r="AR94" s="6"/>
      <c r="AT94" s="41" t="e">
        <f t="shared" si="1"/>
        <v>#DIV/0!</v>
      </c>
    </row>
    <row r="95" spans="1:46" ht="18" customHeight="1">
      <c r="A95" s="33"/>
      <c r="B95" s="227"/>
      <c r="C95" s="34"/>
      <c r="D95" s="35"/>
      <c r="E95" s="35"/>
      <c r="F95" s="36"/>
      <c r="G95" s="37"/>
      <c r="H95" s="37"/>
      <c r="I95" s="37"/>
      <c r="J95" s="37"/>
      <c r="K95" s="37"/>
      <c r="L95" s="38"/>
      <c r="M95" s="39"/>
      <c r="N95" s="39"/>
      <c r="O95" s="37"/>
      <c r="P95" s="37"/>
      <c r="Q95" s="37"/>
      <c r="R95" s="38"/>
      <c r="S95" s="39"/>
      <c r="T95" s="39"/>
      <c r="U95" s="39"/>
      <c r="V95" s="39"/>
      <c r="W95" s="37"/>
      <c r="X95" s="39"/>
      <c r="Y95" s="39"/>
      <c r="Z95" s="39"/>
      <c r="AA95" s="40"/>
      <c r="AC95" s="6"/>
      <c r="AD95" s="6"/>
      <c r="AE95" s="6"/>
      <c r="AF95" s="6"/>
      <c r="AG95" s="6"/>
      <c r="AH95" s="6"/>
      <c r="AI95" s="6"/>
      <c r="AJ95" s="6"/>
      <c r="AK95" s="6"/>
      <c r="AL95" s="6"/>
      <c r="AM95" s="6"/>
      <c r="AN95" s="6"/>
      <c r="AO95" s="6"/>
      <c r="AP95" s="6"/>
      <c r="AQ95" s="6"/>
      <c r="AR95" s="6"/>
      <c r="AT95" s="41" t="e">
        <f t="shared" si="1"/>
        <v>#DIV/0!</v>
      </c>
    </row>
    <row r="96" spans="1:46" ht="18" customHeight="1">
      <c r="A96" s="33"/>
      <c r="B96" s="227"/>
      <c r="C96" s="34"/>
      <c r="D96" s="35"/>
      <c r="E96" s="35"/>
      <c r="F96" s="36"/>
      <c r="G96" s="37"/>
      <c r="H96" s="37"/>
      <c r="I96" s="37"/>
      <c r="J96" s="37"/>
      <c r="K96" s="37"/>
      <c r="L96" s="38"/>
      <c r="M96" s="39"/>
      <c r="N96" s="39"/>
      <c r="O96" s="37"/>
      <c r="P96" s="37"/>
      <c r="Q96" s="37"/>
      <c r="R96" s="38"/>
      <c r="S96" s="39"/>
      <c r="T96" s="39"/>
      <c r="U96" s="39"/>
      <c r="V96" s="39"/>
      <c r="W96" s="37"/>
      <c r="X96" s="39"/>
      <c r="Y96" s="39"/>
      <c r="Z96" s="39"/>
      <c r="AA96" s="40"/>
      <c r="AC96" s="6"/>
      <c r="AD96" s="6"/>
      <c r="AE96" s="6"/>
      <c r="AF96" s="6"/>
      <c r="AG96" s="6"/>
      <c r="AH96" s="6"/>
      <c r="AI96" s="6"/>
      <c r="AJ96" s="6"/>
      <c r="AK96" s="6"/>
      <c r="AL96" s="6"/>
      <c r="AM96" s="6"/>
      <c r="AN96" s="6"/>
      <c r="AO96" s="6"/>
      <c r="AP96" s="6"/>
      <c r="AQ96" s="6"/>
      <c r="AR96" s="6"/>
      <c r="AT96" s="41" t="e">
        <f t="shared" si="1"/>
        <v>#DIV/0!</v>
      </c>
    </row>
    <row r="97" spans="1:46" ht="18" customHeight="1">
      <c r="A97" s="33"/>
      <c r="B97" s="227"/>
      <c r="C97" s="34"/>
      <c r="D97" s="35"/>
      <c r="E97" s="35"/>
      <c r="F97" s="36"/>
      <c r="G97" s="37"/>
      <c r="H97" s="37"/>
      <c r="I97" s="37"/>
      <c r="J97" s="37"/>
      <c r="K97" s="37"/>
      <c r="L97" s="38"/>
      <c r="M97" s="39"/>
      <c r="N97" s="39"/>
      <c r="O97" s="37"/>
      <c r="P97" s="37"/>
      <c r="Q97" s="37"/>
      <c r="R97" s="38"/>
      <c r="S97" s="39"/>
      <c r="T97" s="39"/>
      <c r="U97" s="39"/>
      <c r="V97" s="39"/>
      <c r="W97" s="37"/>
      <c r="X97" s="39"/>
      <c r="Y97" s="39"/>
      <c r="Z97" s="39"/>
      <c r="AA97" s="40"/>
      <c r="AC97" s="6"/>
      <c r="AD97" s="6"/>
      <c r="AE97" s="6"/>
      <c r="AF97" s="6"/>
      <c r="AG97" s="6"/>
      <c r="AH97" s="6"/>
      <c r="AI97" s="6"/>
      <c r="AJ97" s="6"/>
      <c r="AK97" s="6"/>
      <c r="AL97" s="6"/>
      <c r="AM97" s="6"/>
      <c r="AN97" s="6"/>
      <c r="AO97" s="6"/>
      <c r="AP97" s="6"/>
      <c r="AQ97" s="6"/>
      <c r="AR97" s="6"/>
      <c r="AT97" s="41" t="e">
        <f t="shared" si="1"/>
        <v>#DIV/0!</v>
      </c>
    </row>
    <row r="98" spans="1:46" ht="18" customHeight="1">
      <c r="A98" s="33"/>
      <c r="B98" s="227"/>
      <c r="C98" s="34"/>
      <c r="D98" s="35"/>
      <c r="E98" s="35"/>
      <c r="F98" s="36"/>
      <c r="G98" s="37"/>
      <c r="H98" s="37"/>
      <c r="I98" s="37"/>
      <c r="J98" s="37"/>
      <c r="K98" s="37"/>
      <c r="L98" s="38"/>
      <c r="M98" s="39"/>
      <c r="N98" s="39"/>
      <c r="O98" s="37"/>
      <c r="P98" s="37"/>
      <c r="Q98" s="37"/>
      <c r="R98" s="38"/>
      <c r="S98" s="39"/>
      <c r="T98" s="39"/>
      <c r="U98" s="39"/>
      <c r="V98" s="39"/>
      <c r="W98" s="37"/>
      <c r="X98" s="39"/>
      <c r="Y98" s="39"/>
      <c r="Z98" s="39"/>
      <c r="AA98" s="40"/>
      <c r="AC98" s="6"/>
      <c r="AD98" s="6"/>
      <c r="AE98" s="6"/>
      <c r="AF98" s="6"/>
      <c r="AG98" s="6"/>
      <c r="AH98" s="6"/>
      <c r="AI98" s="6"/>
      <c r="AJ98" s="6"/>
      <c r="AK98" s="6"/>
      <c r="AL98" s="6"/>
      <c r="AM98" s="6"/>
      <c r="AN98" s="6"/>
      <c r="AO98" s="6"/>
      <c r="AP98" s="6"/>
      <c r="AQ98" s="6"/>
      <c r="AR98" s="6"/>
      <c r="AT98" s="41" t="e">
        <f t="shared" si="1"/>
        <v>#DIV/0!</v>
      </c>
    </row>
    <row r="99" spans="1:46" ht="18" customHeight="1">
      <c r="A99" s="33"/>
      <c r="B99" s="227"/>
      <c r="C99" s="34"/>
      <c r="D99" s="35"/>
      <c r="E99" s="35"/>
      <c r="F99" s="36"/>
      <c r="G99" s="37"/>
      <c r="H99" s="37"/>
      <c r="I99" s="37"/>
      <c r="J99" s="37"/>
      <c r="K99" s="37"/>
      <c r="L99" s="38"/>
      <c r="M99" s="39"/>
      <c r="N99" s="39"/>
      <c r="O99" s="37"/>
      <c r="P99" s="37"/>
      <c r="Q99" s="37"/>
      <c r="R99" s="38"/>
      <c r="S99" s="39"/>
      <c r="T99" s="39"/>
      <c r="U99" s="39"/>
      <c r="V99" s="39"/>
      <c r="W99" s="37"/>
      <c r="X99" s="39"/>
      <c r="Y99" s="39"/>
      <c r="Z99" s="39"/>
      <c r="AA99" s="40"/>
      <c r="AC99" s="6"/>
      <c r="AD99" s="6"/>
      <c r="AE99" s="6"/>
      <c r="AF99" s="6"/>
      <c r="AG99" s="6"/>
      <c r="AH99" s="6"/>
      <c r="AI99" s="6"/>
      <c r="AJ99" s="6"/>
      <c r="AK99" s="6"/>
      <c r="AL99" s="6"/>
      <c r="AM99" s="6"/>
      <c r="AN99" s="6"/>
      <c r="AO99" s="6"/>
      <c r="AP99" s="6"/>
      <c r="AQ99" s="6"/>
      <c r="AR99" s="6"/>
      <c r="AT99" s="41" t="e">
        <f t="shared" si="1"/>
        <v>#DIV/0!</v>
      </c>
    </row>
    <row r="100" spans="1:46" ht="18" customHeight="1">
      <c r="A100" s="33"/>
      <c r="B100" s="227"/>
      <c r="C100" s="34"/>
      <c r="D100" s="35"/>
      <c r="E100" s="35"/>
      <c r="F100" s="36"/>
      <c r="G100" s="37"/>
      <c r="H100" s="37"/>
      <c r="I100" s="37"/>
      <c r="J100" s="37"/>
      <c r="K100" s="37"/>
      <c r="L100" s="38"/>
      <c r="M100" s="39"/>
      <c r="N100" s="39"/>
      <c r="O100" s="37"/>
      <c r="P100" s="37"/>
      <c r="Q100" s="37"/>
      <c r="R100" s="38"/>
      <c r="S100" s="39"/>
      <c r="T100" s="39"/>
      <c r="U100" s="39"/>
      <c r="V100" s="39"/>
      <c r="W100" s="37"/>
      <c r="X100" s="39"/>
      <c r="Y100" s="39"/>
      <c r="Z100" s="39"/>
      <c r="AA100" s="40"/>
      <c r="AC100" s="6"/>
      <c r="AD100" s="6"/>
      <c r="AE100" s="6"/>
      <c r="AF100" s="6"/>
      <c r="AG100" s="6"/>
      <c r="AH100" s="6"/>
      <c r="AI100" s="6"/>
      <c r="AJ100" s="6"/>
      <c r="AK100" s="6"/>
      <c r="AL100" s="6"/>
      <c r="AM100" s="6"/>
      <c r="AN100" s="6"/>
      <c r="AO100" s="6"/>
      <c r="AP100" s="6"/>
      <c r="AQ100" s="6"/>
      <c r="AR100" s="6"/>
      <c r="AT100" s="41" t="e">
        <f t="shared" si="1"/>
        <v>#DIV/0!</v>
      </c>
    </row>
    <row r="101" spans="1:46" ht="18" customHeight="1">
      <c r="A101" s="33"/>
      <c r="B101" s="227"/>
      <c r="C101" s="34"/>
      <c r="D101" s="35"/>
      <c r="E101" s="35"/>
      <c r="F101" s="36"/>
      <c r="G101" s="37"/>
      <c r="H101" s="37"/>
      <c r="I101" s="37"/>
      <c r="J101" s="37"/>
      <c r="K101" s="37"/>
      <c r="L101" s="38"/>
      <c r="M101" s="39"/>
      <c r="N101" s="39"/>
      <c r="O101" s="37"/>
      <c r="P101" s="37"/>
      <c r="Q101" s="37"/>
      <c r="R101" s="38"/>
      <c r="S101" s="39"/>
      <c r="T101" s="39"/>
      <c r="U101" s="39"/>
      <c r="V101" s="39"/>
      <c r="W101" s="37"/>
      <c r="X101" s="39"/>
      <c r="Y101" s="39"/>
      <c r="Z101" s="39"/>
      <c r="AA101" s="40"/>
      <c r="AC101" s="6"/>
      <c r="AD101" s="6"/>
      <c r="AE101" s="6"/>
      <c r="AF101" s="6"/>
      <c r="AG101" s="6"/>
      <c r="AH101" s="6"/>
      <c r="AI101" s="6"/>
      <c r="AJ101" s="6"/>
      <c r="AK101" s="6"/>
      <c r="AL101" s="6"/>
      <c r="AM101" s="6"/>
      <c r="AN101" s="6"/>
      <c r="AO101" s="6"/>
      <c r="AP101" s="6"/>
      <c r="AQ101" s="6"/>
      <c r="AR101" s="6"/>
      <c r="AT101" s="41" t="e">
        <f t="shared" si="1"/>
        <v>#DIV/0!</v>
      </c>
    </row>
    <row r="102" spans="1:46" ht="18" customHeight="1">
      <c r="A102" s="33"/>
      <c r="B102" s="227"/>
      <c r="C102" s="34"/>
      <c r="D102" s="35"/>
      <c r="E102" s="35"/>
      <c r="F102" s="36"/>
      <c r="G102" s="37"/>
      <c r="H102" s="37"/>
      <c r="I102" s="37"/>
      <c r="J102" s="37"/>
      <c r="K102" s="37"/>
      <c r="L102" s="38"/>
      <c r="M102" s="39"/>
      <c r="N102" s="39"/>
      <c r="O102" s="37"/>
      <c r="P102" s="37"/>
      <c r="Q102" s="37"/>
      <c r="R102" s="38"/>
      <c r="S102" s="39"/>
      <c r="T102" s="39"/>
      <c r="U102" s="39"/>
      <c r="V102" s="39"/>
      <c r="W102" s="37"/>
      <c r="X102" s="39"/>
      <c r="Y102" s="39"/>
      <c r="Z102" s="39"/>
      <c r="AA102" s="40"/>
      <c r="AC102" s="6"/>
      <c r="AD102" s="6"/>
      <c r="AE102" s="6"/>
      <c r="AF102" s="6"/>
      <c r="AG102" s="6"/>
      <c r="AH102" s="6"/>
      <c r="AI102" s="6"/>
      <c r="AJ102" s="6"/>
      <c r="AK102" s="6"/>
      <c r="AL102" s="6"/>
      <c r="AM102" s="6"/>
      <c r="AN102" s="6"/>
      <c r="AO102" s="6"/>
      <c r="AP102" s="6"/>
      <c r="AQ102" s="6"/>
      <c r="AR102" s="6"/>
      <c r="AT102" s="41" t="e">
        <f t="shared" si="1"/>
        <v>#DIV/0!</v>
      </c>
    </row>
    <row r="103" spans="1:46" ht="18" customHeight="1">
      <c r="A103" s="33"/>
      <c r="B103" s="227"/>
      <c r="C103" s="34"/>
      <c r="D103" s="35"/>
      <c r="E103" s="35"/>
      <c r="F103" s="36"/>
      <c r="G103" s="37"/>
      <c r="H103" s="37"/>
      <c r="I103" s="37"/>
      <c r="J103" s="37"/>
      <c r="K103" s="37"/>
      <c r="L103" s="38"/>
      <c r="M103" s="39"/>
      <c r="N103" s="39"/>
      <c r="O103" s="37"/>
      <c r="P103" s="37"/>
      <c r="Q103" s="37"/>
      <c r="R103" s="38"/>
      <c r="S103" s="39"/>
      <c r="T103" s="39"/>
      <c r="U103" s="39"/>
      <c r="V103" s="39"/>
      <c r="W103" s="37"/>
      <c r="X103" s="39"/>
      <c r="Y103" s="39"/>
      <c r="Z103" s="39"/>
      <c r="AA103" s="40"/>
      <c r="AC103" s="6"/>
      <c r="AD103" s="6"/>
      <c r="AE103" s="6"/>
      <c r="AF103" s="6"/>
      <c r="AG103" s="6"/>
      <c r="AH103" s="6"/>
      <c r="AI103" s="6"/>
      <c r="AJ103" s="6"/>
      <c r="AK103" s="6"/>
      <c r="AL103" s="6"/>
      <c r="AM103" s="6"/>
      <c r="AN103" s="6"/>
      <c r="AO103" s="6"/>
      <c r="AP103" s="6"/>
      <c r="AQ103" s="6"/>
      <c r="AR103" s="6"/>
      <c r="AT103" s="41" t="e">
        <f t="shared" si="1"/>
        <v>#DIV/0!</v>
      </c>
    </row>
    <row r="104" spans="1:46" ht="18" customHeight="1">
      <c r="A104" s="33"/>
      <c r="B104" s="227"/>
      <c r="C104" s="34"/>
      <c r="D104" s="35"/>
      <c r="E104" s="35"/>
      <c r="F104" s="36"/>
      <c r="G104" s="37"/>
      <c r="H104" s="37"/>
      <c r="I104" s="37"/>
      <c r="J104" s="37"/>
      <c r="K104" s="37"/>
      <c r="L104" s="38"/>
      <c r="M104" s="39"/>
      <c r="N104" s="39"/>
      <c r="O104" s="37"/>
      <c r="P104" s="37"/>
      <c r="Q104" s="37"/>
      <c r="R104" s="38"/>
      <c r="S104" s="39"/>
      <c r="T104" s="39"/>
      <c r="U104" s="39"/>
      <c r="V104" s="39"/>
      <c r="W104" s="37"/>
      <c r="X104" s="39"/>
      <c r="Y104" s="39"/>
      <c r="Z104" s="39"/>
      <c r="AA104" s="40"/>
      <c r="AC104" s="6"/>
      <c r="AD104" s="6"/>
      <c r="AE104" s="6"/>
      <c r="AF104" s="6"/>
      <c r="AG104" s="6"/>
      <c r="AH104" s="6"/>
      <c r="AI104" s="6"/>
      <c r="AJ104" s="6"/>
      <c r="AK104" s="6"/>
      <c r="AL104" s="6"/>
      <c r="AM104" s="6"/>
      <c r="AN104" s="6"/>
      <c r="AO104" s="6"/>
      <c r="AP104" s="6"/>
      <c r="AQ104" s="6"/>
      <c r="AR104" s="6"/>
      <c r="AT104" s="41" t="e">
        <f t="shared" si="1"/>
        <v>#DIV/0!</v>
      </c>
    </row>
    <row r="105" spans="1:46" ht="18" customHeight="1">
      <c r="A105" s="33"/>
      <c r="B105" s="227"/>
      <c r="C105" s="34"/>
      <c r="D105" s="35"/>
      <c r="E105" s="35"/>
      <c r="F105" s="36"/>
      <c r="G105" s="37"/>
      <c r="H105" s="37"/>
      <c r="I105" s="37"/>
      <c r="J105" s="37"/>
      <c r="K105" s="37"/>
      <c r="L105" s="38"/>
      <c r="M105" s="39"/>
      <c r="N105" s="39"/>
      <c r="O105" s="37"/>
      <c r="P105" s="37"/>
      <c r="Q105" s="37"/>
      <c r="R105" s="38"/>
      <c r="S105" s="39"/>
      <c r="T105" s="39"/>
      <c r="U105" s="39"/>
      <c r="V105" s="39"/>
      <c r="W105" s="37"/>
      <c r="X105" s="39"/>
      <c r="Y105" s="39"/>
      <c r="Z105" s="39"/>
      <c r="AA105" s="40"/>
      <c r="AC105" s="6"/>
      <c r="AD105" s="6"/>
      <c r="AE105" s="6"/>
      <c r="AF105" s="6"/>
      <c r="AG105" s="6"/>
      <c r="AH105" s="6"/>
      <c r="AI105" s="6"/>
      <c r="AJ105" s="6"/>
      <c r="AK105" s="6"/>
      <c r="AL105" s="6"/>
      <c r="AM105" s="6"/>
      <c r="AN105" s="6"/>
      <c r="AO105" s="6"/>
      <c r="AP105" s="6"/>
      <c r="AQ105" s="6"/>
      <c r="AR105" s="6"/>
      <c r="AT105" s="41" t="e">
        <f t="shared" si="1"/>
        <v>#DIV/0!</v>
      </c>
    </row>
    <row r="106" spans="1:46" ht="18" customHeight="1">
      <c r="A106" s="33"/>
      <c r="B106" s="227"/>
      <c r="C106" s="34"/>
      <c r="D106" s="35"/>
      <c r="E106" s="35"/>
      <c r="F106" s="36"/>
      <c r="G106" s="37"/>
      <c r="H106" s="37"/>
      <c r="I106" s="37"/>
      <c r="J106" s="37"/>
      <c r="K106" s="37"/>
      <c r="L106" s="38"/>
      <c r="M106" s="39"/>
      <c r="N106" s="39"/>
      <c r="O106" s="37"/>
      <c r="P106" s="37"/>
      <c r="Q106" s="37"/>
      <c r="R106" s="38"/>
      <c r="S106" s="39"/>
      <c r="T106" s="39"/>
      <c r="U106" s="39"/>
      <c r="V106" s="39"/>
      <c r="W106" s="37"/>
      <c r="X106" s="39"/>
      <c r="Y106" s="39"/>
      <c r="Z106" s="39"/>
      <c r="AA106" s="40"/>
      <c r="AC106" s="6"/>
      <c r="AD106" s="6"/>
      <c r="AE106" s="6"/>
      <c r="AF106" s="6"/>
      <c r="AG106" s="6"/>
      <c r="AH106" s="6"/>
      <c r="AI106" s="6"/>
      <c r="AJ106" s="6"/>
      <c r="AK106" s="6"/>
      <c r="AL106" s="6"/>
      <c r="AM106" s="6"/>
      <c r="AN106" s="6"/>
      <c r="AO106" s="6"/>
      <c r="AP106" s="6"/>
      <c r="AQ106" s="6"/>
      <c r="AR106" s="6"/>
      <c r="AT106" s="41" t="e">
        <f t="shared" si="1"/>
        <v>#DIV/0!</v>
      </c>
    </row>
    <row r="107" spans="1:46" ht="18" customHeight="1">
      <c r="A107" s="33"/>
      <c r="B107" s="227"/>
      <c r="C107" s="34"/>
      <c r="D107" s="35"/>
      <c r="E107" s="35"/>
      <c r="F107" s="36"/>
      <c r="G107" s="37"/>
      <c r="H107" s="37"/>
      <c r="I107" s="37"/>
      <c r="J107" s="37"/>
      <c r="K107" s="37"/>
      <c r="L107" s="38"/>
      <c r="M107" s="39"/>
      <c r="N107" s="39"/>
      <c r="O107" s="37"/>
      <c r="P107" s="37"/>
      <c r="Q107" s="37"/>
      <c r="R107" s="38"/>
      <c r="S107" s="39"/>
      <c r="T107" s="39"/>
      <c r="U107" s="39"/>
      <c r="V107" s="39"/>
      <c r="W107" s="37"/>
      <c r="X107" s="39"/>
      <c r="Y107" s="39"/>
      <c r="Z107" s="39"/>
      <c r="AA107" s="40"/>
      <c r="AC107" s="6"/>
      <c r="AD107" s="6"/>
      <c r="AE107" s="6"/>
      <c r="AF107" s="6"/>
      <c r="AG107" s="6"/>
      <c r="AH107" s="6"/>
      <c r="AI107" s="6"/>
      <c r="AJ107" s="6"/>
      <c r="AK107" s="6"/>
      <c r="AL107" s="6"/>
      <c r="AM107" s="6"/>
      <c r="AN107" s="6"/>
      <c r="AO107" s="6"/>
      <c r="AP107" s="6"/>
      <c r="AQ107" s="6"/>
      <c r="AR107" s="6"/>
      <c r="AT107" s="41" t="e">
        <f t="shared" si="1"/>
        <v>#DIV/0!</v>
      </c>
    </row>
    <row r="108" spans="1:46" ht="18" customHeight="1">
      <c r="A108" s="33"/>
      <c r="B108" s="227"/>
      <c r="C108" s="34"/>
      <c r="D108" s="35"/>
      <c r="E108" s="35"/>
      <c r="F108" s="36"/>
      <c r="G108" s="37"/>
      <c r="H108" s="37"/>
      <c r="I108" s="37"/>
      <c r="J108" s="37"/>
      <c r="K108" s="37"/>
      <c r="L108" s="38"/>
      <c r="M108" s="39"/>
      <c r="N108" s="39"/>
      <c r="O108" s="37"/>
      <c r="P108" s="37"/>
      <c r="Q108" s="37"/>
      <c r="R108" s="38"/>
      <c r="S108" s="39"/>
      <c r="T108" s="39"/>
      <c r="U108" s="39"/>
      <c r="V108" s="39"/>
      <c r="W108" s="37"/>
      <c r="X108" s="39"/>
      <c r="Y108" s="39"/>
      <c r="Z108" s="39"/>
      <c r="AA108" s="40"/>
      <c r="AC108" s="6"/>
      <c r="AD108" s="6"/>
      <c r="AE108" s="6"/>
      <c r="AF108" s="6"/>
      <c r="AG108" s="6"/>
      <c r="AH108" s="6"/>
      <c r="AI108" s="6"/>
      <c r="AJ108" s="6"/>
      <c r="AK108" s="6"/>
      <c r="AL108" s="6"/>
      <c r="AM108" s="6"/>
      <c r="AN108" s="6"/>
      <c r="AO108" s="6"/>
      <c r="AP108" s="6"/>
      <c r="AQ108" s="6"/>
      <c r="AR108" s="6"/>
      <c r="AT108" s="41" t="e">
        <f t="shared" si="1"/>
        <v>#DIV/0!</v>
      </c>
    </row>
    <row r="109" spans="1:46" ht="18" customHeight="1">
      <c r="A109" s="33"/>
      <c r="B109" s="227"/>
      <c r="C109" s="34"/>
      <c r="D109" s="35"/>
      <c r="E109" s="35"/>
      <c r="F109" s="36"/>
      <c r="G109" s="37"/>
      <c r="H109" s="37"/>
      <c r="I109" s="37"/>
      <c r="J109" s="37"/>
      <c r="K109" s="37"/>
      <c r="L109" s="38"/>
      <c r="M109" s="39"/>
      <c r="N109" s="39"/>
      <c r="O109" s="37"/>
      <c r="P109" s="37"/>
      <c r="Q109" s="37"/>
      <c r="R109" s="38"/>
      <c r="S109" s="39"/>
      <c r="T109" s="39"/>
      <c r="U109" s="39"/>
      <c r="V109" s="39"/>
      <c r="W109" s="37"/>
      <c r="X109" s="39"/>
      <c r="Y109" s="39"/>
      <c r="Z109" s="39"/>
      <c r="AA109" s="40"/>
      <c r="AC109" s="6"/>
      <c r="AD109" s="6"/>
      <c r="AE109" s="6"/>
      <c r="AF109" s="6"/>
      <c r="AG109" s="6"/>
      <c r="AH109" s="6"/>
      <c r="AI109" s="6"/>
      <c r="AJ109" s="6"/>
      <c r="AK109" s="6"/>
      <c r="AL109" s="6"/>
      <c r="AM109" s="6"/>
      <c r="AN109" s="6"/>
      <c r="AO109" s="6"/>
      <c r="AP109" s="6"/>
      <c r="AQ109" s="6"/>
      <c r="AR109" s="6"/>
      <c r="AT109" s="41" t="e">
        <f t="shared" si="1"/>
        <v>#DIV/0!</v>
      </c>
    </row>
    <row r="110" spans="1:46" ht="18" customHeight="1">
      <c r="A110" s="33"/>
      <c r="B110" s="227"/>
      <c r="C110" s="34"/>
      <c r="D110" s="35"/>
      <c r="E110" s="35"/>
      <c r="F110" s="36"/>
      <c r="G110" s="37"/>
      <c r="H110" s="37"/>
      <c r="I110" s="37"/>
      <c r="J110" s="37"/>
      <c r="K110" s="37"/>
      <c r="L110" s="38"/>
      <c r="M110" s="39"/>
      <c r="N110" s="39"/>
      <c r="O110" s="37"/>
      <c r="P110" s="37"/>
      <c r="Q110" s="37"/>
      <c r="R110" s="38"/>
      <c r="S110" s="39"/>
      <c r="T110" s="39"/>
      <c r="U110" s="39"/>
      <c r="V110" s="39"/>
      <c r="W110" s="37"/>
      <c r="X110" s="39"/>
      <c r="Y110" s="39"/>
      <c r="Z110" s="39"/>
      <c r="AA110" s="40"/>
      <c r="AC110" s="6"/>
      <c r="AD110" s="6"/>
      <c r="AE110" s="6"/>
      <c r="AF110" s="6"/>
      <c r="AG110" s="6"/>
      <c r="AH110" s="6"/>
      <c r="AI110" s="6"/>
      <c r="AJ110" s="6"/>
      <c r="AK110" s="6"/>
      <c r="AL110" s="6"/>
      <c r="AM110" s="6"/>
      <c r="AN110" s="6"/>
      <c r="AO110" s="6"/>
      <c r="AP110" s="6"/>
      <c r="AQ110" s="6"/>
      <c r="AR110" s="6"/>
      <c r="AT110" s="41" t="e">
        <f t="shared" si="1"/>
        <v>#DIV/0!</v>
      </c>
    </row>
    <row r="111" spans="1:46" ht="18" customHeight="1" thickBot="1">
      <c r="A111" s="44"/>
      <c r="B111" s="233"/>
      <c r="C111" s="234"/>
      <c r="D111" s="45"/>
      <c r="E111" s="45"/>
      <c r="F111" s="46"/>
      <c r="G111" s="37"/>
      <c r="H111" s="37"/>
      <c r="I111" s="37"/>
      <c r="J111" s="37"/>
      <c r="K111" s="37"/>
      <c r="L111" s="38"/>
      <c r="M111" s="39"/>
      <c r="N111" s="39"/>
      <c r="O111" s="37"/>
      <c r="P111" s="37"/>
      <c r="Q111" s="37"/>
      <c r="R111" s="38"/>
      <c r="S111" s="39"/>
      <c r="T111" s="39"/>
      <c r="U111" s="39"/>
      <c r="V111" s="39"/>
      <c r="W111" s="37"/>
      <c r="X111" s="39"/>
      <c r="Y111" s="39"/>
      <c r="Z111" s="39"/>
      <c r="AA111" s="40"/>
      <c r="AC111" s="6"/>
      <c r="AD111" s="6"/>
      <c r="AE111" s="6"/>
      <c r="AF111" s="6"/>
      <c r="AG111" s="6"/>
      <c r="AH111" s="6"/>
      <c r="AI111" s="6"/>
      <c r="AJ111" s="6"/>
      <c r="AK111" s="6"/>
      <c r="AL111" s="6"/>
      <c r="AM111" s="6"/>
      <c r="AN111" s="6"/>
      <c r="AO111" s="6"/>
      <c r="AP111" s="6"/>
      <c r="AQ111" s="6"/>
      <c r="AR111" s="6"/>
      <c r="AT111" s="41" t="e">
        <f t="shared" si="1"/>
        <v>#DIV/0!</v>
      </c>
    </row>
    <row r="112" spans="1:46" ht="17.45" hidden="1" customHeight="1">
      <c r="A112" s="204" t="s">
        <v>101</v>
      </c>
      <c r="B112" s="230" t="s">
        <v>104</v>
      </c>
      <c r="C112" s="309" t="s">
        <v>102</v>
      </c>
      <c r="D112" s="309"/>
      <c r="E112" s="309"/>
      <c r="F112" s="200"/>
      <c r="G112" s="8"/>
      <c r="H112" s="186"/>
      <c r="I112" s="186"/>
      <c r="J112" s="186"/>
      <c r="K112" s="8"/>
      <c r="L112" s="186"/>
      <c r="M112" s="186"/>
      <c r="N112" s="186"/>
      <c r="O112" s="8"/>
      <c r="P112" s="186"/>
      <c r="Q112" s="186"/>
      <c r="R112" s="186"/>
      <c r="S112" s="202"/>
      <c r="T112" s="186"/>
      <c r="U112" s="186"/>
      <c r="V112" s="186"/>
      <c r="W112" s="8"/>
      <c r="X112" s="186"/>
      <c r="Y112" s="186"/>
      <c r="Z112" s="186"/>
      <c r="AA112" s="203"/>
      <c r="AB112" s="186"/>
      <c r="AC112" s="186"/>
      <c r="AD112" s="3"/>
      <c r="AE112" s="3"/>
      <c r="AF112" s="2"/>
      <c r="AG112" s="3"/>
      <c r="AH112" s="3"/>
      <c r="AI112" s="3"/>
      <c r="AJ112" s="137"/>
      <c r="AK112" s="1"/>
      <c r="AL112" s="1"/>
      <c r="AM112" s="1"/>
      <c r="AN112" s="48"/>
      <c r="AO112" s="1"/>
      <c r="AP112" s="1"/>
      <c r="AQ112" s="1"/>
      <c r="AR112" s="1"/>
      <c r="AS112" s="1"/>
      <c r="AT112" s="1"/>
    </row>
    <row r="118" spans="13:46" s="2" customFormat="1">
      <c r="M118" s="3"/>
      <c r="N118" s="3"/>
      <c r="S118" s="3"/>
      <c r="T118" s="3"/>
      <c r="U118" s="3"/>
      <c r="V118" s="3"/>
      <c r="X118" s="3"/>
      <c r="Y118" s="3"/>
      <c r="Z118" s="3"/>
      <c r="AA118" s="4"/>
      <c r="AB118" s="19"/>
      <c r="AC118" s="19"/>
      <c r="AD118" s="19"/>
      <c r="AE118" s="19"/>
      <c r="AF118" s="19"/>
      <c r="AG118" s="19"/>
      <c r="AH118" s="19"/>
      <c r="AI118" s="19"/>
      <c r="AJ118" s="19"/>
      <c r="AK118" s="19"/>
      <c r="AL118" s="19"/>
      <c r="AM118" s="19"/>
      <c r="AN118" s="19"/>
      <c r="AO118" s="19"/>
      <c r="AP118" s="19"/>
      <c r="AQ118" s="19"/>
      <c r="AR118" s="19"/>
      <c r="AS118" s="47"/>
      <c r="AT118" s="47"/>
    </row>
  </sheetData>
  <autoFilter ref="C10:C111" xr:uid="{00000000-0009-0000-0000-000000000000}"/>
  <mergeCells count="40">
    <mergeCell ref="C61:E61"/>
    <mergeCell ref="C63:E63"/>
    <mergeCell ref="C112:E112"/>
    <mergeCell ref="A1:AA2"/>
    <mergeCell ref="W5:Y5"/>
    <mergeCell ref="C5:G5"/>
    <mergeCell ref="M4:P4"/>
    <mergeCell ref="K7:N7"/>
    <mergeCell ref="A3:AA3"/>
    <mergeCell ref="A7:C7"/>
    <mergeCell ref="H5:P5"/>
    <mergeCell ref="R5:S5"/>
    <mergeCell ref="Z5:AA5"/>
    <mergeCell ref="T5:V5"/>
    <mergeCell ref="G7:J7"/>
    <mergeCell ref="R7:W7"/>
    <mergeCell ref="AD13:AK15"/>
    <mergeCell ref="AL13:AQ15"/>
    <mergeCell ref="H4:I4"/>
    <mergeCell ref="O7:Q7"/>
    <mergeCell ref="AD9:AK12"/>
    <mergeCell ref="AL9:AQ12"/>
    <mergeCell ref="AC2:AF5"/>
    <mergeCell ref="AH2:AM5"/>
    <mergeCell ref="C4:G4"/>
    <mergeCell ref="J4:L4"/>
    <mergeCell ref="U8:Y8"/>
    <mergeCell ref="AA8:AA9"/>
    <mergeCell ref="O8:T8"/>
    <mergeCell ref="Z8:Z9"/>
    <mergeCell ref="G8:N8"/>
    <mergeCell ref="A9:C9"/>
    <mergeCell ref="X7:Y7"/>
    <mergeCell ref="Z7:AA7"/>
    <mergeCell ref="B4:B6"/>
    <mergeCell ref="B10:C10"/>
    <mergeCell ref="AD7:AK7"/>
    <mergeCell ref="AL7:AQ7"/>
    <mergeCell ref="AD8:AK8"/>
    <mergeCell ref="AL8:AQ8"/>
  </mergeCells>
  <conditionalFormatting sqref="S112:V112">
    <cfRule type="cellIs" dxfId="19" priority="4" operator="lessThan">
      <formula>75</formula>
    </cfRule>
  </conditionalFormatting>
  <conditionalFormatting sqref="W62:Z63">
    <cfRule type="containsText" dxfId="18" priority="6" operator="containsText" text="Developing">
      <formula>NOT(ISERROR(SEARCH("Developing",W62)))</formula>
    </cfRule>
    <cfRule type="containsText" dxfId="17" priority="7" operator="containsText" text="Emerging">
      <formula>NOT(ISERROR(SEARCH("Emerging",W62)))</formula>
    </cfRule>
  </conditionalFormatting>
  <conditionalFormatting sqref="W112:Z112">
    <cfRule type="containsText" dxfId="16" priority="2" operator="containsText" text="Developing">
      <formula>NOT(ISERROR(SEARCH("Developing",W112)))</formula>
    </cfRule>
    <cfRule type="containsText" dxfId="15" priority="3" operator="containsText" text="Emerging">
      <formula>NOT(ISERROR(SEARCH("Emerging",W112)))</formula>
    </cfRule>
  </conditionalFormatting>
  <conditionalFormatting sqref="AA62:AC63">
    <cfRule type="containsText" dxfId="14" priority="5" operator="containsText" text="FAILED">
      <formula>NOT(ISERROR(SEARCH("FAILED",AA62)))</formula>
    </cfRule>
  </conditionalFormatting>
  <conditionalFormatting sqref="AA112:AC112">
    <cfRule type="containsText" dxfId="13" priority="1" operator="containsText" text="FAILED">
      <formula>NOT(ISERROR(SEARCH("FAILED",AA112)))</formula>
    </cfRule>
  </conditionalFormatting>
  <dataValidations count="3">
    <dataValidation allowBlank="1" showInputMessage="1" showErrorMessage="1" prompt="Do not type name of learners here. Go to INPUT DATA sheet." sqref="C61 C112" xr:uid="{14E00815-ED2D-49A4-97F7-19A9AF5A76BA}"/>
    <dataValidation type="whole" operator="lessThanOrEqual" allowBlank="1" showInputMessage="1" showErrorMessage="1" error="INPUT NUMBER LESS THAN OR EQUAL THE HIGHEST POSSIBLE SCORE" prompt="Input Raw Score" sqref="JC12:JE12 WVO12:WVQ12 WLS12:WLU12 WBW12:WBY12 VSA12:VSC12 VIE12:VIG12 UYI12:UYK12 UOM12:UOO12 UEQ12:UES12 TUU12:TUW12 TKY12:TLA12 TBC12:TBE12 SRG12:SRI12 SHK12:SHM12 RXO12:RXQ12 RNS12:RNU12 RDW12:RDY12 QUA12:QUC12 QKE12:QKG12 QAI12:QAK12 PQM12:PQO12 PGQ12:PGS12 OWU12:OWW12 OMY12:ONA12 ODC12:ODE12 NTG12:NTI12 NJK12:NJM12 MZO12:MZQ12 MPS12:MPU12 MFW12:MFY12 LWA12:LWC12 LME12:LMG12 LCI12:LCK12 KSM12:KSO12 KIQ12:KIS12 JYU12:JYW12 JOY12:JPA12 JFC12:JFE12 IVG12:IVI12 ILK12:ILM12 IBO12:IBQ12 HRS12:HRU12 HHW12:HHY12 GYA12:GYC12 GOE12:GOG12 GEI12:GEK12 FUM12:FUO12 FKQ12:FKS12 FAU12:FAW12 EQY12:ERA12 EHC12:EHE12 DXG12:DXI12 DNK12:DNM12 DDO12:DDQ12 CTS12:CTU12 CJW12:CJY12 CAA12:CAC12 BQE12:BQG12 BGI12:BGK12 AWM12:AWO12 AMQ12:AMS12 ACU12:ACW12 SY12:TA12 IP12:IT12 WVB12:WVF12 WLF12:WLJ12 WBJ12:WBN12 VRN12:VRR12 VHR12:VHV12 UXV12:UXZ12 UNZ12:UOD12 UED12:UEH12 TUH12:TUL12 TKL12:TKP12 TAP12:TAT12 SQT12:SQX12 SGX12:SHB12 RXB12:RXF12 RNF12:RNJ12 RDJ12:RDN12 QTN12:QTR12 QJR12:QJV12 PZV12:PZZ12 PPZ12:PQD12 PGD12:PGH12 OWH12:OWL12 OML12:OMP12 OCP12:OCT12 NST12:NSX12 NIX12:NJB12 MZB12:MZF12 MPF12:MPJ12 MFJ12:MFN12 LVN12:LVR12 LLR12:LLV12 LBV12:LBZ12 KRZ12:KSD12 KID12:KIH12 JYH12:JYL12 JOL12:JOP12 JEP12:JET12 IUT12:IUX12 IKX12:ILB12 IBB12:IBF12 HRF12:HRJ12 HHJ12:HHN12 GXN12:GXR12 GNR12:GNV12 GDV12:GDZ12 FTZ12:FUD12 FKD12:FKH12 FAH12:FAL12 EQL12:EQP12 EGP12:EGT12 DWT12:DWX12 DMX12:DNB12 DDB12:DDF12 CTF12:CTJ12 CJJ12:CJN12 BZN12:BZR12 BPR12:BPV12 BFV12:BFZ12 AVZ12:AWD12 AMD12:AMH12 ACH12:ACL12 SL12:SP12" xr:uid="{45FA4434-D9B9-4847-BC9E-E813B76E5597}">
      <formula1>#REF!</formula1>
    </dataValidation>
    <dataValidation allowBlank="1" showErrorMessage="1" sqref="AD13:AD14 AD9" xr:uid="{8A0BC384-8C55-4C72-8E5C-76B2D49E55C2}"/>
  </dataValidations>
  <printOptions horizontalCentered="1"/>
  <pageMargins left="0.7" right="0.7" top="0.75" bottom="0.75" header="0.3" footer="0.3"/>
  <rowBreaks count="1" manualBreakCount="1">
    <brk id="60"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BH120"/>
  <sheetViews>
    <sheetView showGridLines="0" tabSelected="1" topLeftCell="A5" zoomScale="85" zoomScaleNormal="85" workbookViewId="0">
      <selection activeCell="E29" sqref="E29"/>
    </sheetView>
  </sheetViews>
  <sheetFormatPr defaultColWidth="4.7109375" defaultRowHeight="15"/>
  <cols>
    <col min="1" max="1" width="9.425781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240"/>
      <c r="B1" s="240"/>
      <c r="C1" s="240"/>
      <c r="D1" s="354" t="s">
        <v>0</v>
      </c>
      <c r="E1" s="354"/>
      <c r="F1" s="354"/>
      <c r="G1" s="354"/>
      <c r="H1" s="354"/>
      <c r="I1" s="354"/>
      <c r="J1" s="354"/>
      <c r="K1" s="354"/>
      <c r="L1" s="354"/>
      <c r="M1" s="240"/>
      <c r="N1" s="240"/>
      <c r="O1" s="354" t="e" vm="3">
        <f>INPUT!AH2</f>
        <v>#VALUE!</v>
      </c>
      <c r="P1" s="354"/>
      <c r="Q1" s="354"/>
      <c r="R1" s="354"/>
      <c r="S1" s="354"/>
      <c r="T1" s="354"/>
      <c r="U1" s="240"/>
      <c r="V1" s="240"/>
      <c r="W1" s="240"/>
      <c r="X1" s="240"/>
      <c r="Y1" s="6"/>
    </row>
    <row r="2" spans="1:50" ht="15" customHeight="1">
      <c r="A2" s="240"/>
      <c r="B2" s="354" t="e" vm="3">
        <f>INPUT!AC2</f>
        <v>#VALUE!</v>
      </c>
      <c r="C2" s="240"/>
      <c r="D2" s="354"/>
      <c r="E2" s="354"/>
      <c r="F2" s="354"/>
      <c r="G2" s="354"/>
      <c r="H2" s="354"/>
      <c r="I2" s="354"/>
      <c r="J2" s="354"/>
      <c r="K2" s="354"/>
      <c r="L2" s="354"/>
      <c r="M2" s="240"/>
      <c r="N2" s="240"/>
      <c r="O2" s="354"/>
      <c r="P2" s="354"/>
      <c r="Q2" s="354"/>
      <c r="R2" s="354"/>
      <c r="S2" s="354"/>
      <c r="T2" s="354"/>
      <c r="U2" s="240"/>
      <c r="V2" s="240"/>
      <c r="W2" s="240"/>
      <c r="X2" s="240"/>
      <c r="Y2" s="6"/>
    </row>
    <row r="3" spans="1:50" ht="15" customHeight="1">
      <c r="A3" s="124"/>
      <c r="B3" s="354"/>
      <c r="C3" s="124"/>
      <c r="D3" s="124"/>
      <c r="E3" s="124"/>
      <c r="F3" s="124"/>
      <c r="G3" s="124"/>
      <c r="H3" s="124"/>
      <c r="I3" s="124"/>
      <c r="J3" s="124"/>
      <c r="K3" s="124"/>
      <c r="L3" s="124"/>
      <c r="M3" s="124"/>
      <c r="N3" s="124"/>
      <c r="O3" s="354"/>
      <c r="P3" s="354"/>
      <c r="Q3" s="354"/>
      <c r="R3" s="354"/>
      <c r="S3" s="354"/>
      <c r="T3" s="354"/>
      <c r="U3" s="124"/>
      <c r="V3" s="124"/>
      <c r="W3" s="124"/>
      <c r="X3" s="124"/>
      <c r="Y3" s="6"/>
    </row>
    <row r="4" spans="1:50" ht="21" customHeight="1">
      <c r="A4" s="47"/>
      <c r="B4" s="354"/>
      <c r="C4" s="161" t="s">
        <v>2</v>
      </c>
      <c r="D4" s="332">
        <f>INPUT!H4</f>
        <v>10</v>
      </c>
      <c r="E4" s="334"/>
      <c r="F4" s="351" t="s">
        <v>3</v>
      </c>
      <c r="G4" s="352"/>
      <c r="H4" s="353"/>
      <c r="I4" s="332" t="str">
        <f>INPUT!M4</f>
        <v>CDO</v>
      </c>
      <c r="J4" s="333"/>
      <c r="K4" s="333"/>
      <c r="L4" s="334"/>
      <c r="M4" s="50"/>
      <c r="N4" s="8"/>
      <c r="O4" s="354"/>
      <c r="P4" s="354"/>
      <c r="Q4" s="354"/>
      <c r="R4" s="354"/>
      <c r="S4" s="354"/>
      <c r="T4" s="354"/>
      <c r="U4" s="122"/>
      <c r="V4" s="51"/>
      <c r="W4" s="51"/>
      <c r="X4" s="13"/>
      <c r="Y4" s="13"/>
      <c r="Z4" s="12"/>
      <c r="AA4" s="12"/>
      <c r="AB4" s="12"/>
      <c r="AC4" s="12"/>
    </row>
    <row r="5" spans="1:50" ht="21" customHeight="1">
      <c r="A5" s="47"/>
      <c r="B5" s="354"/>
      <c r="C5" s="161" t="s">
        <v>5</v>
      </c>
      <c r="D5" s="332" t="str">
        <f>INPUT!H5</f>
        <v>{school_name}</v>
      </c>
      <c r="E5" s="333"/>
      <c r="F5" s="333"/>
      <c r="G5" s="333"/>
      <c r="H5" s="333"/>
      <c r="I5" s="333"/>
      <c r="J5" s="333"/>
      <c r="K5" s="333"/>
      <c r="L5" s="334"/>
      <c r="M5" s="50"/>
      <c r="N5" s="271" t="s">
        <v>6</v>
      </c>
      <c r="O5" s="335"/>
      <c r="P5" s="336">
        <f>INPUT!T5</f>
        <v>405198</v>
      </c>
      <c r="Q5" s="337"/>
      <c r="R5" s="338"/>
      <c r="S5" s="339" t="s">
        <v>7</v>
      </c>
      <c r="T5" s="314"/>
      <c r="U5" s="314"/>
      <c r="V5" s="340"/>
      <c r="W5" s="336" t="str">
        <f>INPUT!Z5</f>
        <v>{school_year}</v>
      </c>
      <c r="X5" s="338"/>
      <c r="Y5" s="13"/>
      <c r="Z5" s="12"/>
      <c r="AA5" s="12"/>
      <c r="AB5" s="12"/>
      <c r="AC5" s="12"/>
    </row>
    <row r="6" spans="1:50" ht="14.65" customHeight="1" thickBot="1">
      <c r="B6" s="241"/>
    </row>
    <row r="7" spans="1:50" ht="23.25" customHeight="1" thickBot="1">
      <c r="A7" s="357" t="s">
        <v>15</v>
      </c>
      <c r="B7" s="358"/>
      <c r="C7" s="359"/>
      <c r="D7" s="170" t="s">
        <v>8</v>
      </c>
      <c r="E7" s="171"/>
      <c r="F7" s="170"/>
      <c r="G7" s="169"/>
      <c r="H7" s="169"/>
      <c r="I7" s="341" t="str">
        <f>INPUT!K7</f>
        <v>{class}</v>
      </c>
      <c r="J7" s="341"/>
      <c r="K7" s="342"/>
      <c r="L7" s="343" t="s">
        <v>9</v>
      </c>
      <c r="M7" s="279"/>
      <c r="N7" s="279"/>
      <c r="O7" s="344" t="str">
        <f>INPUT!R7</f>
        <v>{subject_teacher}</v>
      </c>
      <c r="P7" s="344"/>
      <c r="Q7" s="345"/>
      <c r="R7" s="346" t="s">
        <v>10</v>
      </c>
      <c r="S7" s="347"/>
      <c r="T7" s="347"/>
      <c r="U7" s="344" t="str">
        <f>INPUT!Z7</f>
        <v>{subject_name}</v>
      </c>
      <c r="V7" s="344"/>
      <c r="W7" s="345"/>
      <c r="X7" s="172"/>
      <c r="Y7" s="6"/>
    </row>
    <row r="8" spans="1:50" s="4" customFormat="1" ht="46.9" customHeight="1">
      <c r="A8" s="365"/>
      <c r="B8" s="367" t="s">
        <v>70</v>
      </c>
      <c r="C8" s="369" t="s">
        <v>11</v>
      </c>
      <c r="D8" s="371" t="str">
        <f>INPUT!AD7 &amp; " (" &amp; TEXT(INPUT!AL7, "0%") &amp; ")"</f>
        <v>WRITTEN / ORAL WORKS (20%)</v>
      </c>
      <c r="E8" s="372"/>
      <c r="F8" s="372"/>
      <c r="G8" s="372"/>
      <c r="H8" s="372"/>
      <c r="I8" s="372"/>
      <c r="J8" s="372"/>
      <c r="K8" s="373"/>
      <c r="L8" s="348" t="str">
        <f>INPUT!AD8 &amp; " (" &amp; TEXT(INPUT!AL8, "0%") &amp; ")"</f>
        <v>PRODUCT / PERFORMANCE TASKS (80%)</v>
      </c>
      <c r="M8" s="349"/>
      <c r="N8" s="349"/>
      <c r="O8" s="349"/>
      <c r="P8" s="349"/>
      <c r="Q8" s="350"/>
      <c r="R8" s="348" t="str">
        <f>INPUT!AD9 &amp; " (" &amp; TEXT(INPUT!AL9, "0%") &amp; ")"</f>
        <v>PLACEHOLDER (20%)</v>
      </c>
      <c r="S8" s="349"/>
      <c r="T8" s="349"/>
      <c r="U8" s="349"/>
      <c r="V8" s="349"/>
      <c r="W8" s="350"/>
      <c r="X8" s="329" t="s">
        <v>16</v>
      </c>
      <c r="Y8" s="329" t="s">
        <v>37</v>
      </c>
      <c r="Z8" s="329" t="s">
        <v>17</v>
      </c>
      <c r="AA8" s="18"/>
      <c r="AS8" s="19"/>
      <c r="AT8" s="19"/>
      <c r="AU8" s="19"/>
      <c r="AV8" s="19"/>
      <c r="AW8" s="19"/>
      <c r="AX8" s="19"/>
    </row>
    <row r="9" spans="1:50" s="20" customFormat="1" ht="18" customHeight="1">
      <c r="A9" s="366"/>
      <c r="B9" s="368"/>
      <c r="C9" s="370"/>
      <c r="D9" s="53">
        <v>1</v>
      </c>
      <c r="E9" s="52">
        <v>2</v>
      </c>
      <c r="F9" s="52">
        <v>3</v>
      </c>
      <c r="G9" s="52">
        <v>4</v>
      </c>
      <c r="H9" s="52">
        <v>5</v>
      </c>
      <c r="I9" s="54" t="s">
        <v>18</v>
      </c>
      <c r="J9" s="55" t="s">
        <v>19</v>
      </c>
      <c r="K9" s="56" t="s">
        <v>20</v>
      </c>
      <c r="L9" s="53">
        <v>1</v>
      </c>
      <c r="M9" s="52">
        <v>2</v>
      </c>
      <c r="N9" s="52">
        <v>3</v>
      </c>
      <c r="O9" s="54" t="s">
        <v>18</v>
      </c>
      <c r="P9" s="55" t="s">
        <v>19</v>
      </c>
      <c r="Q9" s="56" t="s">
        <v>20</v>
      </c>
      <c r="R9" s="57" t="s">
        <v>67</v>
      </c>
      <c r="S9" s="58" t="s">
        <v>65</v>
      </c>
      <c r="T9" s="52" t="s">
        <v>66</v>
      </c>
      <c r="U9" s="54" t="s">
        <v>18</v>
      </c>
      <c r="V9" s="55" t="s">
        <v>19</v>
      </c>
      <c r="W9" s="56" t="s">
        <v>20</v>
      </c>
      <c r="X9" s="330"/>
      <c r="Y9" s="330"/>
      <c r="Z9" s="330"/>
      <c r="AA9" s="18"/>
      <c r="AD9" s="59"/>
      <c r="AE9" s="59"/>
      <c r="AF9" s="59"/>
      <c r="AG9" s="59"/>
      <c r="AH9" s="59"/>
      <c r="AI9" s="59"/>
      <c r="AJ9" s="59"/>
      <c r="AK9" s="59"/>
      <c r="AL9" s="59"/>
      <c r="AM9" s="59"/>
      <c r="AN9" s="59"/>
      <c r="AO9" s="59"/>
      <c r="AP9" s="59"/>
      <c r="AQ9" s="59"/>
      <c r="AR9" s="59"/>
      <c r="AS9" s="22"/>
      <c r="AT9" s="22"/>
      <c r="AU9" s="22"/>
      <c r="AV9" s="22"/>
      <c r="AW9" s="27"/>
      <c r="AX9" s="27"/>
    </row>
    <row r="10" spans="1:50" s="23" customFormat="1" ht="18" customHeight="1" thickBot="1">
      <c r="A10" s="360" t="s">
        <v>12</v>
      </c>
      <c r="B10" s="361"/>
      <c r="C10" s="362"/>
      <c r="D10" s="60"/>
      <c r="E10" s="61"/>
      <c r="F10" s="61"/>
      <c r="G10" s="61"/>
      <c r="H10" s="61"/>
      <c r="I10" s="54" t="str">
        <f>IF(COUNT($D10:$H10)=0,"",SUM($D10:$H10))</f>
        <v/>
      </c>
      <c r="J10" s="55">
        <v>100</v>
      </c>
      <c r="K10" s="62">
        <f>INPUT!AL7</f>
        <v>0.2</v>
      </c>
      <c r="L10" s="60"/>
      <c r="M10" s="61"/>
      <c r="N10" s="61"/>
      <c r="O10" s="54" t="str">
        <f>IF(COUNT($L10:$N10)=0,"",SUM($L10:$N10))</f>
        <v/>
      </c>
      <c r="P10" s="55">
        <v>100</v>
      </c>
      <c r="Q10" s="62">
        <f>INPUT!AL8</f>
        <v>0.8</v>
      </c>
      <c r="R10" s="63"/>
      <c r="S10" s="64"/>
      <c r="T10" s="61"/>
      <c r="U10" s="65">
        <f t="array" ref="U10">IF(COUNT($R10:$T10=0),"",SUM($R10:$T10))</f>
        <v>0</v>
      </c>
      <c r="V10" s="55">
        <v>100</v>
      </c>
      <c r="W10" s="62">
        <f>INPUT!AL9</f>
        <v>0.2</v>
      </c>
      <c r="X10" s="331"/>
      <c r="Y10" s="331"/>
      <c r="Z10" s="331"/>
      <c r="AA10" s="18"/>
      <c r="AB10" s="66"/>
      <c r="AC10" s="67"/>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237"/>
      <c r="B11" s="363" t="s">
        <v>13</v>
      </c>
      <c r="C11" s="364"/>
      <c r="D11" s="68"/>
      <c r="E11" s="69"/>
      <c r="F11" s="69"/>
      <c r="G11" s="69"/>
      <c r="H11" s="69"/>
      <c r="I11" s="70"/>
      <c r="J11" s="71"/>
      <c r="K11" s="72"/>
      <c r="L11" s="68"/>
      <c r="M11" s="69"/>
      <c r="N11" s="69"/>
      <c r="O11" s="70"/>
      <c r="P11" s="71"/>
      <c r="Q11" s="72"/>
      <c r="R11" s="73"/>
      <c r="S11" s="70"/>
      <c r="T11" s="69"/>
      <c r="U11" s="69"/>
      <c r="V11" s="71"/>
      <c r="W11" s="72"/>
      <c r="X11" s="74"/>
      <c r="Y11" s="75"/>
      <c r="Z11" s="76"/>
      <c r="AA11" s="18"/>
      <c r="AB11" s="66"/>
      <c r="AC11" s="67"/>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211" t="s">
        <v>71</v>
      </c>
      <c r="B12" s="210" t="s">
        <v>72</v>
      </c>
      <c r="C12" s="173" t="s">
        <v>73</v>
      </c>
      <c r="D12" s="175" t="s">
        <v>74</v>
      </c>
      <c r="E12" s="175" t="s">
        <v>74</v>
      </c>
      <c r="F12" s="175" t="s">
        <v>74</v>
      </c>
      <c r="G12" s="175" t="s">
        <v>74</v>
      </c>
      <c r="H12" s="175" t="s">
        <v>74</v>
      </c>
      <c r="I12" s="176" t="s">
        <v>75</v>
      </c>
      <c r="J12" s="177" t="s">
        <v>76</v>
      </c>
      <c r="K12" s="177" t="s">
        <v>77</v>
      </c>
      <c r="L12" s="175" t="s">
        <v>78</v>
      </c>
      <c r="M12" s="175" t="s">
        <v>78</v>
      </c>
      <c r="N12" s="175" t="s">
        <v>78</v>
      </c>
      <c r="O12" s="176" t="s">
        <v>79</v>
      </c>
      <c r="P12" s="177" t="s">
        <v>80</v>
      </c>
      <c r="Q12" s="177" t="s">
        <v>81</v>
      </c>
      <c r="R12" s="179" t="s">
        <v>88</v>
      </c>
      <c r="S12" s="180" t="s">
        <v>89</v>
      </c>
      <c r="T12" s="181" t="s">
        <v>90</v>
      </c>
      <c r="U12" s="175" t="s">
        <v>82</v>
      </c>
      <c r="V12" s="177" t="s">
        <v>83</v>
      </c>
      <c r="W12" s="177" t="s">
        <v>84</v>
      </c>
      <c r="X12" s="182" t="s">
        <v>85</v>
      </c>
      <c r="Y12" s="183" t="s">
        <v>86</v>
      </c>
      <c r="Z12" s="178" t="s">
        <v>87</v>
      </c>
      <c r="AA12" s="18"/>
      <c r="AB12" s="66"/>
      <c r="AC12" s="67"/>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68">
        <f>INPUT!A12</f>
        <v>0</v>
      </c>
      <c r="B13" s="168">
        <f>INPUT!B12</f>
        <v>0</v>
      </c>
      <c r="C13" s="168">
        <f>INPUT!C12</f>
        <v>0</v>
      </c>
      <c r="D13" s="77"/>
      <c r="E13" s="78"/>
      <c r="F13" s="78"/>
      <c r="G13" s="78"/>
      <c r="H13" s="78"/>
      <c r="I13" s="79" t="str">
        <f t="shared" ref="I13:I78" si="0">IF(COUNT($D13:$H13)=0,"",SUM($D13:$H13))</f>
        <v/>
      </c>
      <c r="J13" s="80" t="str">
        <f t="shared" ref="J13:J78" si="1">IF(ISERROR(IF($I13="","",ROUND(($I13/$I$10)*$J$10,2))),"",IF($I13="","",ROUND(($I13/$I$10)*$J$10,2)))</f>
        <v/>
      </c>
      <c r="K13" s="81" t="str">
        <f t="shared" ref="K13:K78" si="2">IF($J13="","",ROUND($J13*$K$10,2))</f>
        <v/>
      </c>
      <c r="L13" s="77"/>
      <c r="M13" s="78"/>
      <c r="N13" s="78"/>
      <c r="O13" s="79" t="str">
        <f t="shared" ref="O13:O78" si="3">IF(COUNT($L13:$N13)=0,"",SUM($L13:$N13))</f>
        <v/>
      </c>
      <c r="P13" s="80" t="str">
        <f t="shared" ref="P13:P78" si="4">IF(ISERROR(IF($O13="","",ROUND(($O13/$O$10)*$P$10,2))),"",IF($O13="","",ROUND(($O13/$O$10)*$P$10,2)))</f>
        <v/>
      </c>
      <c r="Q13" s="81" t="str">
        <f t="shared" ref="Q13:Q78" si="5">IF($P13="","",ROUND($P13*$Q$10,2))</f>
        <v/>
      </c>
      <c r="R13" s="77"/>
      <c r="S13" s="78"/>
      <c r="T13" s="78"/>
      <c r="U13" s="79" t="str">
        <f t="shared" ref="U13:U78" si="6">IF(COUNT($R13:$T13)=0,"",SUM($R13:$T13))</f>
        <v/>
      </c>
      <c r="V13" s="80" t="str">
        <f t="shared" ref="V13:V78" si="7">IF(ISERROR(IF($U13="","",ROUND(($U13/$U$10)*$V$10,2))),"",IF($U13="","",ROUND(($U13/$U$10)*$V$10,2)))</f>
        <v/>
      </c>
      <c r="W13" s="81" t="str">
        <f t="shared" ref="W13:W78" si="8">IF($V13="","",ROUND($V13*$W$10,2))</f>
        <v/>
      </c>
      <c r="X13" s="82" t="str">
        <f>IF(ISERROR(IF($U13="","",ROUND(SUM($K13,$Q13,$W13),2))),"",IF($U13="","",ROUND(SUM($K13,$Q13,$W13),2)))</f>
        <v/>
      </c>
      <c r="Y13" s="83" t="str">
        <f>IF(ISERROR(IF($U13="","",VLOOKUP(X13,NewTransmu,4,TRUE))),"",IF($U13="","",VLOOKUP(X13,NewTransmu,4,TRUE)))</f>
        <v/>
      </c>
      <c r="Z13" s="84" t="str">
        <f t="shared" ref="Z13:Z78" si="9">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 t="shared" ref="AT13:AT78" si="10">(R13/$R$10)*100</f>
        <v>#DIV/0!</v>
      </c>
      <c r="AU13" s="41" t="e">
        <f t="shared" ref="AU13:AU78" si="11">(S13/$S$10)*100</f>
        <v>#DIV/0!</v>
      </c>
      <c r="AV13" s="41" t="e">
        <f t="shared" ref="AV13:AV78" si="12">(T13/$T$10)*100</f>
        <v>#DIV/0!</v>
      </c>
      <c r="AX13" s="6"/>
    </row>
    <row r="14" spans="1:50" ht="18" customHeight="1">
      <c r="A14" s="168">
        <f>INPUT!A13</f>
        <v>0</v>
      </c>
      <c r="B14" s="168">
        <f>INPUT!B13</f>
        <v>0</v>
      </c>
      <c r="C14" s="168">
        <f>INPUT!C13</f>
        <v>0</v>
      </c>
      <c r="D14" s="85"/>
      <c r="E14" s="86"/>
      <c r="F14" s="86"/>
      <c r="G14" s="86"/>
      <c r="H14" s="86"/>
      <c r="I14" s="87" t="str">
        <f t="shared" si="0"/>
        <v/>
      </c>
      <c r="J14" s="55" t="str">
        <f t="shared" si="1"/>
        <v/>
      </c>
      <c r="K14" s="88" t="str">
        <f t="shared" si="2"/>
        <v/>
      </c>
      <c r="L14" s="85"/>
      <c r="M14" s="86"/>
      <c r="N14" s="86"/>
      <c r="O14" s="87" t="str">
        <f t="shared" si="3"/>
        <v/>
      </c>
      <c r="P14" s="55" t="str">
        <f t="shared" si="4"/>
        <v/>
      </c>
      <c r="Q14" s="88" t="str">
        <f t="shared" si="5"/>
        <v/>
      </c>
      <c r="R14" s="85"/>
      <c r="S14" s="86"/>
      <c r="T14" s="86"/>
      <c r="U14" s="87" t="str">
        <f t="shared" si="6"/>
        <v/>
      </c>
      <c r="V14" s="55" t="str">
        <f t="shared" si="7"/>
        <v/>
      </c>
      <c r="W14" s="88" t="str">
        <f t="shared" si="8"/>
        <v/>
      </c>
      <c r="X14" s="89" t="str">
        <f t="shared" ref="X14:X79" si="13">IF(ISERROR(IF($T14="","",ROUND(SUM($K14,$Q14,$W14),2))),"",IF($T14="","",ROUND(SUM($K14,$Q14,$W14),2)))</f>
        <v/>
      </c>
      <c r="Y14" s="90" t="str">
        <f t="shared" ref="Y14:Y79" si="14">IF(ISERROR(IF($T14="","",VLOOKUP(X14,NewTransmu,4,TRUE))),"",IF($T14="","",VLOOKUP(X14,NewTransmu,4,TRUE)))</f>
        <v/>
      </c>
      <c r="Z14" s="91" t="str">
        <f t="shared" si="9"/>
        <v/>
      </c>
      <c r="AB14" s="92"/>
      <c r="AC14" s="92" t="s">
        <v>67</v>
      </c>
      <c r="AD14" s="92" t="s">
        <v>65</v>
      </c>
      <c r="AE14" s="92" t="s">
        <v>66</v>
      </c>
      <c r="AF14" s="23"/>
      <c r="AG14" s="23"/>
      <c r="AH14" s="23"/>
      <c r="AI14" s="23"/>
      <c r="AJ14" s="23"/>
      <c r="AK14" s="23"/>
      <c r="AL14" s="23"/>
      <c r="AM14" s="23"/>
      <c r="AN14" s="23"/>
      <c r="AO14" s="23"/>
      <c r="AP14" s="23"/>
      <c r="AQ14" s="23"/>
      <c r="AR14" s="23"/>
      <c r="AS14" s="41"/>
      <c r="AT14" s="41" t="e">
        <f t="shared" si="10"/>
        <v>#DIV/0!</v>
      </c>
      <c r="AU14" s="41" t="e">
        <f t="shared" si="11"/>
        <v>#DIV/0!</v>
      </c>
      <c r="AV14" s="41" t="e">
        <f t="shared" si="12"/>
        <v>#DIV/0!</v>
      </c>
      <c r="AX14" s="6"/>
    </row>
    <row r="15" spans="1:50" ht="18" customHeight="1">
      <c r="A15" s="168">
        <f>INPUT!A14</f>
        <v>0</v>
      </c>
      <c r="B15" s="168">
        <f>INPUT!B14</f>
        <v>0</v>
      </c>
      <c r="C15" s="168">
        <f>INPUT!C14</f>
        <v>0</v>
      </c>
      <c r="D15" s="85"/>
      <c r="E15" s="86"/>
      <c r="F15" s="86"/>
      <c r="G15" s="86"/>
      <c r="H15" s="86"/>
      <c r="I15" s="87" t="str">
        <f t="shared" si="0"/>
        <v/>
      </c>
      <c r="J15" s="55" t="str">
        <f t="shared" si="1"/>
        <v/>
      </c>
      <c r="K15" s="88" t="str">
        <f t="shared" si="2"/>
        <v/>
      </c>
      <c r="L15" s="85"/>
      <c r="M15" s="86"/>
      <c r="N15" s="86"/>
      <c r="O15" s="87" t="str">
        <f t="shared" si="3"/>
        <v/>
      </c>
      <c r="P15" s="55" t="str">
        <f t="shared" si="4"/>
        <v/>
      </c>
      <c r="Q15" s="88" t="str">
        <f t="shared" si="5"/>
        <v/>
      </c>
      <c r="R15" s="162"/>
      <c r="S15" s="86"/>
      <c r="T15" s="163"/>
      <c r="U15" s="87" t="str">
        <f t="shared" si="6"/>
        <v/>
      </c>
      <c r="V15" s="55" t="str">
        <f t="shared" si="7"/>
        <v/>
      </c>
      <c r="W15" s="88" t="str">
        <f t="shared" si="8"/>
        <v/>
      </c>
      <c r="X15" s="89" t="str">
        <f t="shared" si="13"/>
        <v/>
      </c>
      <c r="Y15" s="90" t="str">
        <f t="shared" si="14"/>
        <v/>
      </c>
      <c r="Z15" s="91" t="str">
        <f t="shared" si="9"/>
        <v/>
      </c>
      <c r="AB15" s="93" t="s">
        <v>21</v>
      </c>
      <c r="AC15" s="94">
        <f>COUNTA(R13:R113)</f>
        <v>0</v>
      </c>
      <c r="AD15" s="94">
        <f>COUNTA(S13:S113)</f>
        <v>0</v>
      </c>
      <c r="AE15" s="94">
        <f>COUNTA(T13:T113)</f>
        <v>0</v>
      </c>
      <c r="AF15" s="23"/>
      <c r="AG15" s="23"/>
      <c r="AH15" s="23"/>
      <c r="AI15" s="23"/>
      <c r="AJ15" s="23"/>
      <c r="AK15" s="23"/>
      <c r="AL15" s="23"/>
      <c r="AM15" s="23"/>
      <c r="AN15" s="23"/>
      <c r="AO15" s="23"/>
      <c r="AP15" s="23"/>
      <c r="AQ15" s="23"/>
      <c r="AR15" s="23"/>
      <c r="AS15" s="41"/>
      <c r="AT15" s="41" t="e">
        <f t="shared" si="10"/>
        <v>#DIV/0!</v>
      </c>
      <c r="AU15" s="41" t="e">
        <f t="shared" si="11"/>
        <v>#DIV/0!</v>
      </c>
      <c r="AV15" s="41" t="e">
        <f t="shared" si="12"/>
        <v>#DIV/0!</v>
      </c>
      <c r="AX15" s="6"/>
    </row>
    <row r="16" spans="1:50" ht="18" customHeight="1">
      <c r="A16" s="168">
        <f>INPUT!A15</f>
        <v>0</v>
      </c>
      <c r="B16" s="168">
        <f>INPUT!B15</f>
        <v>0</v>
      </c>
      <c r="C16" s="168">
        <f>INPUT!C15</f>
        <v>0</v>
      </c>
      <c r="D16" s="85"/>
      <c r="E16" s="86"/>
      <c r="F16" s="86"/>
      <c r="G16" s="86"/>
      <c r="H16" s="86"/>
      <c r="I16" s="87" t="str">
        <f t="shared" si="0"/>
        <v/>
      </c>
      <c r="J16" s="55" t="str">
        <f t="shared" si="1"/>
        <v/>
      </c>
      <c r="K16" s="88" t="str">
        <f t="shared" si="2"/>
        <v/>
      </c>
      <c r="L16" s="85"/>
      <c r="M16" s="86"/>
      <c r="N16" s="86"/>
      <c r="O16" s="87" t="str">
        <f t="shared" si="3"/>
        <v/>
      </c>
      <c r="P16" s="55" t="str">
        <f t="shared" si="4"/>
        <v/>
      </c>
      <c r="Q16" s="88" t="str">
        <f t="shared" si="5"/>
        <v/>
      </c>
      <c r="R16" s="85"/>
      <c r="S16" s="86"/>
      <c r="T16" s="86"/>
      <c r="U16" s="87" t="str">
        <f t="shared" si="6"/>
        <v/>
      </c>
      <c r="V16" s="55" t="str">
        <f t="shared" si="7"/>
        <v/>
      </c>
      <c r="W16" s="88" t="str">
        <f t="shared" si="8"/>
        <v/>
      </c>
      <c r="X16" s="89" t="str">
        <f t="shared" si="13"/>
        <v/>
      </c>
      <c r="Y16" s="90" t="str">
        <f t="shared" si="14"/>
        <v/>
      </c>
      <c r="Z16" s="91" t="str">
        <f t="shared" si="9"/>
        <v/>
      </c>
      <c r="AB16" s="95" t="s">
        <v>22</v>
      </c>
      <c r="AC16" s="94">
        <f>R10</f>
        <v>0</v>
      </c>
      <c r="AD16" s="94">
        <f>S10</f>
        <v>0</v>
      </c>
      <c r="AE16" s="94">
        <f>T10</f>
        <v>0</v>
      </c>
      <c r="AF16" s="23"/>
      <c r="AG16" s="23"/>
      <c r="AH16" s="23"/>
      <c r="AI16" s="23"/>
      <c r="AJ16" s="23"/>
      <c r="AK16" s="23"/>
      <c r="AL16" s="23"/>
      <c r="AM16" s="23"/>
      <c r="AN16" s="23"/>
      <c r="AO16" s="23"/>
      <c r="AP16" s="23"/>
      <c r="AQ16" s="23"/>
      <c r="AR16" s="23"/>
      <c r="AS16" s="41"/>
      <c r="AT16" s="41" t="e">
        <f t="shared" si="10"/>
        <v>#DIV/0!</v>
      </c>
      <c r="AU16" s="41" t="e">
        <f t="shared" si="11"/>
        <v>#DIV/0!</v>
      </c>
      <c r="AV16" s="41" t="e">
        <f t="shared" si="12"/>
        <v>#DIV/0!</v>
      </c>
      <c r="AX16" s="6"/>
    </row>
    <row r="17" spans="1:50" ht="18" customHeight="1">
      <c r="A17" s="168">
        <f>INPUT!A16</f>
        <v>0</v>
      </c>
      <c r="B17" s="168">
        <f>INPUT!B16</f>
        <v>0</v>
      </c>
      <c r="C17" s="168">
        <f>INPUT!C16</f>
        <v>0</v>
      </c>
      <c r="D17" s="85"/>
      <c r="E17" s="86"/>
      <c r="F17" s="86"/>
      <c r="G17" s="86"/>
      <c r="H17" s="86"/>
      <c r="I17" s="87" t="str">
        <f t="shared" si="0"/>
        <v/>
      </c>
      <c r="J17" s="55" t="str">
        <f t="shared" si="1"/>
        <v/>
      </c>
      <c r="K17" s="88" t="str">
        <f t="shared" si="2"/>
        <v/>
      </c>
      <c r="L17" s="85"/>
      <c r="M17" s="86"/>
      <c r="N17" s="86"/>
      <c r="O17" s="87" t="str">
        <f t="shared" si="3"/>
        <v/>
      </c>
      <c r="P17" s="55" t="str">
        <f t="shared" si="4"/>
        <v/>
      </c>
      <c r="Q17" s="88" t="str">
        <f t="shared" si="5"/>
        <v/>
      </c>
      <c r="R17" s="85"/>
      <c r="S17" s="86"/>
      <c r="T17" s="86"/>
      <c r="U17" s="87" t="str">
        <f t="shared" si="6"/>
        <v/>
      </c>
      <c r="V17" s="55" t="str">
        <f t="shared" si="7"/>
        <v/>
      </c>
      <c r="W17" s="88" t="str">
        <f t="shared" si="8"/>
        <v/>
      </c>
      <c r="X17" s="89" t="str">
        <f t="shared" si="13"/>
        <v/>
      </c>
      <c r="Y17" s="90" t="str">
        <f t="shared" si="14"/>
        <v/>
      </c>
      <c r="Z17" s="91" t="str">
        <f t="shared" si="9"/>
        <v/>
      </c>
      <c r="AB17" s="96"/>
      <c r="AC17" s="96"/>
      <c r="AD17" s="96"/>
      <c r="AE17" s="96"/>
      <c r="AF17" s="23"/>
      <c r="AG17" s="23"/>
      <c r="AH17" s="23"/>
      <c r="AI17" s="23"/>
      <c r="AJ17" s="23"/>
      <c r="AK17" s="23"/>
      <c r="AL17" s="23"/>
      <c r="AM17" s="23"/>
      <c r="AN17" s="23"/>
      <c r="AO17" s="23"/>
      <c r="AP17" s="23"/>
      <c r="AQ17" s="23"/>
      <c r="AR17" s="23"/>
      <c r="AS17" s="41"/>
      <c r="AT17" s="41" t="e">
        <f t="shared" si="10"/>
        <v>#DIV/0!</v>
      </c>
      <c r="AU17" s="41" t="e">
        <f t="shared" si="11"/>
        <v>#DIV/0!</v>
      </c>
      <c r="AV17" s="41" t="e">
        <f t="shared" si="12"/>
        <v>#DIV/0!</v>
      </c>
      <c r="AX17" s="6"/>
    </row>
    <row r="18" spans="1:50" ht="18" customHeight="1">
      <c r="A18" s="168">
        <f>INPUT!A17</f>
        <v>0</v>
      </c>
      <c r="B18" s="168">
        <f>INPUT!B17</f>
        <v>0</v>
      </c>
      <c r="C18" s="168">
        <f>INPUT!C17</f>
        <v>0</v>
      </c>
      <c r="D18" s="85"/>
      <c r="E18" s="86"/>
      <c r="F18" s="86"/>
      <c r="G18" s="86"/>
      <c r="H18" s="86"/>
      <c r="I18" s="87" t="str">
        <f t="shared" si="0"/>
        <v/>
      </c>
      <c r="J18" s="55" t="str">
        <f t="shared" si="1"/>
        <v/>
      </c>
      <c r="K18" s="88" t="str">
        <f t="shared" si="2"/>
        <v/>
      </c>
      <c r="L18" s="85"/>
      <c r="M18" s="86"/>
      <c r="N18" s="86"/>
      <c r="O18" s="87" t="str">
        <f t="shared" si="3"/>
        <v/>
      </c>
      <c r="P18" s="55" t="str">
        <f t="shared" si="4"/>
        <v/>
      </c>
      <c r="Q18" s="88" t="str">
        <f t="shared" si="5"/>
        <v/>
      </c>
      <c r="R18" s="85"/>
      <c r="S18" s="86"/>
      <c r="T18" s="86"/>
      <c r="U18" s="87" t="str">
        <f t="shared" si="6"/>
        <v/>
      </c>
      <c r="V18" s="55" t="str">
        <f t="shared" si="7"/>
        <v/>
      </c>
      <c r="W18" s="88" t="str">
        <f t="shared" si="8"/>
        <v/>
      </c>
      <c r="X18" s="89" t="str">
        <f t="shared" si="13"/>
        <v/>
      </c>
      <c r="Y18" s="90" t="str">
        <f t="shared" si="14"/>
        <v/>
      </c>
      <c r="Z18" s="91" t="str">
        <f t="shared" si="9"/>
        <v/>
      </c>
      <c r="AB18" s="97" t="s">
        <v>23</v>
      </c>
      <c r="AC18" s="92" t="s">
        <v>67</v>
      </c>
      <c r="AD18" s="92" t="s">
        <v>65</v>
      </c>
      <c r="AE18" s="92" t="s">
        <v>66</v>
      </c>
      <c r="AF18" s="23"/>
      <c r="AG18" s="23"/>
      <c r="AH18" s="23"/>
      <c r="AI18" s="23"/>
      <c r="AJ18" s="23"/>
      <c r="AK18" s="23"/>
      <c r="AL18" s="23"/>
      <c r="AM18" s="23"/>
      <c r="AN18" s="23"/>
      <c r="AO18" s="23"/>
      <c r="AP18" s="23"/>
      <c r="AQ18" s="23"/>
      <c r="AR18" s="23"/>
      <c r="AS18" s="41"/>
      <c r="AT18" s="41" t="e">
        <f t="shared" si="10"/>
        <v>#DIV/0!</v>
      </c>
      <c r="AU18" s="41" t="e">
        <f t="shared" si="11"/>
        <v>#DIV/0!</v>
      </c>
      <c r="AV18" s="41" t="e">
        <f t="shared" si="12"/>
        <v>#DIV/0!</v>
      </c>
      <c r="AX18" s="6"/>
    </row>
    <row r="19" spans="1:50" ht="18" customHeight="1">
      <c r="A19" s="168">
        <f>INPUT!A18</f>
        <v>0</v>
      </c>
      <c r="B19" s="168">
        <f>INPUT!B18</f>
        <v>0</v>
      </c>
      <c r="C19" s="168">
        <f>INPUT!C18</f>
        <v>0</v>
      </c>
      <c r="D19" s="85"/>
      <c r="E19" s="86"/>
      <c r="F19" s="86"/>
      <c r="G19" s="86"/>
      <c r="H19" s="86"/>
      <c r="I19" s="87" t="str">
        <f t="shared" si="0"/>
        <v/>
      </c>
      <c r="J19" s="55" t="str">
        <f t="shared" si="1"/>
        <v/>
      </c>
      <c r="K19" s="88" t="str">
        <f t="shared" si="2"/>
        <v/>
      </c>
      <c r="L19" s="85"/>
      <c r="M19" s="86"/>
      <c r="N19" s="86"/>
      <c r="O19" s="87" t="str">
        <f t="shared" si="3"/>
        <v/>
      </c>
      <c r="P19" s="55" t="str">
        <f t="shared" si="4"/>
        <v/>
      </c>
      <c r="Q19" s="88" t="str">
        <f t="shared" si="5"/>
        <v/>
      </c>
      <c r="R19" s="85"/>
      <c r="S19" s="86"/>
      <c r="T19" s="86"/>
      <c r="U19" s="87" t="str">
        <f t="shared" si="6"/>
        <v/>
      </c>
      <c r="V19" s="55" t="str">
        <f t="shared" si="7"/>
        <v/>
      </c>
      <c r="W19" s="88" t="str">
        <f t="shared" si="8"/>
        <v/>
      </c>
      <c r="X19" s="89" t="str">
        <f t="shared" si="13"/>
        <v/>
      </c>
      <c r="Y19" s="90" t="str">
        <f t="shared" si="14"/>
        <v/>
      </c>
      <c r="Z19" s="91" t="str">
        <f t="shared" si="9"/>
        <v/>
      </c>
      <c r="AB19" s="98" t="s">
        <v>24</v>
      </c>
      <c r="AC19" s="99">
        <f>COUNTIF(AT13:AT113,"&gt;=75")</f>
        <v>0</v>
      </c>
      <c r="AD19" s="99">
        <f>COUNTIF(AU13:AU113,"&gt;=75")</f>
        <v>0</v>
      </c>
      <c r="AE19" s="99">
        <f>COUNTIF(AV13:AV113,"&gt;=75")</f>
        <v>0</v>
      </c>
      <c r="AF19" s="23"/>
      <c r="AG19" s="23"/>
      <c r="AH19" s="23"/>
      <c r="AI19" s="23"/>
      <c r="AJ19" s="23"/>
      <c r="AK19" s="23"/>
      <c r="AL19" s="23"/>
      <c r="AM19" s="23"/>
      <c r="AN19" s="23"/>
      <c r="AO19" s="23"/>
      <c r="AP19" s="23"/>
      <c r="AQ19" s="23"/>
      <c r="AR19" s="23"/>
      <c r="AS19" s="41"/>
      <c r="AT19" s="41" t="e">
        <f t="shared" si="10"/>
        <v>#DIV/0!</v>
      </c>
      <c r="AU19" s="41" t="e">
        <f t="shared" si="11"/>
        <v>#DIV/0!</v>
      </c>
      <c r="AV19" s="41" t="e">
        <f t="shared" si="12"/>
        <v>#DIV/0!</v>
      </c>
      <c r="AX19" s="6"/>
    </row>
    <row r="20" spans="1:50" ht="18" customHeight="1">
      <c r="A20" s="168">
        <f>INPUT!A19</f>
        <v>0</v>
      </c>
      <c r="B20" s="168">
        <f>INPUT!B19</f>
        <v>0</v>
      </c>
      <c r="C20" s="168">
        <f>INPUT!C19</f>
        <v>0</v>
      </c>
      <c r="D20" s="85"/>
      <c r="E20" s="86"/>
      <c r="F20" s="86"/>
      <c r="G20" s="86"/>
      <c r="H20" s="86"/>
      <c r="I20" s="87" t="str">
        <f t="shared" si="0"/>
        <v/>
      </c>
      <c r="J20" s="55" t="str">
        <f t="shared" si="1"/>
        <v/>
      </c>
      <c r="K20" s="88" t="str">
        <f t="shared" si="2"/>
        <v/>
      </c>
      <c r="L20" s="85"/>
      <c r="M20" s="86"/>
      <c r="N20" s="86"/>
      <c r="O20" s="87" t="str">
        <f t="shared" si="3"/>
        <v/>
      </c>
      <c r="P20" s="55" t="str">
        <f t="shared" si="4"/>
        <v/>
      </c>
      <c r="Q20" s="88" t="str">
        <f t="shared" si="5"/>
        <v/>
      </c>
      <c r="R20" s="85"/>
      <c r="S20" s="86"/>
      <c r="T20" s="86"/>
      <c r="U20" s="87" t="str">
        <f t="shared" si="6"/>
        <v/>
      </c>
      <c r="V20" s="55" t="str">
        <f t="shared" si="7"/>
        <v/>
      </c>
      <c r="W20" s="88" t="str">
        <f t="shared" si="8"/>
        <v/>
      </c>
      <c r="X20" s="89" t="str">
        <f t="shared" si="13"/>
        <v/>
      </c>
      <c r="Y20" s="90" t="str">
        <f t="shared" si="14"/>
        <v/>
      </c>
      <c r="Z20" s="91" t="str">
        <f t="shared" si="9"/>
        <v/>
      </c>
      <c r="AB20" s="98" t="s">
        <v>25</v>
      </c>
      <c r="AC20" s="100" t="str">
        <f>IFERROR(AC19/AC15,"")</f>
        <v/>
      </c>
      <c r="AD20" s="100" t="str">
        <f>IFERROR(AD19/AD15,"")</f>
        <v/>
      </c>
      <c r="AE20" s="100" t="str">
        <f>IFERROR(AE19/AE15,"")</f>
        <v/>
      </c>
      <c r="AF20" s="23"/>
      <c r="AG20" s="23"/>
      <c r="AH20" s="23"/>
      <c r="AI20" s="23"/>
      <c r="AJ20" s="23"/>
      <c r="AK20" s="23"/>
      <c r="AL20" s="23"/>
      <c r="AM20" s="23"/>
      <c r="AN20" s="23"/>
      <c r="AO20" s="23"/>
      <c r="AP20" s="23"/>
      <c r="AQ20" s="23"/>
      <c r="AR20" s="23"/>
      <c r="AS20" s="41"/>
      <c r="AT20" s="41" t="e">
        <f t="shared" si="10"/>
        <v>#DIV/0!</v>
      </c>
      <c r="AU20" s="41" t="e">
        <f t="shared" si="11"/>
        <v>#DIV/0!</v>
      </c>
      <c r="AV20" s="41" t="e">
        <f t="shared" si="12"/>
        <v>#DIV/0!</v>
      </c>
      <c r="AX20" s="6"/>
    </row>
    <row r="21" spans="1:50" ht="18" customHeight="1">
      <c r="A21" s="168">
        <f>INPUT!A20</f>
        <v>0</v>
      </c>
      <c r="B21" s="168">
        <f>INPUT!B20</f>
        <v>0</v>
      </c>
      <c r="C21" s="168">
        <f>INPUT!C20</f>
        <v>0</v>
      </c>
      <c r="D21" s="85"/>
      <c r="E21" s="86"/>
      <c r="F21" s="86"/>
      <c r="G21" s="86"/>
      <c r="H21" s="86"/>
      <c r="I21" s="87" t="str">
        <f t="shared" si="0"/>
        <v/>
      </c>
      <c r="J21" s="55" t="str">
        <f t="shared" si="1"/>
        <v/>
      </c>
      <c r="K21" s="88" t="str">
        <f t="shared" si="2"/>
        <v/>
      </c>
      <c r="L21" s="85"/>
      <c r="M21" s="86"/>
      <c r="N21" s="86"/>
      <c r="O21" s="87" t="str">
        <f t="shared" si="3"/>
        <v/>
      </c>
      <c r="P21" s="55" t="str">
        <f t="shared" si="4"/>
        <v/>
      </c>
      <c r="Q21" s="88" t="str">
        <f t="shared" si="5"/>
        <v/>
      </c>
      <c r="R21" s="85"/>
      <c r="S21" s="86"/>
      <c r="T21" s="86"/>
      <c r="U21" s="87" t="str">
        <f t="shared" si="6"/>
        <v/>
      </c>
      <c r="V21" s="55" t="str">
        <f t="shared" si="7"/>
        <v/>
      </c>
      <c r="W21" s="88" t="str">
        <f t="shared" si="8"/>
        <v/>
      </c>
      <c r="X21" s="89" t="str">
        <f t="shared" si="13"/>
        <v/>
      </c>
      <c r="Y21" s="90" t="str">
        <f t="shared" si="14"/>
        <v/>
      </c>
      <c r="Z21" s="91" t="str">
        <f t="shared" si="9"/>
        <v/>
      </c>
      <c r="AB21" s="98" t="s">
        <v>26</v>
      </c>
      <c r="AC21" s="99">
        <f>AC15-AC19</f>
        <v>0</v>
      </c>
      <c r="AD21" s="99">
        <f>AD15-AD19</f>
        <v>0</v>
      </c>
      <c r="AE21" s="99">
        <f>AE15-AE19</f>
        <v>0</v>
      </c>
      <c r="AF21" s="23"/>
      <c r="AG21" s="23"/>
      <c r="AH21" s="23"/>
      <c r="AI21" s="23"/>
      <c r="AJ21" s="23"/>
      <c r="AK21" s="23"/>
      <c r="AL21" s="23"/>
      <c r="AM21" s="23"/>
      <c r="AN21" s="23"/>
      <c r="AO21" s="23"/>
      <c r="AP21" s="23"/>
      <c r="AQ21" s="23"/>
      <c r="AR21" s="23"/>
      <c r="AS21" s="41"/>
      <c r="AT21" s="41" t="e">
        <f t="shared" si="10"/>
        <v>#DIV/0!</v>
      </c>
      <c r="AU21" s="41" t="e">
        <f t="shared" si="11"/>
        <v>#DIV/0!</v>
      </c>
      <c r="AV21" s="41" t="e">
        <f t="shared" si="12"/>
        <v>#DIV/0!</v>
      </c>
      <c r="AX21" s="6"/>
    </row>
    <row r="22" spans="1:50" ht="18" customHeight="1">
      <c r="A22" s="168">
        <f>INPUT!A21</f>
        <v>0</v>
      </c>
      <c r="B22" s="168">
        <f>INPUT!B21</f>
        <v>0</v>
      </c>
      <c r="C22" s="168">
        <f>INPUT!C21</f>
        <v>0</v>
      </c>
      <c r="D22" s="85"/>
      <c r="E22" s="86"/>
      <c r="F22" s="86"/>
      <c r="G22" s="86"/>
      <c r="H22" s="86"/>
      <c r="I22" s="87" t="str">
        <f t="shared" si="0"/>
        <v/>
      </c>
      <c r="J22" s="55" t="str">
        <f t="shared" si="1"/>
        <v/>
      </c>
      <c r="K22" s="88" t="str">
        <f t="shared" si="2"/>
        <v/>
      </c>
      <c r="L22" s="85"/>
      <c r="M22" s="86"/>
      <c r="N22" s="86"/>
      <c r="O22" s="87" t="str">
        <f t="shared" si="3"/>
        <v/>
      </c>
      <c r="P22" s="55" t="str">
        <f t="shared" si="4"/>
        <v/>
      </c>
      <c r="Q22" s="88" t="str">
        <f t="shared" si="5"/>
        <v/>
      </c>
      <c r="R22" s="85"/>
      <c r="S22" s="86"/>
      <c r="T22" s="86"/>
      <c r="U22" s="87" t="str">
        <f t="shared" si="6"/>
        <v/>
      </c>
      <c r="V22" s="55" t="str">
        <f t="shared" si="7"/>
        <v/>
      </c>
      <c r="W22" s="88" t="str">
        <f t="shared" si="8"/>
        <v/>
      </c>
      <c r="X22" s="89" t="str">
        <f t="shared" si="13"/>
        <v/>
      </c>
      <c r="Y22" s="90" t="str">
        <f t="shared" si="14"/>
        <v/>
      </c>
      <c r="Z22" s="91" t="str">
        <f t="shared" si="9"/>
        <v/>
      </c>
      <c r="AB22" s="98" t="s">
        <v>25</v>
      </c>
      <c r="AC22" s="100" t="str">
        <f>IFERROR(1-AC20,"")</f>
        <v/>
      </c>
      <c r="AD22" s="100" t="str">
        <f>IFERROR(1-AD20,"")</f>
        <v/>
      </c>
      <c r="AE22" s="100" t="str">
        <f>IFERROR(1-AE20,"")</f>
        <v/>
      </c>
      <c r="AF22" s="23"/>
      <c r="AG22" s="23"/>
      <c r="AH22" s="23"/>
      <c r="AI22" s="23"/>
      <c r="AJ22" s="23"/>
      <c r="AK22" s="23"/>
      <c r="AL22" s="23"/>
      <c r="AM22" s="23"/>
      <c r="AN22" s="23"/>
      <c r="AO22" s="23"/>
      <c r="AP22" s="23"/>
      <c r="AQ22" s="23"/>
      <c r="AR22" s="23"/>
      <c r="AS22" s="41"/>
      <c r="AT22" s="41" t="e">
        <f t="shared" si="10"/>
        <v>#DIV/0!</v>
      </c>
      <c r="AU22" s="41" t="e">
        <f t="shared" si="11"/>
        <v>#DIV/0!</v>
      </c>
      <c r="AV22" s="41" t="e">
        <f t="shared" si="12"/>
        <v>#DIV/0!</v>
      </c>
      <c r="AX22" s="6"/>
    </row>
    <row r="23" spans="1:50" ht="18" customHeight="1">
      <c r="A23" s="168">
        <f>INPUT!A22</f>
        <v>0</v>
      </c>
      <c r="B23" s="168">
        <f>INPUT!B22</f>
        <v>0</v>
      </c>
      <c r="C23" s="168">
        <f>INPUT!C22</f>
        <v>0</v>
      </c>
      <c r="D23" s="85"/>
      <c r="E23" s="86"/>
      <c r="F23" s="86"/>
      <c r="G23" s="86"/>
      <c r="H23" s="86"/>
      <c r="I23" s="87" t="str">
        <f t="shared" si="0"/>
        <v/>
      </c>
      <c r="J23" s="55" t="str">
        <f t="shared" si="1"/>
        <v/>
      </c>
      <c r="K23" s="88" t="str">
        <f t="shared" si="2"/>
        <v/>
      </c>
      <c r="L23" s="85"/>
      <c r="M23" s="86"/>
      <c r="N23" s="86"/>
      <c r="O23" s="87" t="str">
        <f t="shared" si="3"/>
        <v/>
      </c>
      <c r="P23" s="55" t="str">
        <f t="shared" si="4"/>
        <v/>
      </c>
      <c r="Q23" s="88" t="str">
        <f t="shared" si="5"/>
        <v/>
      </c>
      <c r="R23" s="85"/>
      <c r="S23" s="86"/>
      <c r="T23" s="86"/>
      <c r="U23" s="87" t="str">
        <f t="shared" si="6"/>
        <v/>
      </c>
      <c r="V23" s="55" t="str">
        <f t="shared" si="7"/>
        <v/>
      </c>
      <c r="W23" s="88" t="str">
        <f t="shared" si="8"/>
        <v/>
      </c>
      <c r="X23" s="89" t="str">
        <f t="shared" si="13"/>
        <v/>
      </c>
      <c r="Y23" s="90" t="str">
        <f t="shared" si="14"/>
        <v/>
      </c>
      <c r="Z23" s="91" t="str">
        <f t="shared" si="9"/>
        <v/>
      </c>
      <c r="AB23" s="96"/>
      <c r="AC23" s="96"/>
      <c r="AD23" s="96"/>
      <c r="AE23" s="96"/>
      <c r="AR23" s="48"/>
      <c r="AT23" s="41" t="e">
        <f t="shared" si="10"/>
        <v>#DIV/0!</v>
      </c>
      <c r="AU23" s="41" t="e">
        <f t="shared" si="11"/>
        <v>#DIV/0!</v>
      </c>
      <c r="AV23" s="41" t="e">
        <f t="shared" si="12"/>
        <v>#DIV/0!</v>
      </c>
      <c r="AX23" s="6"/>
    </row>
    <row r="24" spans="1:50" ht="18" customHeight="1">
      <c r="A24" s="168">
        <f>INPUT!A23</f>
        <v>0</v>
      </c>
      <c r="B24" s="168">
        <f>INPUT!B23</f>
        <v>0</v>
      </c>
      <c r="C24" s="168">
        <f>INPUT!C23</f>
        <v>0</v>
      </c>
      <c r="D24" s="85"/>
      <c r="E24" s="86"/>
      <c r="F24" s="86"/>
      <c r="G24" s="86"/>
      <c r="H24" s="86"/>
      <c r="I24" s="87" t="str">
        <f t="shared" si="0"/>
        <v/>
      </c>
      <c r="J24" s="55" t="str">
        <f t="shared" si="1"/>
        <v/>
      </c>
      <c r="K24" s="88" t="str">
        <f t="shared" si="2"/>
        <v/>
      </c>
      <c r="L24" s="85"/>
      <c r="M24" s="86"/>
      <c r="N24" s="86"/>
      <c r="O24" s="87" t="str">
        <f t="shared" si="3"/>
        <v/>
      </c>
      <c r="P24" s="55" t="str">
        <f t="shared" si="4"/>
        <v/>
      </c>
      <c r="Q24" s="88" t="str">
        <f t="shared" si="5"/>
        <v/>
      </c>
      <c r="R24" s="85"/>
      <c r="S24" s="86"/>
      <c r="T24" s="86"/>
      <c r="U24" s="87" t="str">
        <f t="shared" si="6"/>
        <v/>
      </c>
      <c r="V24" s="55" t="str">
        <f t="shared" si="7"/>
        <v/>
      </c>
      <c r="W24" s="88" t="str">
        <f t="shared" si="8"/>
        <v/>
      </c>
      <c r="X24" s="89" t="str">
        <f t="shared" si="13"/>
        <v/>
      </c>
      <c r="Y24" s="90" t="str">
        <f t="shared" si="14"/>
        <v/>
      </c>
      <c r="Z24" s="91" t="str">
        <f t="shared" si="9"/>
        <v/>
      </c>
      <c r="AB24" s="97" t="s">
        <v>27</v>
      </c>
      <c r="AC24" s="92" t="s">
        <v>67</v>
      </c>
      <c r="AD24" s="92" t="s">
        <v>65</v>
      </c>
      <c r="AE24" s="92" t="s">
        <v>66</v>
      </c>
      <c r="AF24" s="101"/>
      <c r="AG24" s="101"/>
      <c r="AH24" s="101"/>
      <c r="AI24" s="101"/>
      <c r="AJ24" s="101"/>
      <c r="AK24" s="101"/>
      <c r="AL24" s="101"/>
      <c r="AM24" s="101"/>
      <c r="AN24" s="101"/>
      <c r="AO24" s="101"/>
      <c r="AP24" s="101"/>
      <c r="AQ24" s="101"/>
      <c r="AR24" s="101"/>
      <c r="AS24" s="42"/>
      <c r="AT24" s="41" t="e">
        <f t="shared" si="10"/>
        <v>#DIV/0!</v>
      </c>
      <c r="AU24" s="41" t="e">
        <f t="shared" si="11"/>
        <v>#DIV/0!</v>
      </c>
      <c r="AV24" s="41" t="e">
        <f t="shared" si="12"/>
        <v>#DIV/0!</v>
      </c>
      <c r="AX24" s="6"/>
    </row>
    <row r="25" spans="1:50" ht="18" customHeight="1">
      <c r="A25" s="168">
        <f>INPUT!A24</f>
        <v>0</v>
      </c>
      <c r="B25" s="168">
        <f>INPUT!B24</f>
        <v>0</v>
      </c>
      <c r="C25" s="168">
        <f>INPUT!C24</f>
        <v>0</v>
      </c>
      <c r="D25" s="85"/>
      <c r="E25" s="86"/>
      <c r="F25" s="86"/>
      <c r="G25" s="86"/>
      <c r="H25" s="86"/>
      <c r="I25" s="87" t="str">
        <f t="shared" si="0"/>
        <v/>
      </c>
      <c r="J25" s="55" t="str">
        <f t="shared" si="1"/>
        <v/>
      </c>
      <c r="K25" s="88" t="str">
        <f t="shared" si="2"/>
        <v/>
      </c>
      <c r="L25" s="85"/>
      <c r="M25" s="86"/>
      <c r="N25" s="86"/>
      <c r="O25" s="87" t="str">
        <f t="shared" si="3"/>
        <v/>
      </c>
      <c r="P25" s="55" t="str">
        <f t="shared" si="4"/>
        <v/>
      </c>
      <c r="Q25" s="88" t="str">
        <f t="shared" si="5"/>
        <v/>
      </c>
      <c r="R25" s="85"/>
      <c r="S25" s="86"/>
      <c r="T25" s="86"/>
      <c r="U25" s="87" t="str">
        <f t="shared" si="6"/>
        <v/>
      </c>
      <c r="V25" s="55" t="str">
        <f t="shared" si="7"/>
        <v/>
      </c>
      <c r="W25" s="88" t="str">
        <f t="shared" si="8"/>
        <v/>
      </c>
      <c r="X25" s="89" t="str">
        <f t="shared" si="13"/>
        <v/>
      </c>
      <c r="Y25" s="90" t="str">
        <f t="shared" si="14"/>
        <v/>
      </c>
      <c r="Z25" s="91" t="str">
        <f t="shared" si="9"/>
        <v/>
      </c>
      <c r="AB25" s="98" t="s">
        <v>28</v>
      </c>
      <c r="AC25" s="102" t="str">
        <f>IFERROR(AVERAGE(R13:R113),"")</f>
        <v/>
      </c>
      <c r="AD25" s="102" t="str">
        <f>IFERROR(AVERAGE(S13:S113),"")</f>
        <v/>
      </c>
      <c r="AE25" s="102" t="str">
        <f>IFERROR(AVERAGE(T13:T113),"")</f>
        <v/>
      </c>
      <c r="AF25" s="101"/>
      <c r="AG25" s="101"/>
      <c r="AH25" s="101"/>
      <c r="AI25" s="101"/>
      <c r="AJ25" s="101"/>
      <c r="AK25" s="101"/>
      <c r="AL25" s="101"/>
      <c r="AM25" s="101"/>
      <c r="AN25" s="101"/>
      <c r="AO25" s="101"/>
      <c r="AP25" s="101"/>
      <c r="AQ25" s="101"/>
      <c r="AR25" s="101"/>
      <c r="AS25" s="42"/>
      <c r="AT25" s="41" t="e">
        <f t="shared" si="10"/>
        <v>#DIV/0!</v>
      </c>
      <c r="AU25" s="41" t="e">
        <f t="shared" si="11"/>
        <v>#DIV/0!</v>
      </c>
      <c r="AV25" s="41" t="e">
        <f t="shared" si="12"/>
        <v>#DIV/0!</v>
      </c>
      <c r="AX25" s="6"/>
    </row>
    <row r="26" spans="1:50" ht="18" customHeight="1">
      <c r="A26" s="168">
        <f>INPUT!A25</f>
        <v>0</v>
      </c>
      <c r="B26" s="168">
        <f>INPUT!B25</f>
        <v>0</v>
      </c>
      <c r="C26" s="168">
        <f>INPUT!C25</f>
        <v>0</v>
      </c>
      <c r="D26" s="85"/>
      <c r="E26" s="86"/>
      <c r="F26" s="86"/>
      <c r="G26" s="86"/>
      <c r="H26" s="86"/>
      <c r="I26" s="87" t="str">
        <f t="shared" si="0"/>
        <v/>
      </c>
      <c r="J26" s="55" t="str">
        <f t="shared" si="1"/>
        <v/>
      </c>
      <c r="K26" s="88" t="str">
        <f t="shared" si="2"/>
        <v/>
      </c>
      <c r="L26" s="85"/>
      <c r="M26" s="86"/>
      <c r="N26" s="86"/>
      <c r="O26" s="87" t="str">
        <f t="shared" si="3"/>
        <v/>
      </c>
      <c r="P26" s="55" t="str">
        <f t="shared" si="4"/>
        <v/>
      </c>
      <c r="Q26" s="88" t="str">
        <f t="shared" si="5"/>
        <v/>
      </c>
      <c r="R26" s="85"/>
      <c r="S26" s="86"/>
      <c r="T26" s="86"/>
      <c r="U26" s="87" t="str">
        <f t="shared" si="6"/>
        <v/>
      </c>
      <c r="V26" s="55" t="str">
        <f t="shared" si="7"/>
        <v/>
      </c>
      <c r="W26" s="88" t="str">
        <f t="shared" si="8"/>
        <v/>
      </c>
      <c r="X26" s="89" t="str">
        <f t="shared" si="13"/>
        <v/>
      </c>
      <c r="Y26" s="90" t="str">
        <f t="shared" si="14"/>
        <v/>
      </c>
      <c r="Z26" s="91" t="str">
        <f t="shared" si="9"/>
        <v/>
      </c>
      <c r="AB26" s="98" t="s">
        <v>29</v>
      </c>
      <c r="AC26" s="102" t="str">
        <f>IFERROR(MEDIAN(R13:R113),"")</f>
        <v/>
      </c>
      <c r="AD26" s="102" t="str">
        <f>IFERROR(MEDIAN(S13:S113),"")</f>
        <v/>
      </c>
      <c r="AE26" s="102" t="str">
        <f>IFERROR(MEDIAN(T13:T113),"")</f>
        <v/>
      </c>
      <c r="AF26" s="101"/>
      <c r="AG26" s="101"/>
      <c r="AH26" s="101"/>
      <c r="AI26" s="101"/>
      <c r="AJ26" s="101"/>
      <c r="AK26" s="101"/>
      <c r="AL26" s="101"/>
      <c r="AM26" s="101"/>
      <c r="AN26" s="101"/>
      <c r="AO26" s="101"/>
      <c r="AP26" s="101"/>
      <c r="AQ26" s="101"/>
      <c r="AR26" s="101"/>
      <c r="AS26" s="42"/>
      <c r="AT26" s="41" t="e">
        <f t="shared" si="10"/>
        <v>#DIV/0!</v>
      </c>
      <c r="AU26" s="41" t="e">
        <f t="shared" si="11"/>
        <v>#DIV/0!</v>
      </c>
      <c r="AV26" s="41" t="e">
        <f t="shared" si="12"/>
        <v>#DIV/0!</v>
      </c>
      <c r="AX26" s="6"/>
    </row>
    <row r="27" spans="1:50" ht="18" customHeight="1">
      <c r="A27" s="168">
        <f>INPUT!A26</f>
        <v>0</v>
      </c>
      <c r="B27" s="168">
        <f>INPUT!B26</f>
        <v>0</v>
      </c>
      <c r="C27" s="168">
        <f>INPUT!C26</f>
        <v>0</v>
      </c>
      <c r="D27" s="85"/>
      <c r="E27" s="86"/>
      <c r="F27" s="86"/>
      <c r="G27" s="86"/>
      <c r="H27" s="86"/>
      <c r="I27" s="87" t="str">
        <f t="shared" si="0"/>
        <v/>
      </c>
      <c r="J27" s="55" t="str">
        <f t="shared" si="1"/>
        <v/>
      </c>
      <c r="K27" s="88" t="str">
        <f t="shared" si="2"/>
        <v/>
      </c>
      <c r="L27" s="85"/>
      <c r="M27" s="86"/>
      <c r="N27" s="86"/>
      <c r="O27" s="87" t="str">
        <f t="shared" si="3"/>
        <v/>
      </c>
      <c r="P27" s="55" t="str">
        <f t="shared" si="4"/>
        <v/>
      </c>
      <c r="Q27" s="88" t="str">
        <f t="shared" si="5"/>
        <v/>
      </c>
      <c r="R27" s="85"/>
      <c r="S27" s="86"/>
      <c r="T27" s="86"/>
      <c r="U27" s="87" t="str">
        <f t="shared" si="6"/>
        <v/>
      </c>
      <c r="V27" s="55" t="str">
        <f t="shared" si="7"/>
        <v/>
      </c>
      <c r="W27" s="88" t="str">
        <f t="shared" si="8"/>
        <v/>
      </c>
      <c r="X27" s="89" t="str">
        <f t="shared" si="13"/>
        <v/>
      </c>
      <c r="Y27" s="90" t="str">
        <f t="shared" si="14"/>
        <v/>
      </c>
      <c r="Z27" s="91" t="str">
        <f t="shared" si="9"/>
        <v/>
      </c>
      <c r="AB27" s="98" t="s">
        <v>30</v>
      </c>
      <c r="AC27" s="102" t="str">
        <f>IFERROR(_xlfn.STDEV.S(R13:R113),"")</f>
        <v/>
      </c>
      <c r="AD27" s="102" t="e">
        <f>_xlfn.STDEV.S(S13:S113)</f>
        <v>#DIV/0!</v>
      </c>
      <c r="AE27" s="102" t="e">
        <f>_xlfn.STDEV.S(T13:T113)</f>
        <v>#DIV/0!</v>
      </c>
      <c r="AR27" s="48"/>
      <c r="AT27" s="41" t="e">
        <f t="shared" si="10"/>
        <v>#DIV/0!</v>
      </c>
      <c r="AU27" s="41" t="e">
        <f t="shared" si="11"/>
        <v>#DIV/0!</v>
      </c>
      <c r="AV27" s="41" t="e">
        <f t="shared" si="12"/>
        <v>#DIV/0!</v>
      </c>
      <c r="AX27" s="6"/>
    </row>
    <row r="28" spans="1:50" ht="18" customHeight="1">
      <c r="A28" s="168">
        <f>INPUT!A27</f>
        <v>0</v>
      </c>
      <c r="B28" s="168">
        <f>INPUT!B27</f>
        <v>0</v>
      </c>
      <c r="C28" s="168">
        <f>INPUT!C27</f>
        <v>0</v>
      </c>
      <c r="D28" s="85"/>
      <c r="E28" s="86"/>
      <c r="F28" s="86"/>
      <c r="G28" s="86"/>
      <c r="H28" s="86"/>
      <c r="I28" s="87" t="str">
        <f t="shared" si="0"/>
        <v/>
      </c>
      <c r="J28" s="55" t="str">
        <f t="shared" si="1"/>
        <v/>
      </c>
      <c r="K28" s="88" t="str">
        <f t="shared" si="2"/>
        <v/>
      </c>
      <c r="L28" s="85"/>
      <c r="M28" s="86"/>
      <c r="N28" s="86"/>
      <c r="O28" s="87" t="str">
        <f t="shared" si="3"/>
        <v/>
      </c>
      <c r="P28" s="55" t="str">
        <f t="shared" si="4"/>
        <v/>
      </c>
      <c r="Q28" s="88" t="str">
        <f t="shared" si="5"/>
        <v/>
      </c>
      <c r="R28" s="85"/>
      <c r="S28" s="86"/>
      <c r="T28" s="86"/>
      <c r="U28" s="87" t="str">
        <f t="shared" si="6"/>
        <v/>
      </c>
      <c r="V28" s="55" t="str">
        <f t="shared" si="7"/>
        <v/>
      </c>
      <c r="W28" s="88" t="str">
        <f t="shared" si="8"/>
        <v/>
      </c>
      <c r="X28" s="89" t="str">
        <f t="shared" si="13"/>
        <v/>
      </c>
      <c r="Y28" s="90" t="str">
        <f t="shared" si="14"/>
        <v/>
      </c>
      <c r="Z28" s="91" t="str">
        <f t="shared" si="9"/>
        <v/>
      </c>
      <c r="AB28" s="98" t="s">
        <v>31</v>
      </c>
      <c r="AC28" s="103" t="str">
        <f>IFERROR(AC25/AC16,"")</f>
        <v/>
      </c>
      <c r="AD28" s="103" t="str">
        <f>IFERROR(AD25/AD16,"")</f>
        <v/>
      </c>
      <c r="AE28" s="103" t="str">
        <f>IFERROR(AE25/AE16,"")</f>
        <v/>
      </c>
      <c r="AR28" s="48"/>
      <c r="AT28" s="41" t="e">
        <f t="shared" si="10"/>
        <v>#DIV/0!</v>
      </c>
      <c r="AU28" s="41" t="e">
        <f t="shared" si="11"/>
        <v>#DIV/0!</v>
      </c>
      <c r="AV28" s="41" t="e">
        <f t="shared" si="12"/>
        <v>#DIV/0!</v>
      </c>
      <c r="AX28" s="6"/>
    </row>
    <row r="29" spans="1:50" ht="18" customHeight="1">
      <c r="A29" s="168">
        <f>INPUT!A28</f>
        <v>0</v>
      </c>
      <c r="B29" s="168">
        <f>INPUT!B28</f>
        <v>0</v>
      </c>
      <c r="C29" s="168">
        <f>INPUT!C28</f>
        <v>0</v>
      </c>
      <c r="D29" s="85"/>
      <c r="E29" s="86"/>
      <c r="F29" s="86"/>
      <c r="G29" s="86"/>
      <c r="H29" s="86"/>
      <c r="I29" s="87" t="str">
        <f t="shared" si="0"/>
        <v/>
      </c>
      <c r="J29" s="55" t="str">
        <f t="shared" si="1"/>
        <v/>
      </c>
      <c r="K29" s="88" t="str">
        <f t="shared" si="2"/>
        <v/>
      </c>
      <c r="L29" s="85"/>
      <c r="M29" s="86"/>
      <c r="N29" s="86"/>
      <c r="O29" s="87" t="str">
        <f t="shared" si="3"/>
        <v/>
      </c>
      <c r="P29" s="55" t="str">
        <f t="shared" si="4"/>
        <v/>
      </c>
      <c r="Q29" s="88" t="str">
        <f t="shared" si="5"/>
        <v/>
      </c>
      <c r="R29" s="85"/>
      <c r="S29" s="86"/>
      <c r="T29" s="86"/>
      <c r="U29" s="87" t="str">
        <f t="shared" si="6"/>
        <v/>
      </c>
      <c r="V29" s="55" t="str">
        <f t="shared" si="7"/>
        <v/>
      </c>
      <c r="W29" s="88" t="str">
        <f t="shared" si="8"/>
        <v/>
      </c>
      <c r="X29" s="89" t="str">
        <f t="shared" si="13"/>
        <v/>
      </c>
      <c r="Y29" s="90" t="str">
        <f t="shared" si="14"/>
        <v/>
      </c>
      <c r="Z29" s="91" t="str">
        <f t="shared" si="9"/>
        <v/>
      </c>
      <c r="AB29" s="6"/>
      <c r="AC29" s="6"/>
      <c r="AD29" s="6"/>
      <c r="AE29" s="6"/>
      <c r="AR29" s="48"/>
      <c r="AT29" s="41" t="e">
        <f t="shared" si="10"/>
        <v>#DIV/0!</v>
      </c>
      <c r="AU29" s="41" t="e">
        <f t="shared" si="11"/>
        <v>#DIV/0!</v>
      </c>
      <c r="AV29" s="41" t="e">
        <f t="shared" si="12"/>
        <v>#DIV/0!</v>
      </c>
      <c r="AX29" s="6"/>
    </row>
    <row r="30" spans="1:50" ht="18" customHeight="1">
      <c r="A30" s="168">
        <f>INPUT!A29</f>
        <v>0</v>
      </c>
      <c r="B30" s="168">
        <f>INPUT!B29</f>
        <v>0</v>
      </c>
      <c r="C30" s="168">
        <f>INPUT!C29</f>
        <v>0</v>
      </c>
      <c r="D30" s="85"/>
      <c r="E30" s="86"/>
      <c r="F30" s="86"/>
      <c r="G30" s="86"/>
      <c r="H30" s="86"/>
      <c r="I30" s="87" t="str">
        <f t="shared" si="0"/>
        <v/>
      </c>
      <c r="J30" s="55" t="str">
        <f t="shared" si="1"/>
        <v/>
      </c>
      <c r="K30" s="88" t="str">
        <f t="shared" si="2"/>
        <v/>
      </c>
      <c r="L30" s="85"/>
      <c r="M30" s="86"/>
      <c r="N30" s="86"/>
      <c r="O30" s="87" t="str">
        <f t="shared" si="3"/>
        <v/>
      </c>
      <c r="P30" s="55" t="str">
        <f t="shared" si="4"/>
        <v/>
      </c>
      <c r="Q30" s="88" t="str">
        <f t="shared" si="5"/>
        <v/>
      </c>
      <c r="R30" s="85"/>
      <c r="S30" s="86"/>
      <c r="T30" s="86"/>
      <c r="U30" s="87" t="str">
        <f t="shared" si="6"/>
        <v/>
      </c>
      <c r="V30" s="55" t="str">
        <f t="shared" si="7"/>
        <v/>
      </c>
      <c r="W30" s="88" t="str">
        <f t="shared" si="8"/>
        <v/>
      </c>
      <c r="X30" s="89" t="str">
        <f t="shared" si="13"/>
        <v/>
      </c>
      <c r="Y30" s="90" t="str">
        <f t="shared" si="14"/>
        <v/>
      </c>
      <c r="Z30" s="91" t="str">
        <f t="shared" si="9"/>
        <v/>
      </c>
      <c r="AB30" s="97" t="s">
        <v>32</v>
      </c>
      <c r="AC30" s="92" t="s">
        <v>67</v>
      </c>
      <c r="AD30" s="92" t="s">
        <v>65</v>
      </c>
      <c r="AE30" s="92" t="s">
        <v>66</v>
      </c>
      <c r="AR30" s="48"/>
      <c r="AT30" s="41" t="e">
        <f t="shared" si="10"/>
        <v>#DIV/0!</v>
      </c>
      <c r="AU30" s="41" t="e">
        <f t="shared" si="11"/>
        <v>#DIV/0!</v>
      </c>
      <c r="AV30" s="41" t="e">
        <f t="shared" si="12"/>
        <v>#DIV/0!</v>
      </c>
      <c r="AX30" s="6"/>
    </row>
    <row r="31" spans="1:50" ht="18" customHeight="1">
      <c r="A31" s="168">
        <f>INPUT!A30</f>
        <v>0</v>
      </c>
      <c r="B31" s="168">
        <f>INPUT!B30</f>
        <v>0</v>
      </c>
      <c r="C31" s="168">
        <f>INPUT!C30</f>
        <v>0</v>
      </c>
      <c r="D31" s="85"/>
      <c r="E31" s="86"/>
      <c r="F31" s="86"/>
      <c r="G31" s="86"/>
      <c r="H31" s="86"/>
      <c r="I31" s="87" t="str">
        <f t="shared" si="0"/>
        <v/>
      </c>
      <c r="J31" s="55" t="str">
        <f t="shared" si="1"/>
        <v/>
      </c>
      <c r="K31" s="88" t="str">
        <f t="shared" si="2"/>
        <v/>
      </c>
      <c r="L31" s="85"/>
      <c r="M31" s="86"/>
      <c r="N31" s="86"/>
      <c r="O31" s="87" t="str">
        <f t="shared" si="3"/>
        <v/>
      </c>
      <c r="P31" s="55" t="str">
        <f t="shared" si="4"/>
        <v/>
      </c>
      <c r="Q31" s="88" t="str">
        <f t="shared" si="5"/>
        <v/>
      </c>
      <c r="R31" s="85"/>
      <c r="S31" s="86"/>
      <c r="T31" s="86"/>
      <c r="U31" s="87" t="str">
        <f t="shared" si="6"/>
        <v/>
      </c>
      <c r="V31" s="55" t="str">
        <f t="shared" si="7"/>
        <v/>
      </c>
      <c r="W31" s="88" t="str">
        <f t="shared" si="8"/>
        <v/>
      </c>
      <c r="X31" s="89" t="str">
        <f t="shared" si="13"/>
        <v/>
      </c>
      <c r="Y31" s="90" t="str">
        <f t="shared" si="14"/>
        <v/>
      </c>
      <c r="Z31" s="91" t="str">
        <f t="shared" si="9"/>
        <v/>
      </c>
      <c r="AB31" s="98" t="s">
        <v>33</v>
      </c>
      <c r="AC31" s="104" t="str">
        <f>IF(COUNTA(R13:R113)=0,"",MAX(R13:R113))</f>
        <v/>
      </c>
      <c r="AD31" s="104" t="str">
        <f>IF(COUNTA(S13:S113)=0,"",MAX(S13:S113))</f>
        <v/>
      </c>
      <c r="AE31" s="104" t="str">
        <f>IF(COUNTA(T13:T113)=0,"",MAX(T13:T113))</f>
        <v/>
      </c>
      <c r="AR31" s="48"/>
      <c r="AT31" s="41" t="e">
        <f t="shared" si="10"/>
        <v>#DIV/0!</v>
      </c>
      <c r="AU31" s="41" t="e">
        <f t="shared" si="11"/>
        <v>#DIV/0!</v>
      </c>
      <c r="AV31" s="41" t="e">
        <f t="shared" si="12"/>
        <v>#DIV/0!</v>
      </c>
      <c r="AX31" s="6"/>
    </row>
    <row r="32" spans="1:50" ht="18" customHeight="1">
      <c r="A32" s="168">
        <f>INPUT!A31</f>
        <v>0</v>
      </c>
      <c r="B32" s="168">
        <f>INPUT!B31</f>
        <v>0</v>
      </c>
      <c r="C32" s="168">
        <f>INPUT!C31</f>
        <v>0</v>
      </c>
      <c r="D32" s="85"/>
      <c r="E32" s="86"/>
      <c r="F32" s="86"/>
      <c r="G32" s="86"/>
      <c r="H32" s="86"/>
      <c r="I32" s="87" t="str">
        <f t="shared" si="0"/>
        <v/>
      </c>
      <c r="J32" s="55" t="str">
        <f t="shared" si="1"/>
        <v/>
      </c>
      <c r="K32" s="88" t="str">
        <f t="shared" si="2"/>
        <v/>
      </c>
      <c r="L32" s="85"/>
      <c r="M32" s="86"/>
      <c r="N32" s="86"/>
      <c r="O32" s="87" t="str">
        <f t="shared" si="3"/>
        <v/>
      </c>
      <c r="P32" s="55" t="str">
        <f t="shared" si="4"/>
        <v/>
      </c>
      <c r="Q32" s="88" t="str">
        <f t="shared" si="5"/>
        <v/>
      </c>
      <c r="R32" s="85"/>
      <c r="S32" s="86"/>
      <c r="T32" s="86"/>
      <c r="U32" s="87" t="str">
        <f t="shared" si="6"/>
        <v/>
      </c>
      <c r="V32" s="55" t="str">
        <f t="shared" si="7"/>
        <v/>
      </c>
      <c r="W32" s="88" t="str">
        <f t="shared" si="8"/>
        <v/>
      </c>
      <c r="X32" s="89" t="str">
        <f t="shared" si="13"/>
        <v/>
      </c>
      <c r="Y32" s="90" t="str">
        <f t="shared" si="14"/>
        <v/>
      </c>
      <c r="Z32" s="91" t="str">
        <f t="shared" si="9"/>
        <v/>
      </c>
      <c r="AB32" s="98" t="s">
        <v>34</v>
      </c>
      <c r="AC32" s="104" t="str">
        <f>IF(COUNTA(R13:R113)=0,"",MIN(R13:R113))</f>
        <v/>
      </c>
      <c r="AD32" s="104" t="str">
        <f>IF(COUNTA(S13:S113)=0,"",MIN(S13:S113))</f>
        <v/>
      </c>
      <c r="AE32" s="104" t="str">
        <f>IF(COUNTA(T13:T113)=0,"",MIN(T13:T113))</f>
        <v/>
      </c>
      <c r="AR32" s="48"/>
      <c r="AT32" s="41" t="e">
        <f t="shared" si="10"/>
        <v>#DIV/0!</v>
      </c>
      <c r="AU32" s="41" t="e">
        <f t="shared" si="11"/>
        <v>#DIV/0!</v>
      </c>
      <c r="AV32" s="41" t="e">
        <f t="shared" si="12"/>
        <v>#DIV/0!</v>
      </c>
      <c r="AX32" s="6"/>
    </row>
    <row r="33" spans="1:50" ht="18" customHeight="1">
      <c r="A33" s="168">
        <f>INPUT!A32</f>
        <v>0</v>
      </c>
      <c r="B33" s="168">
        <f>INPUT!B32</f>
        <v>0</v>
      </c>
      <c r="C33" s="168">
        <f>INPUT!C32</f>
        <v>0</v>
      </c>
      <c r="D33" s="85"/>
      <c r="E33" s="86"/>
      <c r="F33" s="86"/>
      <c r="G33" s="86"/>
      <c r="H33" s="86"/>
      <c r="I33" s="87" t="str">
        <f t="shared" si="0"/>
        <v/>
      </c>
      <c r="J33" s="55" t="str">
        <f t="shared" si="1"/>
        <v/>
      </c>
      <c r="K33" s="88" t="str">
        <f t="shared" si="2"/>
        <v/>
      </c>
      <c r="L33" s="85"/>
      <c r="M33" s="86"/>
      <c r="N33" s="86"/>
      <c r="O33" s="87" t="str">
        <f t="shared" si="3"/>
        <v/>
      </c>
      <c r="P33" s="55" t="str">
        <f t="shared" si="4"/>
        <v/>
      </c>
      <c r="Q33" s="88" t="str">
        <f t="shared" si="5"/>
        <v/>
      </c>
      <c r="R33" s="85"/>
      <c r="S33" s="86"/>
      <c r="T33" s="86"/>
      <c r="U33" s="87" t="str">
        <f t="shared" si="6"/>
        <v/>
      </c>
      <c r="V33" s="55" t="str">
        <f t="shared" si="7"/>
        <v/>
      </c>
      <c r="W33" s="88" t="str">
        <f t="shared" si="8"/>
        <v/>
      </c>
      <c r="X33" s="89" t="str">
        <f t="shared" si="13"/>
        <v/>
      </c>
      <c r="Y33" s="90" t="str">
        <f t="shared" si="14"/>
        <v/>
      </c>
      <c r="Z33" s="91" t="str">
        <f t="shared" si="9"/>
        <v/>
      </c>
      <c r="AB33" s="98" t="s">
        <v>35</v>
      </c>
      <c r="AC33" s="104" t="str">
        <f>IF(COUNTA(R13:R113)=0,"",SUM(R13:R113))</f>
        <v/>
      </c>
      <c r="AD33" s="104" t="str">
        <f>IF(COUNTA(S13:S113)=0,"",SUM(S13:S113))</f>
        <v/>
      </c>
      <c r="AE33" s="104" t="str">
        <f>IF(COUNTA(T13:T113)=0,"",SUM(T13:T113))</f>
        <v/>
      </c>
      <c r="AR33" s="48"/>
      <c r="AT33" s="41" t="e">
        <f t="shared" si="10"/>
        <v>#DIV/0!</v>
      </c>
      <c r="AU33" s="41" t="e">
        <f t="shared" si="11"/>
        <v>#DIV/0!</v>
      </c>
      <c r="AV33" s="41" t="e">
        <f t="shared" si="12"/>
        <v>#DIV/0!</v>
      </c>
      <c r="AX33" s="6"/>
    </row>
    <row r="34" spans="1:50" ht="18" customHeight="1">
      <c r="A34" s="168">
        <f>INPUT!A33</f>
        <v>0</v>
      </c>
      <c r="B34" s="168">
        <f>INPUT!B33</f>
        <v>0</v>
      </c>
      <c r="C34" s="168">
        <f>INPUT!C33</f>
        <v>0</v>
      </c>
      <c r="D34" s="85"/>
      <c r="E34" s="86"/>
      <c r="F34" s="86"/>
      <c r="G34" s="86"/>
      <c r="H34" s="86"/>
      <c r="I34" s="87" t="str">
        <f t="shared" si="0"/>
        <v/>
      </c>
      <c r="J34" s="55" t="str">
        <f t="shared" si="1"/>
        <v/>
      </c>
      <c r="K34" s="88" t="str">
        <f t="shared" si="2"/>
        <v/>
      </c>
      <c r="L34" s="85"/>
      <c r="M34" s="86"/>
      <c r="N34" s="86"/>
      <c r="O34" s="87" t="str">
        <f t="shared" si="3"/>
        <v/>
      </c>
      <c r="P34" s="55" t="str">
        <f t="shared" si="4"/>
        <v/>
      </c>
      <c r="Q34" s="88" t="str">
        <f t="shared" si="5"/>
        <v/>
      </c>
      <c r="R34" s="85"/>
      <c r="S34" s="86"/>
      <c r="T34" s="86"/>
      <c r="U34" s="87" t="str">
        <f t="shared" si="6"/>
        <v/>
      </c>
      <c r="V34" s="55" t="str">
        <f t="shared" si="7"/>
        <v/>
      </c>
      <c r="W34" s="88" t="str">
        <f t="shared" si="8"/>
        <v/>
      </c>
      <c r="X34" s="89" t="str">
        <f t="shared" si="13"/>
        <v/>
      </c>
      <c r="Y34" s="90" t="str">
        <f t="shared" si="14"/>
        <v/>
      </c>
      <c r="Z34" s="91" t="str">
        <f t="shared" si="9"/>
        <v/>
      </c>
      <c r="AB34" s="2"/>
      <c r="AC34" s="1"/>
      <c r="AE34" s="1"/>
      <c r="AF34" s="1"/>
      <c r="AG34" s="1"/>
      <c r="AH34" s="1"/>
      <c r="AI34" s="1"/>
      <c r="AJ34" s="1"/>
      <c r="AK34" s="1"/>
      <c r="AL34" s="1"/>
      <c r="AM34" s="1"/>
      <c r="AN34" s="1"/>
      <c r="AO34" s="1"/>
      <c r="AP34" s="1"/>
      <c r="AQ34" s="1"/>
      <c r="AR34" s="1"/>
      <c r="AS34" s="6"/>
      <c r="AT34" s="41" t="e">
        <f t="shared" si="10"/>
        <v>#DIV/0!</v>
      </c>
      <c r="AU34" s="41" t="e">
        <f t="shared" si="11"/>
        <v>#DIV/0!</v>
      </c>
      <c r="AV34" s="41" t="e">
        <f t="shared" si="12"/>
        <v>#DIV/0!</v>
      </c>
      <c r="AX34" s="6"/>
    </row>
    <row r="35" spans="1:50" ht="18" customHeight="1">
      <c r="A35" s="168">
        <f>INPUT!A34</f>
        <v>0</v>
      </c>
      <c r="B35" s="168">
        <f>INPUT!B34</f>
        <v>0</v>
      </c>
      <c r="C35" s="168">
        <f>INPUT!C34</f>
        <v>0</v>
      </c>
      <c r="D35" s="85"/>
      <c r="E35" s="86"/>
      <c r="F35" s="86"/>
      <c r="G35" s="86"/>
      <c r="H35" s="86"/>
      <c r="I35" s="87" t="str">
        <f t="shared" si="0"/>
        <v/>
      </c>
      <c r="J35" s="55" t="str">
        <f t="shared" si="1"/>
        <v/>
      </c>
      <c r="K35" s="88" t="str">
        <f t="shared" si="2"/>
        <v/>
      </c>
      <c r="L35" s="85"/>
      <c r="M35" s="86"/>
      <c r="N35" s="86"/>
      <c r="O35" s="87" t="str">
        <f t="shared" si="3"/>
        <v/>
      </c>
      <c r="P35" s="55" t="str">
        <f t="shared" si="4"/>
        <v/>
      </c>
      <c r="Q35" s="88" t="str">
        <f t="shared" si="5"/>
        <v/>
      </c>
      <c r="R35" s="85"/>
      <c r="S35" s="86"/>
      <c r="T35" s="86"/>
      <c r="U35" s="87" t="str">
        <f t="shared" si="6"/>
        <v/>
      </c>
      <c r="V35" s="55" t="str">
        <f t="shared" si="7"/>
        <v/>
      </c>
      <c r="W35" s="88" t="str">
        <f t="shared" si="8"/>
        <v/>
      </c>
      <c r="X35" s="89" t="str">
        <f t="shared" si="13"/>
        <v/>
      </c>
      <c r="Y35" s="90" t="str">
        <f t="shared" si="14"/>
        <v/>
      </c>
      <c r="Z35" s="91" t="str">
        <f t="shared" si="9"/>
        <v/>
      </c>
      <c r="AB35" s="2"/>
      <c r="AC35" s="1"/>
      <c r="AE35" s="1"/>
      <c r="AF35" s="1"/>
      <c r="AG35" s="1"/>
      <c r="AH35" s="1"/>
      <c r="AI35" s="1"/>
      <c r="AJ35" s="1"/>
      <c r="AK35" s="1"/>
      <c r="AL35" s="1"/>
      <c r="AM35" s="1"/>
      <c r="AN35" s="1"/>
      <c r="AO35" s="1"/>
      <c r="AP35" s="1"/>
      <c r="AQ35" s="1"/>
      <c r="AR35" s="1"/>
      <c r="AS35" s="6"/>
      <c r="AT35" s="41" t="e">
        <f t="shared" si="10"/>
        <v>#DIV/0!</v>
      </c>
      <c r="AU35" s="41" t="e">
        <f t="shared" si="11"/>
        <v>#DIV/0!</v>
      </c>
      <c r="AV35" s="41" t="e">
        <f t="shared" si="12"/>
        <v>#DIV/0!</v>
      </c>
      <c r="AX35" s="6"/>
    </row>
    <row r="36" spans="1:50" ht="18" customHeight="1">
      <c r="A36" s="168">
        <f>INPUT!A35</f>
        <v>0</v>
      </c>
      <c r="B36" s="168">
        <f>INPUT!B35</f>
        <v>0</v>
      </c>
      <c r="C36" s="168">
        <f>INPUT!C35</f>
        <v>0</v>
      </c>
      <c r="D36" s="85"/>
      <c r="E36" s="86"/>
      <c r="F36" s="86"/>
      <c r="G36" s="86"/>
      <c r="H36" s="86"/>
      <c r="I36" s="87" t="str">
        <f t="shared" si="0"/>
        <v/>
      </c>
      <c r="J36" s="55" t="str">
        <f t="shared" si="1"/>
        <v/>
      </c>
      <c r="K36" s="88" t="str">
        <f t="shared" si="2"/>
        <v/>
      </c>
      <c r="L36" s="85"/>
      <c r="M36" s="86"/>
      <c r="N36" s="86"/>
      <c r="O36" s="87" t="str">
        <f t="shared" si="3"/>
        <v/>
      </c>
      <c r="P36" s="55" t="str">
        <f t="shared" si="4"/>
        <v/>
      </c>
      <c r="Q36" s="88" t="str">
        <f t="shared" si="5"/>
        <v/>
      </c>
      <c r="R36" s="85"/>
      <c r="S36" s="86"/>
      <c r="T36" s="86"/>
      <c r="U36" s="87" t="str">
        <f t="shared" si="6"/>
        <v/>
      </c>
      <c r="V36" s="55" t="str">
        <f t="shared" si="7"/>
        <v/>
      </c>
      <c r="W36" s="88" t="str">
        <f t="shared" si="8"/>
        <v/>
      </c>
      <c r="X36" s="89" t="str">
        <f t="shared" si="13"/>
        <v/>
      </c>
      <c r="Y36" s="90" t="str">
        <f t="shared" si="14"/>
        <v/>
      </c>
      <c r="Z36" s="91" t="str">
        <f t="shared" si="9"/>
        <v/>
      </c>
      <c r="AB36" s="2"/>
      <c r="AC36" s="1"/>
      <c r="AE36" s="1"/>
      <c r="AF36" s="1"/>
      <c r="AG36" s="1"/>
      <c r="AH36" s="1"/>
      <c r="AI36" s="1"/>
      <c r="AJ36" s="1"/>
      <c r="AK36" s="1"/>
      <c r="AL36" s="1"/>
      <c r="AM36" s="1"/>
      <c r="AN36" s="1"/>
      <c r="AO36" s="1"/>
      <c r="AP36" s="1"/>
      <c r="AQ36" s="1"/>
      <c r="AR36" s="1"/>
      <c r="AS36" s="6"/>
      <c r="AT36" s="41" t="e">
        <f t="shared" si="10"/>
        <v>#DIV/0!</v>
      </c>
      <c r="AU36" s="41" t="e">
        <f t="shared" si="11"/>
        <v>#DIV/0!</v>
      </c>
      <c r="AV36" s="41" t="e">
        <f t="shared" si="12"/>
        <v>#DIV/0!</v>
      </c>
      <c r="AX36" s="6"/>
    </row>
    <row r="37" spans="1:50" ht="18" customHeight="1">
      <c r="A37" s="168">
        <f>INPUT!A36</f>
        <v>0</v>
      </c>
      <c r="B37" s="168">
        <f>INPUT!B36</f>
        <v>0</v>
      </c>
      <c r="C37" s="168">
        <f>INPUT!C36</f>
        <v>0</v>
      </c>
      <c r="D37" s="85"/>
      <c r="E37" s="86"/>
      <c r="F37" s="86"/>
      <c r="G37" s="86"/>
      <c r="H37" s="86"/>
      <c r="I37" s="87" t="str">
        <f t="shared" si="0"/>
        <v/>
      </c>
      <c r="J37" s="55" t="str">
        <f t="shared" si="1"/>
        <v/>
      </c>
      <c r="K37" s="88" t="str">
        <f t="shared" si="2"/>
        <v/>
      </c>
      <c r="L37" s="85"/>
      <c r="M37" s="86"/>
      <c r="N37" s="86"/>
      <c r="O37" s="87" t="str">
        <f t="shared" si="3"/>
        <v/>
      </c>
      <c r="P37" s="55" t="str">
        <f t="shared" si="4"/>
        <v/>
      </c>
      <c r="Q37" s="88" t="str">
        <f t="shared" si="5"/>
        <v/>
      </c>
      <c r="R37" s="85"/>
      <c r="S37" s="86"/>
      <c r="T37" s="86"/>
      <c r="U37" s="87" t="str">
        <f t="shared" si="6"/>
        <v/>
      </c>
      <c r="V37" s="55" t="str">
        <f t="shared" si="7"/>
        <v/>
      </c>
      <c r="W37" s="88" t="str">
        <f t="shared" si="8"/>
        <v/>
      </c>
      <c r="X37" s="89" t="str">
        <f t="shared" si="13"/>
        <v/>
      </c>
      <c r="Y37" s="90" t="str">
        <f t="shared" si="14"/>
        <v/>
      </c>
      <c r="Z37" s="91" t="str">
        <f t="shared" si="9"/>
        <v/>
      </c>
      <c r="AB37" s="2"/>
      <c r="AC37" s="1"/>
      <c r="AE37" s="1"/>
      <c r="AF37" s="1"/>
      <c r="AG37" s="1"/>
      <c r="AH37" s="1"/>
      <c r="AI37" s="1"/>
      <c r="AJ37" s="1"/>
      <c r="AK37" s="1"/>
      <c r="AL37" s="1"/>
      <c r="AM37" s="1"/>
      <c r="AN37" s="1"/>
      <c r="AO37" s="1"/>
      <c r="AP37" s="1"/>
      <c r="AQ37" s="1"/>
      <c r="AR37" s="1"/>
      <c r="AS37" s="6"/>
      <c r="AT37" s="41" t="e">
        <f t="shared" si="10"/>
        <v>#DIV/0!</v>
      </c>
      <c r="AU37" s="41" t="e">
        <f t="shared" si="11"/>
        <v>#DIV/0!</v>
      </c>
      <c r="AV37" s="41" t="e">
        <f t="shared" si="12"/>
        <v>#DIV/0!</v>
      </c>
      <c r="AX37" s="6"/>
    </row>
    <row r="38" spans="1:50" ht="18" customHeight="1">
      <c r="A38" s="168">
        <f>INPUT!A37</f>
        <v>0</v>
      </c>
      <c r="B38" s="168">
        <f>INPUT!B37</f>
        <v>0</v>
      </c>
      <c r="C38" s="168">
        <f>INPUT!C37</f>
        <v>0</v>
      </c>
      <c r="D38" s="85"/>
      <c r="E38" s="86"/>
      <c r="F38" s="86"/>
      <c r="G38" s="86"/>
      <c r="H38" s="86"/>
      <c r="I38" s="87" t="str">
        <f t="shared" si="0"/>
        <v/>
      </c>
      <c r="J38" s="55" t="str">
        <f t="shared" si="1"/>
        <v/>
      </c>
      <c r="K38" s="88" t="str">
        <f t="shared" si="2"/>
        <v/>
      </c>
      <c r="L38" s="85"/>
      <c r="M38" s="86"/>
      <c r="N38" s="86"/>
      <c r="O38" s="87" t="str">
        <f t="shared" si="3"/>
        <v/>
      </c>
      <c r="P38" s="55" t="str">
        <f t="shared" si="4"/>
        <v/>
      </c>
      <c r="Q38" s="88" t="str">
        <f t="shared" si="5"/>
        <v/>
      </c>
      <c r="R38" s="85"/>
      <c r="S38" s="86"/>
      <c r="T38" s="86"/>
      <c r="U38" s="87" t="str">
        <f t="shared" si="6"/>
        <v/>
      </c>
      <c r="V38" s="55" t="str">
        <f t="shared" si="7"/>
        <v/>
      </c>
      <c r="W38" s="88" t="str">
        <f t="shared" si="8"/>
        <v/>
      </c>
      <c r="X38" s="89" t="str">
        <f t="shared" si="13"/>
        <v/>
      </c>
      <c r="Y38" s="90" t="str">
        <f t="shared" si="14"/>
        <v/>
      </c>
      <c r="Z38" s="91" t="str">
        <f t="shared" si="9"/>
        <v/>
      </c>
      <c r="AB38" s="2"/>
      <c r="AC38" s="1"/>
      <c r="AE38" s="1"/>
      <c r="AF38" s="1"/>
      <c r="AG38" s="1"/>
      <c r="AH38" s="1"/>
      <c r="AI38" s="1"/>
      <c r="AJ38" s="1"/>
      <c r="AK38" s="1"/>
      <c r="AL38" s="1"/>
      <c r="AM38" s="1"/>
      <c r="AN38" s="1"/>
      <c r="AO38" s="1"/>
      <c r="AP38" s="1"/>
      <c r="AQ38" s="1"/>
      <c r="AR38" s="1"/>
      <c r="AS38" s="6"/>
      <c r="AT38" s="41" t="e">
        <f t="shared" si="10"/>
        <v>#DIV/0!</v>
      </c>
      <c r="AU38" s="41" t="e">
        <f t="shared" si="11"/>
        <v>#DIV/0!</v>
      </c>
      <c r="AV38" s="41" t="e">
        <f t="shared" si="12"/>
        <v>#DIV/0!</v>
      </c>
      <c r="AX38" s="6"/>
    </row>
    <row r="39" spans="1:50" ht="18" customHeight="1">
      <c r="A39" s="168">
        <f>INPUT!A38</f>
        <v>0</v>
      </c>
      <c r="B39" s="168">
        <f>INPUT!B38</f>
        <v>0</v>
      </c>
      <c r="C39" s="168">
        <f>INPUT!C38</f>
        <v>0</v>
      </c>
      <c r="D39" s="85"/>
      <c r="E39" s="86"/>
      <c r="F39" s="86"/>
      <c r="G39" s="86"/>
      <c r="H39" s="86"/>
      <c r="I39" s="87" t="str">
        <f t="shared" si="0"/>
        <v/>
      </c>
      <c r="J39" s="55" t="str">
        <f t="shared" si="1"/>
        <v/>
      </c>
      <c r="K39" s="88" t="str">
        <f t="shared" si="2"/>
        <v/>
      </c>
      <c r="L39" s="85"/>
      <c r="M39" s="86"/>
      <c r="N39" s="86"/>
      <c r="O39" s="87" t="str">
        <f t="shared" si="3"/>
        <v/>
      </c>
      <c r="P39" s="55" t="str">
        <f t="shared" si="4"/>
        <v/>
      </c>
      <c r="Q39" s="88" t="str">
        <f t="shared" si="5"/>
        <v/>
      </c>
      <c r="R39" s="85"/>
      <c r="S39" s="86"/>
      <c r="T39" s="86"/>
      <c r="U39" s="87" t="str">
        <f t="shared" si="6"/>
        <v/>
      </c>
      <c r="V39" s="55" t="str">
        <f t="shared" si="7"/>
        <v/>
      </c>
      <c r="W39" s="88" t="str">
        <f t="shared" si="8"/>
        <v/>
      </c>
      <c r="X39" s="89" t="str">
        <f t="shared" si="13"/>
        <v/>
      </c>
      <c r="Y39" s="90" t="str">
        <f t="shared" si="14"/>
        <v/>
      </c>
      <c r="Z39" s="91" t="str">
        <f t="shared" si="9"/>
        <v/>
      </c>
      <c r="AB39" s="2"/>
      <c r="AC39" s="1"/>
      <c r="AE39" s="1"/>
      <c r="AF39" s="1"/>
      <c r="AG39" s="1"/>
      <c r="AH39" s="1"/>
      <c r="AI39" s="1"/>
      <c r="AJ39" s="1"/>
      <c r="AK39" s="1"/>
      <c r="AL39" s="1"/>
      <c r="AM39" s="1"/>
      <c r="AN39" s="1"/>
      <c r="AO39" s="1"/>
      <c r="AP39" s="1"/>
      <c r="AQ39" s="1"/>
      <c r="AR39" s="1"/>
      <c r="AS39" s="6"/>
      <c r="AT39" s="41" t="e">
        <f t="shared" si="10"/>
        <v>#DIV/0!</v>
      </c>
      <c r="AU39" s="41" t="e">
        <f t="shared" si="11"/>
        <v>#DIV/0!</v>
      </c>
      <c r="AV39" s="41" t="e">
        <f t="shared" si="12"/>
        <v>#DIV/0!</v>
      </c>
      <c r="AX39" s="6"/>
    </row>
    <row r="40" spans="1:50" ht="18" customHeight="1">
      <c r="A40" s="168">
        <f>INPUT!A39</f>
        <v>0</v>
      </c>
      <c r="B40" s="168">
        <f>INPUT!B39</f>
        <v>0</v>
      </c>
      <c r="C40" s="168">
        <f>INPUT!C39</f>
        <v>0</v>
      </c>
      <c r="D40" s="85"/>
      <c r="E40" s="86"/>
      <c r="F40" s="86"/>
      <c r="G40" s="86"/>
      <c r="H40" s="86"/>
      <c r="I40" s="87" t="str">
        <f t="shared" si="0"/>
        <v/>
      </c>
      <c r="J40" s="55" t="str">
        <f t="shared" si="1"/>
        <v/>
      </c>
      <c r="K40" s="88" t="str">
        <f t="shared" si="2"/>
        <v/>
      </c>
      <c r="L40" s="85"/>
      <c r="M40" s="86"/>
      <c r="N40" s="86"/>
      <c r="O40" s="87" t="str">
        <f t="shared" si="3"/>
        <v/>
      </c>
      <c r="P40" s="55" t="str">
        <f t="shared" si="4"/>
        <v/>
      </c>
      <c r="Q40" s="88" t="str">
        <f t="shared" si="5"/>
        <v/>
      </c>
      <c r="R40" s="85"/>
      <c r="S40" s="86"/>
      <c r="T40" s="86"/>
      <c r="U40" s="87" t="str">
        <f t="shared" si="6"/>
        <v/>
      </c>
      <c r="V40" s="55" t="str">
        <f t="shared" si="7"/>
        <v/>
      </c>
      <c r="W40" s="88" t="str">
        <f t="shared" si="8"/>
        <v/>
      </c>
      <c r="X40" s="89" t="str">
        <f t="shared" si="13"/>
        <v/>
      </c>
      <c r="Y40" s="90" t="str">
        <f t="shared" si="14"/>
        <v/>
      </c>
      <c r="Z40" s="91" t="str">
        <f t="shared" si="9"/>
        <v/>
      </c>
      <c r="AB40" s="2"/>
      <c r="AC40" s="1"/>
      <c r="AE40" s="1"/>
      <c r="AF40" s="1"/>
      <c r="AG40" s="1"/>
      <c r="AH40" s="1"/>
      <c r="AI40" s="1"/>
      <c r="AJ40" s="1"/>
      <c r="AK40" s="1"/>
      <c r="AL40" s="1"/>
      <c r="AM40" s="1"/>
      <c r="AN40" s="1"/>
      <c r="AO40" s="1"/>
      <c r="AP40" s="1"/>
      <c r="AQ40" s="1"/>
      <c r="AR40" s="1"/>
      <c r="AS40" s="6"/>
      <c r="AT40" s="41" t="e">
        <f t="shared" si="10"/>
        <v>#DIV/0!</v>
      </c>
      <c r="AU40" s="41" t="e">
        <f t="shared" si="11"/>
        <v>#DIV/0!</v>
      </c>
      <c r="AV40" s="41" t="e">
        <f t="shared" si="12"/>
        <v>#DIV/0!</v>
      </c>
      <c r="AX40" s="6"/>
    </row>
    <row r="41" spans="1:50" ht="18" customHeight="1">
      <c r="A41" s="168">
        <f>INPUT!A40</f>
        <v>0</v>
      </c>
      <c r="B41" s="168">
        <f>INPUT!B40</f>
        <v>0</v>
      </c>
      <c r="C41" s="168">
        <f>INPUT!C40</f>
        <v>0</v>
      </c>
      <c r="D41" s="85"/>
      <c r="E41" s="86"/>
      <c r="F41" s="86"/>
      <c r="G41" s="86"/>
      <c r="H41" s="86"/>
      <c r="I41" s="87" t="str">
        <f t="shared" si="0"/>
        <v/>
      </c>
      <c r="J41" s="55" t="str">
        <f t="shared" si="1"/>
        <v/>
      </c>
      <c r="K41" s="88" t="str">
        <f t="shared" si="2"/>
        <v/>
      </c>
      <c r="L41" s="85"/>
      <c r="M41" s="86"/>
      <c r="N41" s="86"/>
      <c r="O41" s="87" t="str">
        <f t="shared" si="3"/>
        <v/>
      </c>
      <c r="P41" s="55" t="str">
        <f t="shared" si="4"/>
        <v/>
      </c>
      <c r="Q41" s="88" t="str">
        <f t="shared" si="5"/>
        <v/>
      </c>
      <c r="R41" s="85"/>
      <c r="S41" s="86"/>
      <c r="T41" s="86"/>
      <c r="U41" s="87" t="str">
        <f t="shared" si="6"/>
        <v/>
      </c>
      <c r="V41" s="55" t="str">
        <f t="shared" si="7"/>
        <v/>
      </c>
      <c r="W41" s="88" t="str">
        <f t="shared" si="8"/>
        <v/>
      </c>
      <c r="X41" s="89" t="str">
        <f t="shared" si="13"/>
        <v/>
      </c>
      <c r="Y41" s="90" t="str">
        <f t="shared" si="14"/>
        <v/>
      </c>
      <c r="Z41" s="91" t="str">
        <f t="shared" si="9"/>
        <v/>
      </c>
      <c r="AB41" s="2"/>
      <c r="AC41" s="1"/>
      <c r="AE41" s="1"/>
      <c r="AF41" s="1"/>
      <c r="AG41" s="1"/>
      <c r="AH41" s="1"/>
      <c r="AI41" s="1"/>
      <c r="AJ41" s="1"/>
      <c r="AK41" s="1"/>
      <c r="AL41" s="1"/>
      <c r="AM41" s="1"/>
      <c r="AN41" s="1"/>
      <c r="AO41" s="1"/>
      <c r="AP41" s="1"/>
      <c r="AQ41" s="1"/>
      <c r="AR41" s="1"/>
      <c r="AS41" s="6"/>
      <c r="AT41" s="41" t="e">
        <f t="shared" si="10"/>
        <v>#DIV/0!</v>
      </c>
      <c r="AU41" s="41" t="e">
        <f t="shared" si="11"/>
        <v>#DIV/0!</v>
      </c>
      <c r="AV41" s="41" t="e">
        <f t="shared" si="12"/>
        <v>#DIV/0!</v>
      </c>
      <c r="AX41" s="6"/>
    </row>
    <row r="42" spans="1:50" ht="18" customHeight="1">
      <c r="A42" s="168">
        <f>INPUT!A41</f>
        <v>0</v>
      </c>
      <c r="B42" s="168">
        <f>INPUT!B41</f>
        <v>0</v>
      </c>
      <c r="C42" s="168">
        <f>INPUT!C41</f>
        <v>0</v>
      </c>
      <c r="D42" s="85"/>
      <c r="E42" s="86"/>
      <c r="F42" s="86"/>
      <c r="G42" s="86"/>
      <c r="H42" s="86"/>
      <c r="I42" s="87" t="str">
        <f t="shared" si="0"/>
        <v/>
      </c>
      <c r="J42" s="55" t="str">
        <f t="shared" si="1"/>
        <v/>
      </c>
      <c r="K42" s="88" t="str">
        <f t="shared" si="2"/>
        <v/>
      </c>
      <c r="L42" s="85"/>
      <c r="M42" s="86"/>
      <c r="N42" s="86"/>
      <c r="O42" s="87" t="str">
        <f t="shared" si="3"/>
        <v/>
      </c>
      <c r="P42" s="55" t="str">
        <f t="shared" si="4"/>
        <v/>
      </c>
      <c r="Q42" s="88" t="str">
        <f t="shared" si="5"/>
        <v/>
      </c>
      <c r="R42" s="85"/>
      <c r="S42" s="86"/>
      <c r="T42" s="86"/>
      <c r="U42" s="87" t="str">
        <f t="shared" si="6"/>
        <v/>
      </c>
      <c r="V42" s="55" t="str">
        <f t="shared" si="7"/>
        <v/>
      </c>
      <c r="W42" s="88" t="str">
        <f t="shared" si="8"/>
        <v/>
      </c>
      <c r="X42" s="89" t="str">
        <f t="shared" si="13"/>
        <v/>
      </c>
      <c r="Y42" s="90" t="str">
        <f t="shared" si="14"/>
        <v/>
      </c>
      <c r="Z42" s="91" t="str">
        <f t="shared" si="9"/>
        <v/>
      </c>
      <c r="AB42" s="2"/>
      <c r="AC42" s="1"/>
      <c r="AE42" s="1"/>
      <c r="AF42" s="1"/>
      <c r="AG42" s="1"/>
      <c r="AH42" s="1"/>
      <c r="AI42" s="1"/>
      <c r="AJ42" s="1"/>
      <c r="AK42" s="1"/>
      <c r="AL42" s="1"/>
      <c r="AM42" s="1"/>
      <c r="AN42" s="1"/>
      <c r="AO42" s="1"/>
      <c r="AP42" s="1"/>
      <c r="AQ42" s="1"/>
      <c r="AR42" s="1"/>
      <c r="AS42" s="6"/>
      <c r="AT42" s="41" t="e">
        <f t="shared" si="10"/>
        <v>#DIV/0!</v>
      </c>
      <c r="AU42" s="41" t="e">
        <f t="shared" si="11"/>
        <v>#DIV/0!</v>
      </c>
      <c r="AV42" s="41" t="e">
        <f t="shared" si="12"/>
        <v>#DIV/0!</v>
      </c>
      <c r="AX42" s="6"/>
    </row>
    <row r="43" spans="1:50" ht="18" customHeight="1">
      <c r="A43" s="168">
        <f>INPUT!A42</f>
        <v>0</v>
      </c>
      <c r="B43" s="168">
        <f>INPUT!B42</f>
        <v>0</v>
      </c>
      <c r="C43" s="168">
        <f>INPUT!C42</f>
        <v>0</v>
      </c>
      <c r="D43" s="85"/>
      <c r="E43" s="86"/>
      <c r="F43" s="86"/>
      <c r="G43" s="86"/>
      <c r="H43" s="86"/>
      <c r="I43" s="87" t="str">
        <f t="shared" si="0"/>
        <v/>
      </c>
      <c r="J43" s="55" t="str">
        <f t="shared" si="1"/>
        <v/>
      </c>
      <c r="K43" s="88" t="str">
        <f t="shared" si="2"/>
        <v/>
      </c>
      <c r="L43" s="85"/>
      <c r="M43" s="86"/>
      <c r="N43" s="86"/>
      <c r="O43" s="87" t="str">
        <f t="shared" si="3"/>
        <v/>
      </c>
      <c r="P43" s="55" t="str">
        <f t="shared" si="4"/>
        <v/>
      </c>
      <c r="Q43" s="88" t="str">
        <f t="shared" si="5"/>
        <v/>
      </c>
      <c r="R43" s="85"/>
      <c r="S43" s="86"/>
      <c r="T43" s="86"/>
      <c r="U43" s="87" t="str">
        <f t="shared" si="6"/>
        <v/>
      </c>
      <c r="V43" s="55" t="str">
        <f t="shared" si="7"/>
        <v/>
      </c>
      <c r="W43" s="88" t="str">
        <f t="shared" si="8"/>
        <v/>
      </c>
      <c r="X43" s="89" t="str">
        <f t="shared" si="13"/>
        <v/>
      </c>
      <c r="Y43" s="90" t="str">
        <f t="shared" si="14"/>
        <v/>
      </c>
      <c r="Z43" s="91" t="str">
        <f t="shared" si="9"/>
        <v/>
      </c>
      <c r="AB43" s="2"/>
      <c r="AC43" s="1"/>
      <c r="AE43" s="1"/>
      <c r="AF43" s="1"/>
      <c r="AG43" s="1"/>
      <c r="AH43" s="1"/>
      <c r="AI43" s="1"/>
      <c r="AJ43" s="1"/>
      <c r="AK43" s="1"/>
      <c r="AL43" s="1"/>
      <c r="AM43" s="1"/>
      <c r="AN43" s="1"/>
      <c r="AO43" s="1"/>
      <c r="AP43" s="1"/>
      <c r="AQ43" s="1"/>
      <c r="AR43" s="1"/>
      <c r="AS43" s="6"/>
      <c r="AT43" s="41" t="e">
        <f t="shared" si="10"/>
        <v>#DIV/0!</v>
      </c>
      <c r="AU43" s="41" t="e">
        <f t="shared" si="11"/>
        <v>#DIV/0!</v>
      </c>
      <c r="AV43" s="41" t="e">
        <f t="shared" si="12"/>
        <v>#DIV/0!</v>
      </c>
      <c r="AX43" s="6"/>
    </row>
    <row r="44" spans="1:50" ht="18" customHeight="1">
      <c r="A44" s="168">
        <f>INPUT!A43</f>
        <v>0</v>
      </c>
      <c r="B44" s="168">
        <f>INPUT!B43</f>
        <v>0</v>
      </c>
      <c r="C44" s="168">
        <f>INPUT!C43</f>
        <v>0</v>
      </c>
      <c r="D44" s="85"/>
      <c r="E44" s="86"/>
      <c r="F44" s="86"/>
      <c r="G44" s="86"/>
      <c r="H44" s="86"/>
      <c r="I44" s="87" t="str">
        <f t="shared" si="0"/>
        <v/>
      </c>
      <c r="J44" s="55" t="str">
        <f t="shared" si="1"/>
        <v/>
      </c>
      <c r="K44" s="88" t="str">
        <f t="shared" si="2"/>
        <v/>
      </c>
      <c r="L44" s="85"/>
      <c r="M44" s="86"/>
      <c r="N44" s="86"/>
      <c r="O44" s="87" t="str">
        <f t="shared" si="3"/>
        <v/>
      </c>
      <c r="P44" s="55" t="str">
        <f t="shared" si="4"/>
        <v/>
      </c>
      <c r="Q44" s="88" t="str">
        <f t="shared" si="5"/>
        <v/>
      </c>
      <c r="R44" s="85"/>
      <c r="S44" s="86"/>
      <c r="T44" s="86"/>
      <c r="U44" s="87" t="str">
        <f t="shared" si="6"/>
        <v/>
      </c>
      <c r="V44" s="55" t="str">
        <f t="shared" si="7"/>
        <v/>
      </c>
      <c r="W44" s="88" t="str">
        <f t="shared" si="8"/>
        <v/>
      </c>
      <c r="X44" s="89" t="str">
        <f t="shared" si="13"/>
        <v/>
      </c>
      <c r="Y44" s="90" t="str">
        <f t="shared" si="14"/>
        <v/>
      </c>
      <c r="Z44" s="91" t="str">
        <f t="shared" si="9"/>
        <v/>
      </c>
      <c r="AB44" s="2"/>
      <c r="AC44" s="1"/>
      <c r="AE44" s="1"/>
      <c r="AF44" s="1"/>
      <c r="AG44" s="1"/>
      <c r="AH44" s="1"/>
      <c r="AI44" s="1"/>
      <c r="AJ44" s="1"/>
      <c r="AK44" s="1"/>
      <c r="AL44" s="1"/>
      <c r="AM44" s="1"/>
      <c r="AN44" s="1"/>
      <c r="AO44" s="1"/>
      <c r="AP44" s="1"/>
      <c r="AQ44" s="1"/>
      <c r="AR44" s="1"/>
      <c r="AS44" s="6"/>
      <c r="AT44" s="41" t="e">
        <f t="shared" si="10"/>
        <v>#DIV/0!</v>
      </c>
      <c r="AU44" s="41" t="e">
        <f t="shared" si="11"/>
        <v>#DIV/0!</v>
      </c>
      <c r="AV44" s="41" t="e">
        <f t="shared" si="12"/>
        <v>#DIV/0!</v>
      </c>
      <c r="AX44" s="6"/>
    </row>
    <row r="45" spans="1:50" ht="18" customHeight="1">
      <c r="A45" s="168">
        <f>INPUT!A44</f>
        <v>0</v>
      </c>
      <c r="B45" s="168">
        <f>INPUT!B44</f>
        <v>0</v>
      </c>
      <c r="C45" s="168">
        <f>INPUT!C44</f>
        <v>0</v>
      </c>
      <c r="D45" s="85"/>
      <c r="E45" s="86"/>
      <c r="F45" s="86"/>
      <c r="G45" s="86"/>
      <c r="H45" s="86"/>
      <c r="I45" s="87" t="str">
        <f t="shared" si="0"/>
        <v/>
      </c>
      <c r="J45" s="55" t="str">
        <f t="shared" si="1"/>
        <v/>
      </c>
      <c r="K45" s="88" t="str">
        <f t="shared" si="2"/>
        <v/>
      </c>
      <c r="L45" s="85"/>
      <c r="M45" s="86"/>
      <c r="N45" s="86"/>
      <c r="O45" s="87" t="str">
        <f t="shared" si="3"/>
        <v/>
      </c>
      <c r="P45" s="55" t="str">
        <f t="shared" si="4"/>
        <v/>
      </c>
      <c r="Q45" s="88" t="str">
        <f t="shared" si="5"/>
        <v/>
      </c>
      <c r="R45" s="85"/>
      <c r="S45" s="86"/>
      <c r="T45" s="86"/>
      <c r="U45" s="87" t="str">
        <f t="shared" si="6"/>
        <v/>
      </c>
      <c r="V45" s="55" t="str">
        <f t="shared" si="7"/>
        <v/>
      </c>
      <c r="W45" s="88" t="str">
        <f t="shared" si="8"/>
        <v/>
      </c>
      <c r="X45" s="89" t="str">
        <f t="shared" si="13"/>
        <v/>
      </c>
      <c r="Y45" s="90" t="str">
        <f t="shared" si="14"/>
        <v/>
      </c>
      <c r="Z45" s="91" t="str">
        <f t="shared" si="9"/>
        <v/>
      </c>
      <c r="AB45" s="2"/>
      <c r="AC45" s="1"/>
      <c r="AE45" s="1"/>
      <c r="AF45" s="1"/>
      <c r="AG45" s="1"/>
      <c r="AH45" s="1"/>
      <c r="AI45" s="1"/>
      <c r="AJ45" s="1"/>
      <c r="AK45" s="1"/>
      <c r="AL45" s="1"/>
      <c r="AM45" s="1"/>
      <c r="AN45" s="1"/>
      <c r="AO45" s="1"/>
      <c r="AP45" s="1"/>
      <c r="AQ45" s="1"/>
      <c r="AR45" s="1"/>
      <c r="AS45" s="6"/>
      <c r="AT45" s="41" t="e">
        <f t="shared" si="10"/>
        <v>#DIV/0!</v>
      </c>
      <c r="AU45" s="41" t="e">
        <f t="shared" si="11"/>
        <v>#DIV/0!</v>
      </c>
      <c r="AV45" s="41" t="e">
        <f t="shared" si="12"/>
        <v>#DIV/0!</v>
      </c>
      <c r="AX45" s="6"/>
    </row>
    <row r="46" spans="1:50" ht="18" customHeight="1">
      <c r="A46" s="168">
        <f>INPUT!A45</f>
        <v>0</v>
      </c>
      <c r="B46" s="168">
        <f>INPUT!B45</f>
        <v>0</v>
      </c>
      <c r="C46" s="168">
        <f>INPUT!C45</f>
        <v>0</v>
      </c>
      <c r="D46" s="85"/>
      <c r="E46" s="86"/>
      <c r="F46" s="86"/>
      <c r="G46" s="86"/>
      <c r="H46" s="86"/>
      <c r="I46" s="87" t="str">
        <f t="shared" si="0"/>
        <v/>
      </c>
      <c r="J46" s="55" t="str">
        <f t="shared" si="1"/>
        <v/>
      </c>
      <c r="K46" s="88" t="str">
        <f t="shared" si="2"/>
        <v/>
      </c>
      <c r="L46" s="85"/>
      <c r="M46" s="86"/>
      <c r="N46" s="86"/>
      <c r="O46" s="87" t="str">
        <f t="shared" si="3"/>
        <v/>
      </c>
      <c r="P46" s="55" t="str">
        <f t="shared" si="4"/>
        <v/>
      </c>
      <c r="Q46" s="88" t="str">
        <f t="shared" si="5"/>
        <v/>
      </c>
      <c r="R46" s="85"/>
      <c r="S46" s="86"/>
      <c r="T46" s="86"/>
      <c r="U46" s="87" t="str">
        <f t="shared" si="6"/>
        <v/>
      </c>
      <c r="V46" s="55" t="str">
        <f t="shared" si="7"/>
        <v/>
      </c>
      <c r="W46" s="88" t="str">
        <f t="shared" si="8"/>
        <v/>
      </c>
      <c r="X46" s="89" t="str">
        <f t="shared" si="13"/>
        <v/>
      </c>
      <c r="Y46" s="90" t="str">
        <f t="shared" si="14"/>
        <v/>
      </c>
      <c r="Z46" s="91" t="str">
        <f t="shared" si="9"/>
        <v/>
      </c>
      <c r="AB46" s="2"/>
      <c r="AC46" s="1"/>
      <c r="AE46" s="1"/>
      <c r="AF46" s="1"/>
      <c r="AG46" s="1"/>
      <c r="AH46" s="1"/>
      <c r="AI46" s="1"/>
      <c r="AJ46" s="1"/>
      <c r="AK46" s="1"/>
      <c r="AL46" s="1"/>
      <c r="AM46" s="1"/>
      <c r="AN46" s="1"/>
      <c r="AO46" s="1"/>
      <c r="AP46" s="1"/>
      <c r="AQ46" s="1"/>
      <c r="AR46" s="1"/>
      <c r="AS46" s="6"/>
      <c r="AT46" s="41" t="e">
        <f t="shared" si="10"/>
        <v>#DIV/0!</v>
      </c>
      <c r="AU46" s="41" t="e">
        <f t="shared" si="11"/>
        <v>#DIV/0!</v>
      </c>
      <c r="AV46" s="41" t="e">
        <f t="shared" si="12"/>
        <v>#DIV/0!</v>
      </c>
      <c r="AX46" s="6"/>
    </row>
    <row r="47" spans="1:50" ht="18" customHeight="1">
      <c r="A47" s="168">
        <f>INPUT!A46</f>
        <v>0</v>
      </c>
      <c r="B47" s="168">
        <f>INPUT!B46</f>
        <v>0</v>
      </c>
      <c r="C47" s="168">
        <f>INPUT!C46</f>
        <v>0</v>
      </c>
      <c r="D47" s="85"/>
      <c r="E47" s="86"/>
      <c r="F47" s="86"/>
      <c r="G47" s="86"/>
      <c r="H47" s="86"/>
      <c r="I47" s="87" t="str">
        <f t="shared" si="0"/>
        <v/>
      </c>
      <c r="J47" s="55" t="str">
        <f t="shared" si="1"/>
        <v/>
      </c>
      <c r="K47" s="88" t="str">
        <f t="shared" si="2"/>
        <v/>
      </c>
      <c r="L47" s="85"/>
      <c r="M47" s="86"/>
      <c r="N47" s="86"/>
      <c r="O47" s="87" t="str">
        <f t="shared" si="3"/>
        <v/>
      </c>
      <c r="P47" s="55" t="str">
        <f t="shared" si="4"/>
        <v/>
      </c>
      <c r="Q47" s="88" t="str">
        <f t="shared" si="5"/>
        <v/>
      </c>
      <c r="R47" s="85"/>
      <c r="S47" s="86"/>
      <c r="T47" s="86"/>
      <c r="U47" s="87" t="str">
        <f t="shared" si="6"/>
        <v/>
      </c>
      <c r="V47" s="55" t="str">
        <f t="shared" si="7"/>
        <v/>
      </c>
      <c r="W47" s="88" t="str">
        <f t="shared" si="8"/>
        <v/>
      </c>
      <c r="X47" s="89" t="str">
        <f t="shared" si="13"/>
        <v/>
      </c>
      <c r="Y47" s="90" t="str">
        <f t="shared" si="14"/>
        <v/>
      </c>
      <c r="Z47" s="91" t="str">
        <f t="shared" si="9"/>
        <v/>
      </c>
      <c r="AB47" s="2"/>
      <c r="AC47" s="1"/>
      <c r="AE47" s="1"/>
      <c r="AF47" s="1"/>
      <c r="AG47" s="1"/>
      <c r="AH47" s="1"/>
      <c r="AI47" s="1"/>
      <c r="AJ47" s="1"/>
      <c r="AK47" s="1"/>
      <c r="AL47" s="1"/>
      <c r="AM47" s="1"/>
      <c r="AN47" s="1"/>
      <c r="AO47" s="1"/>
      <c r="AP47" s="1"/>
      <c r="AQ47" s="1"/>
      <c r="AR47" s="1"/>
      <c r="AS47" s="6"/>
      <c r="AT47" s="41" t="e">
        <f t="shared" si="10"/>
        <v>#DIV/0!</v>
      </c>
      <c r="AU47" s="41" t="e">
        <f t="shared" si="11"/>
        <v>#DIV/0!</v>
      </c>
      <c r="AV47" s="41" t="e">
        <f t="shared" si="12"/>
        <v>#DIV/0!</v>
      </c>
      <c r="AX47" s="6"/>
    </row>
    <row r="48" spans="1:50" ht="18" customHeight="1">
      <c r="A48" s="168">
        <f>INPUT!A47</f>
        <v>0</v>
      </c>
      <c r="B48" s="168">
        <f>INPUT!B47</f>
        <v>0</v>
      </c>
      <c r="C48" s="168">
        <f>INPUT!C47</f>
        <v>0</v>
      </c>
      <c r="D48" s="85"/>
      <c r="E48" s="86"/>
      <c r="F48" s="86"/>
      <c r="G48" s="86"/>
      <c r="H48" s="86"/>
      <c r="I48" s="87" t="str">
        <f t="shared" si="0"/>
        <v/>
      </c>
      <c r="J48" s="55" t="str">
        <f t="shared" si="1"/>
        <v/>
      </c>
      <c r="K48" s="88" t="str">
        <f t="shared" si="2"/>
        <v/>
      </c>
      <c r="L48" s="85"/>
      <c r="M48" s="86"/>
      <c r="N48" s="86"/>
      <c r="O48" s="87" t="str">
        <f t="shared" si="3"/>
        <v/>
      </c>
      <c r="P48" s="55" t="str">
        <f t="shared" si="4"/>
        <v/>
      </c>
      <c r="Q48" s="88" t="str">
        <f t="shared" si="5"/>
        <v/>
      </c>
      <c r="R48" s="85"/>
      <c r="S48" s="86"/>
      <c r="T48" s="86"/>
      <c r="U48" s="87" t="str">
        <f t="shared" si="6"/>
        <v/>
      </c>
      <c r="V48" s="55" t="str">
        <f t="shared" si="7"/>
        <v/>
      </c>
      <c r="W48" s="88" t="str">
        <f t="shared" si="8"/>
        <v/>
      </c>
      <c r="X48" s="89" t="str">
        <f t="shared" si="13"/>
        <v/>
      </c>
      <c r="Y48" s="90" t="str">
        <f t="shared" si="14"/>
        <v/>
      </c>
      <c r="Z48" s="91" t="str">
        <f t="shared" si="9"/>
        <v/>
      </c>
      <c r="AB48" s="2"/>
      <c r="AC48" s="1"/>
      <c r="AE48" s="1"/>
      <c r="AF48" s="1"/>
      <c r="AG48" s="1"/>
      <c r="AH48" s="1"/>
      <c r="AI48" s="1"/>
      <c r="AJ48" s="1"/>
      <c r="AK48" s="1"/>
      <c r="AL48" s="1"/>
      <c r="AM48" s="1"/>
      <c r="AN48" s="1"/>
      <c r="AO48" s="1"/>
      <c r="AP48" s="1"/>
      <c r="AQ48" s="1"/>
      <c r="AR48" s="1"/>
      <c r="AS48" s="6"/>
      <c r="AT48" s="41" t="e">
        <f t="shared" si="10"/>
        <v>#DIV/0!</v>
      </c>
      <c r="AU48" s="41" t="e">
        <f t="shared" si="11"/>
        <v>#DIV/0!</v>
      </c>
      <c r="AV48" s="41" t="e">
        <f t="shared" si="12"/>
        <v>#DIV/0!</v>
      </c>
      <c r="AX48" s="6"/>
    </row>
    <row r="49" spans="1:50" ht="18" customHeight="1">
      <c r="A49" s="168">
        <f>INPUT!A48</f>
        <v>0</v>
      </c>
      <c r="B49" s="168">
        <f>INPUT!B48</f>
        <v>0</v>
      </c>
      <c r="C49" s="168">
        <f>INPUT!C48</f>
        <v>0</v>
      </c>
      <c r="D49" s="85"/>
      <c r="E49" s="86"/>
      <c r="F49" s="86"/>
      <c r="G49" s="86"/>
      <c r="H49" s="86"/>
      <c r="I49" s="87" t="str">
        <f t="shared" si="0"/>
        <v/>
      </c>
      <c r="J49" s="55" t="str">
        <f t="shared" si="1"/>
        <v/>
      </c>
      <c r="K49" s="88" t="str">
        <f t="shared" si="2"/>
        <v/>
      </c>
      <c r="L49" s="85"/>
      <c r="M49" s="86"/>
      <c r="N49" s="86"/>
      <c r="O49" s="87" t="str">
        <f t="shared" si="3"/>
        <v/>
      </c>
      <c r="P49" s="55" t="str">
        <f t="shared" si="4"/>
        <v/>
      </c>
      <c r="Q49" s="88" t="str">
        <f t="shared" si="5"/>
        <v/>
      </c>
      <c r="R49" s="85"/>
      <c r="S49" s="86"/>
      <c r="T49" s="86"/>
      <c r="U49" s="87" t="str">
        <f t="shared" si="6"/>
        <v/>
      </c>
      <c r="V49" s="55" t="str">
        <f t="shared" si="7"/>
        <v/>
      </c>
      <c r="W49" s="88" t="str">
        <f t="shared" si="8"/>
        <v/>
      </c>
      <c r="X49" s="89" t="str">
        <f t="shared" si="13"/>
        <v/>
      </c>
      <c r="Y49" s="90" t="str">
        <f t="shared" si="14"/>
        <v/>
      </c>
      <c r="Z49" s="91" t="str">
        <f t="shared" si="9"/>
        <v/>
      </c>
      <c r="AB49" s="2"/>
      <c r="AC49" s="1"/>
      <c r="AE49" s="1"/>
      <c r="AF49" s="1"/>
      <c r="AG49" s="1"/>
      <c r="AH49" s="1"/>
      <c r="AI49" s="1"/>
      <c r="AJ49" s="1"/>
      <c r="AK49" s="1"/>
      <c r="AL49" s="1"/>
      <c r="AM49" s="1"/>
      <c r="AN49" s="1"/>
      <c r="AO49" s="1"/>
      <c r="AP49" s="1"/>
      <c r="AQ49" s="1"/>
      <c r="AR49" s="1"/>
      <c r="AS49" s="6"/>
      <c r="AT49" s="41" t="e">
        <f t="shared" si="10"/>
        <v>#DIV/0!</v>
      </c>
      <c r="AU49" s="41" t="e">
        <f t="shared" si="11"/>
        <v>#DIV/0!</v>
      </c>
      <c r="AV49" s="41" t="e">
        <f t="shared" si="12"/>
        <v>#DIV/0!</v>
      </c>
      <c r="AX49" s="6"/>
    </row>
    <row r="50" spans="1:50" ht="18" customHeight="1">
      <c r="A50" s="168">
        <f>INPUT!A49</f>
        <v>0</v>
      </c>
      <c r="B50" s="168">
        <f>INPUT!B49</f>
        <v>0</v>
      </c>
      <c r="C50" s="168">
        <f>INPUT!C49</f>
        <v>0</v>
      </c>
      <c r="D50" s="85"/>
      <c r="E50" s="86"/>
      <c r="F50" s="86"/>
      <c r="G50" s="86"/>
      <c r="H50" s="86"/>
      <c r="I50" s="87" t="str">
        <f t="shared" si="0"/>
        <v/>
      </c>
      <c r="J50" s="55" t="str">
        <f t="shared" si="1"/>
        <v/>
      </c>
      <c r="K50" s="88" t="str">
        <f t="shared" si="2"/>
        <v/>
      </c>
      <c r="L50" s="85"/>
      <c r="M50" s="86"/>
      <c r="N50" s="86"/>
      <c r="O50" s="87" t="str">
        <f t="shared" si="3"/>
        <v/>
      </c>
      <c r="P50" s="55" t="str">
        <f t="shared" si="4"/>
        <v/>
      </c>
      <c r="Q50" s="88" t="str">
        <f t="shared" si="5"/>
        <v/>
      </c>
      <c r="R50" s="85"/>
      <c r="S50" s="86"/>
      <c r="T50" s="86"/>
      <c r="U50" s="87" t="str">
        <f t="shared" si="6"/>
        <v/>
      </c>
      <c r="V50" s="55" t="str">
        <f t="shared" si="7"/>
        <v/>
      </c>
      <c r="W50" s="88" t="str">
        <f t="shared" si="8"/>
        <v/>
      </c>
      <c r="X50" s="89" t="str">
        <f t="shared" si="13"/>
        <v/>
      </c>
      <c r="Y50" s="90" t="str">
        <f t="shared" si="14"/>
        <v/>
      </c>
      <c r="Z50" s="91" t="str">
        <f t="shared" si="9"/>
        <v/>
      </c>
      <c r="AB50" s="2"/>
      <c r="AC50" s="1"/>
      <c r="AE50" s="1"/>
      <c r="AF50" s="1"/>
      <c r="AG50" s="1"/>
      <c r="AH50" s="1"/>
      <c r="AI50" s="1"/>
      <c r="AJ50" s="1"/>
      <c r="AK50" s="1"/>
      <c r="AL50" s="1"/>
      <c r="AM50" s="1"/>
      <c r="AN50" s="1"/>
      <c r="AO50" s="1"/>
      <c r="AP50" s="1"/>
      <c r="AQ50" s="1"/>
      <c r="AR50" s="1"/>
      <c r="AS50" s="6"/>
      <c r="AT50" s="41" t="e">
        <f t="shared" si="10"/>
        <v>#DIV/0!</v>
      </c>
      <c r="AU50" s="41" t="e">
        <f t="shared" si="11"/>
        <v>#DIV/0!</v>
      </c>
      <c r="AV50" s="41" t="e">
        <f t="shared" si="12"/>
        <v>#DIV/0!</v>
      </c>
      <c r="AX50" s="6"/>
    </row>
    <row r="51" spans="1:50" ht="18" customHeight="1">
      <c r="A51" s="168">
        <f>INPUT!A50</f>
        <v>0</v>
      </c>
      <c r="B51" s="168">
        <f>INPUT!B50</f>
        <v>0</v>
      </c>
      <c r="C51" s="168">
        <f>INPUT!C50</f>
        <v>0</v>
      </c>
      <c r="D51" s="85"/>
      <c r="E51" s="86"/>
      <c r="F51" s="86"/>
      <c r="G51" s="86"/>
      <c r="H51" s="86"/>
      <c r="I51" s="87" t="str">
        <f t="shared" si="0"/>
        <v/>
      </c>
      <c r="J51" s="55" t="str">
        <f t="shared" si="1"/>
        <v/>
      </c>
      <c r="K51" s="88" t="str">
        <f t="shared" si="2"/>
        <v/>
      </c>
      <c r="L51" s="85"/>
      <c r="M51" s="86"/>
      <c r="N51" s="86"/>
      <c r="O51" s="87" t="str">
        <f t="shared" si="3"/>
        <v/>
      </c>
      <c r="P51" s="55" t="str">
        <f t="shared" si="4"/>
        <v/>
      </c>
      <c r="Q51" s="88" t="str">
        <f t="shared" si="5"/>
        <v/>
      </c>
      <c r="R51" s="85"/>
      <c r="S51" s="86"/>
      <c r="T51" s="86"/>
      <c r="U51" s="87" t="str">
        <f t="shared" si="6"/>
        <v/>
      </c>
      <c r="V51" s="55" t="str">
        <f t="shared" si="7"/>
        <v/>
      </c>
      <c r="W51" s="88" t="str">
        <f t="shared" si="8"/>
        <v/>
      </c>
      <c r="X51" s="89" t="str">
        <f t="shared" si="13"/>
        <v/>
      </c>
      <c r="Y51" s="90" t="str">
        <f t="shared" si="14"/>
        <v/>
      </c>
      <c r="Z51" s="91" t="str">
        <f t="shared" si="9"/>
        <v/>
      </c>
      <c r="AB51" s="2"/>
      <c r="AC51" s="1"/>
      <c r="AE51" s="1"/>
      <c r="AF51" s="1"/>
      <c r="AG51" s="1"/>
      <c r="AH51" s="1"/>
      <c r="AI51" s="1"/>
      <c r="AJ51" s="1"/>
      <c r="AK51" s="1"/>
      <c r="AL51" s="1"/>
      <c r="AM51" s="1"/>
      <c r="AN51" s="1"/>
      <c r="AO51" s="1"/>
      <c r="AP51" s="1"/>
      <c r="AQ51" s="1"/>
      <c r="AR51" s="1"/>
      <c r="AS51" s="6"/>
      <c r="AT51" s="41" t="e">
        <f t="shared" si="10"/>
        <v>#DIV/0!</v>
      </c>
      <c r="AU51" s="41" t="e">
        <f t="shared" si="11"/>
        <v>#DIV/0!</v>
      </c>
      <c r="AV51" s="41" t="e">
        <f t="shared" si="12"/>
        <v>#DIV/0!</v>
      </c>
      <c r="AX51" s="6"/>
    </row>
    <row r="52" spans="1:50" ht="18" customHeight="1">
      <c r="A52" s="168">
        <f>INPUT!A51</f>
        <v>0</v>
      </c>
      <c r="B52" s="168">
        <f>INPUT!B51</f>
        <v>0</v>
      </c>
      <c r="C52" s="168">
        <f>INPUT!C51</f>
        <v>0</v>
      </c>
      <c r="D52" s="85"/>
      <c r="E52" s="86"/>
      <c r="F52" s="86"/>
      <c r="G52" s="86"/>
      <c r="H52" s="86"/>
      <c r="I52" s="87" t="str">
        <f t="shared" si="0"/>
        <v/>
      </c>
      <c r="J52" s="55" t="str">
        <f t="shared" si="1"/>
        <v/>
      </c>
      <c r="K52" s="88" t="str">
        <f t="shared" si="2"/>
        <v/>
      </c>
      <c r="L52" s="85"/>
      <c r="M52" s="86"/>
      <c r="N52" s="86"/>
      <c r="O52" s="87" t="str">
        <f t="shared" si="3"/>
        <v/>
      </c>
      <c r="P52" s="55" t="str">
        <f t="shared" si="4"/>
        <v/>
      </c>
      <c r="Q52" s="88" t="str">
        <f t="shared" si="5"/>
        <v/>
      </c>
      <c r="R52" s="85"/>
      <c r="S52" s="86"/>
      <c r="T52" s="86"/>
      <c r="U52" s="87" t="str">
        <f t="shared" si="6"/>
        <v/>
      </c>
      <c r="V52" s="55" t="str">
        <f t="shared" si="7"/>
        <v/>
      </c>
      <c r="W52" s="88" t="str">
        <f t="shared" si="8"/>
        <v/>
      </c>
      <c r="X52" s="89" t="str">
        <f t="shared" si="13"/>
        <v/>
      </c>
      <c r="Y52" s="90" t="str">
        <f t="shared" si="14"/>
        <v/>
      </c>
      <c r="Z52" s="91" t="str">
        <f t="shared" si="9"/>
        <v/>
      </c>
      <c r="AB52" s="2"/>
      <c r="AC52" s="1"/>
      <c r="AE52" s="1"/>
      <c r="AF52" s="1"/>
      <c r="AG52" s="1"/>
      <c r="AH52" s="1"/>
      <c r="AI52" s="1"/>
      <c r="AJ52" s="1"/>
      <c r="AK52" s="1"/>
      <c r="AL52" s="1"/>
      <c r="AM52" s="1"/>
      <c r="AN52" s="1"/>
      <c r="AO52" s="1"/>
      <c r="AP52" s="1"/>
      <c r="AQ52" s="1"/>
      <c r="AR52" s="1"/>
      <c r="AS52" s="6"/>
      <c r="AT52" s="41" t="e">
        <f t="shared" si="10"/>
        <v>#DIV/0!</v>
      </c>
      <c r="AU52" s="41" t="e">
        <f t="shared" si="11"/>
        <v>#DIV/0!</v>
      </c>
      <c r="AV52" s="41" t="e">
        <f t="shared" si="12"/>
        <v>#DIV/0!</v>
      </c>
      <c r="AX52" s="6"/>
    </row>
    <row r="53" spans="1:50" ht="18" customHeight="1">
      <c r="A53" s="168">
        <f>INPUT!A52</f>
        <v>0</v>
      </c>
      <c r="B53" s="168">
        <f>INPUT!B52</f>
        <v>0</v>
      </c>
      <c r="C53" s="168">
        <f>INPUT!C52</f>
        <v>0</v>
      </c>
      <c r="D53" s="85"/>
      <c r="E53" s="86"/>
      <c r="F53" s="86"/>
      <c r="G53" s="86"/>
      <c r="H53" s="86"/>
      <c r="I53" s="87" t="str">
        <f t="shared" si="0"/>
        <v/>
      </c>
      <c r="J53" s="55" t="str">
        <f t="shared" si="1"/>
        <v/>
      </c>
      <c r="K53" s="88" t="str">
        <f t="shared" si="2"/>
        <v/>
      </c>
      <c r="L53" s="85"/>
      <c r="M53" s="86"/>
      <c r="N53" s="86"/>
      <c r="O53" s="87" t="str">
        <f t="shared" si="3"/>
        <v/>
      </c>
      <c r="P53" s="55" t="str">
        <f t="shared" si="4"/>
        <v/>
      </c>
      <c r="Q53" s="88" t="str">
        <f t="shared" si="5"/>
        <v/>
      </c>
      <c r="R53" s="85"/>
      <c r="S53" s="86"/>
      <c r="T53" s="86"/>
      <c r="U53" s="87" t="str">
        <f t="shared" si="6"/>
        <v/>
      </c>
      <c r="V53" s="55" t="str">
        <f t="shared" si="7"/>
        <v/>
      </c>
      <c r="W53" s="88" t="str">
        <f t="shared" si="8"/>
        <v/>
      </c>
      <c r="X53" s="89" t="str">
        <f t="shared" si="13"/>
        <v/>
      </c>
      <c r="Y53" s="90" t="str">
        <f t="shared" si="14"/>
        <v/>
      </c>
      <c r="Z53" s="91" t="str">
        <f t="shared" si="9"/>
        <v/>
      </c>
      <c r="AB53" s="2"/>
      <c r="AC53" s="1"/>
      <c r="AE53" s="1"/>
      <c r="AF53" s="1"/>
      <c r="AG53" s="1"/>
      <c r="AH53" s="1"/>
      <c r="AI53" s="1"/>
      <c r="AJ53" s="1"/>
      <c r="AK53" s="1"/>
      <c r="AL53" s="1"/>
      <c r="AM53" s="1"/>
      <c r="AN53" s="1"/>
      <c r="AO53" s="1"/>
      <c r="AP53" s="1"/>
      <c r="AQ53" s="1"/>
      <c r="AR53" s="1"/>
      <c r="AS53" s="6"/>
      <c r="AT53" s="41" t="e">
        <f t="shared" si="10"/>
        <v>#DIV/0!</v>
      </c>
      <c r="AU53" s="41" t="e">
        <f t="shared" si="11"/>
        <v>#DIV/0!</v>
      </c>
      <c r="AV53" s="41" t="e">
        <f t="shared" si="12"/>
        <v>#DIV/0!</v>
      </c>
      <c r="AX53" s="6"/>
    </row>
    <row r="54" spans="1:50" ht="18" customHeight="1">
      <c r="A54" s="168">
        <f>INPUT!A53</f>
        <v>0</v>
      </c>
      <c r="B54" s="168">
        <f>INPUT!B53</f>
        <v>0</v>
      </c>
      <c r="C54" s="168">
        <f>INPUT!C53</f>
        <v>0</v>
      </c>
      <c r="D54" s="85"/>
      <c r="E54" s="86"/>
      <c r="F54" s="86"/>
      <c r="G54" s="86"/>
      <c r="H54" s="86"/>
      <c r="I54" s="87" t="str">
        <f t="shared" si="0"/>
        <v/>
      </c>
      <c r="J54" s="55" t="str">
        <f t="shared" si="1"/>
        <v/>
      </c>
      <c r="K54" s="88" t="str">
        <f t="shared" si="2"/>
        <v/>
      </c>
      <c r="L54" s="85"/>
      <c r="M54" s="86"/>
      <c r="N54" s="86"/>
      <c r="O54" s="87" t="str">
        <f t="shared" si="3"/>
        <v/>
      </c>
      <c r="P54" s="55" t="str">
        <f t="shared" si="4"/>
        <v/>
      </c>
      <c r="Q54" s="88" t="str">
        <f t="shared" si="5"/>
        <v/>
      </c>
      <c r="R54" s="85"/>
      <c r="S54" s="86"/>
      <c r="T54" s="86"/>
      <c r="U54" s="87" t="str">
        <f t="shared" si="6"/>
        <v/>
      </c>
      <c r="V54" s="55" t="str">
        <f t="shared" si="7"/>
        <v/>
      </c>
      <c r="W54" s="88" t="str">
        <f t="shared" si="8"/>
        <v/>
      </c>
      <c r="X54" s="89" t="str">
        <f t="shared" si="13"/>
        <v/>
      </c>
      <c r="Y54" s="90" t="str">
        <f t="shared" si="14"/>
        <v/>
      </c>
      <c r="Z54" s="91" t="str">
        <f t="shared" si="9"/>
        <v/>
      </c>
      <c r="AB54" s="2"/>
      <c r="AC54" s="1"/>
      <c r="AE54" s="1"/>
      <c r="AF54" s="1"/>
      <c r="AG54" s="1"/>
      <c r="AH54" s="1"/>
      <c r="AI54" s="1"/>
      <c r="AJ54" s="1"/>
      <c r="AK54" s="1"/>
      <c r="AL54" s="1"/>
      <c r="AM54" s="1"/>
      <c r="AN54" s="1"/>
      <c r="AO54" s="1"/>
      <c r="AP54" s="1"/>
      <c r="AQ54" s="1"/>
      <c r="AR54" s="1"/>
      <c r="AS54" s="6"/>
      <c r="AT54" s="41" t="e">
        <f t="shared" si="10"/>
        <v>#DIV/0!</v>
      </c>
      <c r="AU54" s="41" t="e">
        <f t="shared" si="11"/>
        <v>#DIV/0!</v>
      </c>
      <c r="AV54" s="41" t="e">
        <f t="shared" si="12"/>
        <v>#DIV/0!</v>
      </c>
      <c r="AX54" s="6"/>
    </row>
    <row r="55" spans="1:50" ht="18" customHeight="1">
      <c r="A55" s="168">
        <f>INPUT!A54</f>
        <v>0</v>
      </c>
      <c r="B55" s="168">
        <f>INPUT!B54</f>
        <v>0</v>
      </c>
      <c r="C55" s="168">
        <f>INPUT!C54</f>
        <v>0</v>
      </c>
      <c r="D55" s="85"/>
      <c r="E55" s="86"/>
      <c r="F55" s="86"/>
      <c r="G55" s="86"/>
      <c r="H55" s="86"/>
      <c r="I55" s="87" t="str">
        <f t="shared" si="0"/>
        <v/>
      </c>
      <c r="J55" s="55" t="str">
        <f t="shared" si="1"/>
        <v/>
      </c>
      <c r="K55" s="88" t="str">
        <f t="shared" si="2"/>
        <v/>
      </c>
      <c r="L55" s="85"/>
      <c r="M55" s="86"/>
      <c r="N55" s="86"/>
      <c r="O55" s="87" t="str">
        <f t="shared" si="3"/>
        <v/>
      </c>
      <c r="P55" s="55" t="str">
        <f t="shared" si="4"/>
        <v/>
      </c>
      <c r="Q55" s="88" t="str">
        <f t="shared" si="5"/>
        <v/>
      </c>
      <c r="R55" s="85"/>
      <c r="S55" s="86"/>
      <c r="T55" s="86"/>
      <c r="U55" s="87" t="str">
        <f t="shared" si="6"/>
        <v/>
      </c>
      <c r="V55" s="55" t="str">
        <f t="shared" si="7"/>
        <v/>
      </c>
      <c r="W55" s="88" t="str">
        <f t="shared" si="8"/>
        <v/>
      </c>
      <c r="X55" s="89" t="str">
        <f t="shared" si="13"/>
        <v/>
      </c>
      <c r="Y55" s="90" t="str">
        <f t="shared" si="14"/>
        <v/>
      </c>
      <c r="Z55" s="91" t="str">
        <f t="shared" si="9"/>
        <v/>
      </c>
      <c r="AB55" s="2"/>
      <c r="AC55" s="1"/>
      <c r="AE55" s="1"/>
      <c r="AF55" s="1"/>
      <c r="AG55" s="1"/>
      <c r="AH55" s="1"/>
      <c r="AI55" s="1"/>
      <c r="AJ55" s="1"/>
      <c r="AK55" s="1"/>
      <c r="AL55" s="1"/>
      <c r="AM55" s="1"/>
      <c r="AN55" s="1"/>
      <c r="AO55" s="1"/>
      <c r="AP55" s="1"/>
      <c r="AQ55" s="1"/>
      <c r="AR55" s="1"/>
      <c r="AS55" s="6"/>
      <c r="AT55" s="41" t="e">
        <f t="shared" si="10"/>
        <v>#DIV/0!</v>
      </c>
      <c r="AU55" s="41" t="e">
        <f t="shared" si="11"/>
        <v>#DIV/0!</v>
      </c>
      <c r="AV55" s="41" t="e">
        <f t="shared" si="12"/>
        <v>#DIV/0!</v>
      </c>
      <c r="AX55" s="6"/>
    </row>
    <row r="56" spans="1:50" ht="18" customHeight="1">
      <c r="A56" s="168">
        <f>INPUT!A55</f>
        <v>0</v>
      </c>
      <c r="B56" s="168">
        <f>INPUT!B55</f>
        <v>0</v>
      </c>
      <c r="C56" s="168">
        <f>INPUT!C55</f>
        <v>0</v>
      </c>
      <c r="D56" s="85"/>
      <c r="E56" s="86"/>
      <c r="F56" s="86"/>
      <c r="G56" s="86"/>
      <c r="H56" s="86"/>
      <c r="I56" s="87" t="str">
        <f t="shared" si="0"/>
        <v/>
      </c>
      <c r="J56" s="55" t="str">
        <f t="shared" si="1"/>
        <v/>
      </c>
      <c r="K56" s="88" t="str">
        <f t="shared" si="2"/>
        <v/>
      </c>
      <c r="L56" s="85"/>
      <c r="M56" s="86"/>
      <c r="N56" s="86"/>
      <c r="O56" s="87" t="str">
        <f t="shared" si="3"/>
        <v/>
      </c>
      <c r="P56" s="55" t="str">
        <f t="shared" si="4"/>
        <v/>
      </c>
      <c r="Q56" s="88" t="str">
        <f t="shared" si="5"/>
        <v/>
      </c>
      <c r="R56" s="85"/>
      <c r="S56" s="86"/>
      <c r="T56" s="86"/>
      <c r="U56" s="87" t="str">
        <f t="shared" si="6"/>
        <v/>
      </c>
      <c r="V56" s="55" t="str">
        <f t="shared" si="7"/>
        <v/>
      </c>
      <c r="W56" s="88" t="str">
        <f t="shared" si="8"/>
        <v/>
      </c>
      <c r="X56" s="89" t="str">
        <f t="shared" si="13"/>
        <v/>
      </c>
      <c r="Y56" s="90" t="str">
        <f t="shared" si="14"/>
        <v/>
      </c>
      <c r="Z56" s="91" t="str">
        <f t="shared" si="9"/>
        <v/>
      </c>
      <c r="AB56" s="2"/>
      <c r="AC56" s="1"/>
      <c r="AE56" s="1"/>
      <c r="AF56" s="1"/>
      <c r="AG56" s="1"/>
      <c r="AH56" s="1"/>
      <c r="AI56" s="1"/>
      <c r="AJ56" s="1"/>
      <c r="AK56" s="1"/>
      <c r="AL56" s="1"/>
      <c r="AM56" s="1"/>
      <c r="AN56" s="1"/>
      <c r="AO56" s="1"/>
      <c r="AP56" s="1"/>
      <c r="AQ56" s="1"/>
      <c r="AR56" s="1"/>
      <c r="AS56" s="6"/>
      <c r="AT56" s="41" t="e">
        <f t="shared" si="10"/>
        <v>#DIV/0!</v>
      </c>
      <c r="AU56" s="41" t="e">
        <f t="shared" si="11"/>
        <v>#DIV/0!</v>
      </c>
      <c r="AV56" s="41" t="e">
        <f t="shared" si="12"/>
        <v>#DIV/0!</v>
      </c>
      <c r="AX56" s="6"/>
    </row>
    <row r="57" spans="1:50" ht="18" customHeight="1">
      <c r="A57" s="168">
        <f>INPUT!A56</f>
        <v>0</v>
      </c>
      <c r="B57" s="168">
        <f>INPUT!B56</f>
        <v>0</v>
      </c>
      <c r="C57" s="168">
        <f>INPUT!C56</f>
        <v>0</v>
      </c>
      <c r="D57" s="85"/>
      <c r="E57" s="86"/>
      <c r="F57" s="86"/>
      <c r="G57" s="86"/>
      <c r="H57" s="86"/>
      <c r="I57" s="87" t="str">
        <f t="shared" si="0"/>
        <v/>
      </c>
      <c r="J57" s="55" t="str">
        <f t="shared" si="1"/>
        <v/>
      </c>
      <c r="K57" s="88" t="str">
        <f t="shared" si="2"/>
        <v/>
      </c>
      <c r="L57" s="85"/>
      <c r="M57" s="86"/>
      <c r="N57" s="86"/>
      <c r="O57" s="87" t="str">
        <f t="shared" si="3"/>
        <v/>
      </c>
      <c r="P57" s="55" t="str">
        <f t="shared" si="4"/>
        <v/>
      </c>
      <c r="Q57" s="88" t="str">
        <f t="shared" si="5"/>
        <v/>
      </c>
      <c r="R57" s="85"/>
      <c r="S57" s="86"/>
      <c r="T57" s="86"/>
      <c r="U57" s="87" t="str">
        <f t="shared" si="6"/>
        <v/>
      </c>
      <c r="V57" s="55" t="str">
        <f t="shared" si="7"/>
        <v/>
      </c>
      <c r="W57" s="88" t="str">
        <f t="shared" si="8"/>
        <v/>
      </c>
      <c r="X57" s="89" t="str">
        <f t="shared" si="13"/>
        <v/>
      </c>
      <c r="Y57" s="90" t="str">
        <f t="shared" si="14"/>
        <v/>
      </c>
      <c r="Z57" s="91" t="str">
        <f t="shared" si="9"/>
        <v/>
      </c>
      <c r="AB57" s="2"/>
      <c r="AC57" s="1"/>
      <c r="AE57" s="1"/>
      <c r="AF57" s="1"/>
      <c r="AG57" s="1"/>
      <c r="AH57" s="1"/>
      <c r="AI57" s="1"/>
      <c r="AJ57" s="1"/>
      <c r="AK57" s="1"/>
      <c r="AL57" s="1"/>
      <c r="AM57" s="1"/>
      <c r="AN57" s="1"/>
      <c r="AO57" s="1"/>
      <c r="AP57" s="1"/>
      <c r="AQ57" s="1"/>
      <c r="AR57" s="1"/>
      <c r="AS57" s="6"/>
      <c r="AT57" s="41" t="e">
        <f t="shared" si="10"/>
        <v>#DIV/0!</v>
      </c>
      <c r="AU57" s="41" t="e">
        <f t="shared" si="11"/>
        <v>#DIV/0!</v>
      </c>
      <c r="AV57" s="41" t="e">
        <f t="shared" si="12"/>
        <v>#DIV/0!</v>
      </c>
      <c r="AX57" s="6"/>
    </row>
    <row r="58" spans="1:50" ht="18" customHeight="1">
      <c r="A58" s="168">
        <f>INPUT!A57</f>
        <v>0</v>
      </c>
      <c r="B58" s="168">
        <f>INPUT!B57</f>
        <v>0</v>
      </c>
      <c r="C58" s="168">
        <f>INPUT!C57</f>
        <v>0</v>
      </c>
      <c r="D58" s="85"/>
      <c r="E58" s="86"/>
      <c r="F58" s="86"/>
      <c r="G58" s="86"/>
      <c r="H58" s="86"/>
      <c r="I58" s="87" t="str">
        <f t="shared" si="0"/>
        <v/>
      </c>
      <c r="J58" s="55" t="str">
        <f t="shared" si="1"/>
        <v/>
      </c>
      <c r="K58" s="88" t="str">
        <f t="shared" si="2"/>
        <v/>
      </c>
      <c r="L58" s="85"/>
      <c r="M58" s="86"/>
      <c r="N58" s="86"/>
      <c r="O58" s="87" t="str">
        <f t="shared" si="3"/>
        <v/>
      </c>
      <c r="P58" s="55" t="str">
        <f t="shared" si="4"/>
        <v/>
      </c>
      <c r="Q58" s="88" t="str">
        <f t="shared" si="5"/>
        <v/>
      </c>
      <c r="R58" s="85"/>
      <c r="S58" s="86"/>
      <c r="T58" s="86"/>
      <c r="U58" s="87" t="str">
        <f t="shared" si="6"/>
        <v/>
      </c>
      <c r="V58" s="55" t="str">
        <f t="shared" si="7"/>
        <v/>
      </c>
      <c r="W58" s="88" t="str">
        <f t="shared" si="8"/>
        <v/>
      </c>
      <c r="X58" s="89" t="str">
        <f t="shared" si="13"/>
        <v/>
      </c>
      <c r="Y58" s="90" t="str">
        <f t="shared" si="14"/>
        <v/>
      </c>
      <c r="Z58" s="91" t="str">
        <f t="shared" si="9"/>
        <v/>
      </c>
      <c r="AB58" s="2"/>
      <c r="AC58" s="1"/>
      <c r="AE58" s="1"/>
      <c r="AF58" s="1"/>
      <c r="AG58" s="1"/>
      <c r="AH58" s="1"/>
      <c r="AI58" s="1"/>
      <c r="AJ58" s="1"/>
      <c r="AK58" s="1"/>
      <c r="AL58" s="1"/>
      <c r="AM58" s="1"/>
      <c r="AN58" s="1"/>
      <c r="AO58" s="1"/>
      <c r="AP58" s="1"/>
      <c r="AQ58" s="1"/>
      <c r="AR58" s="1"/>
      <c r="AS58" s="6"/>
      <c r="AT58" s="41" t="e">
        <f t="shared" si="10"/>
        <v>#DIV/0!</v>
      </c>
      <c r="AU58" s="41" t="e">
        <f t="shared" si="11"/>
        <v>#DIV/0!</v>
      </c>
      <c r="AV58" s="41" t="e">
        <f t="shared" si="12"/>
        <v>#DIV/0!</v>
      </c>
      <c r="AX58" s="6"/>
    </row>
    <row r="59" spans="1:50" ht="18" customHeight="1">
      <c r="A59" s="168">
        <f>INPUT!A58</f>
        <v>0</v>
      </c>
      <c r="B59" s="168">
        <f>INPUT!B58</f>
        <v>0</v>
      </c>
      <c r="C59" s="168">
        <f>INPUT!C58</f>
        <v>0</v>
      </c>
      <c r="D59" s="85"/>
      <c r="E59" s="86"/>
      <c r="F59" s="86"/>
      <c r="G59" s="86"/>
      <c r="H59" s="86"/>
      <c r="I59" s="87" t="str">
        <f t="shared" si="0"/>
        <v/>
      </c>
      <c r="J59" s="55" t="str">
        <f t="shared" si="1"/>
        <v/>
      </c>
      <c r="K59" s="88" t="str">
        <f t="shared" si="2"/>
        <v/>
      </c>
      <c r="L59" s="85"/>
      <c r="M59" s="86"/>
      <c r="N59" s="86"/>
      <c r="O59" s="87" t="str">
        <f t="shared" si="3"/>
        <v/>
      </c>
      <c r="P59" s="55" t="str">
        <f t="shared" si="4"/>
        <v/>
      </c>
      <c r="Q59" s="88" t="str">
        <f t="shared" si="5"/>
        <v/>
      </c>
      <c r="R59" s="85"/>
      <c r="S59" s="86"/>
      <c r="T59" s="86"/>
      <c r="U59" s="87" t="str">
        <f t="shared" si="6"/>
        <v/>
      </c>
      <c r="V59" s="55" t="str">
        <f t="shared" si="7"/>
        <v/>
      </c>
      <c r="W59" s="88" t="str">
        <f t="shared" si="8"/>
        <v/>
      </c>
      <c r="X59" s="89" t="str">
        <f t="shared" si="13"/>
        <v/>
      </c>
      <c r="Y59" s="90" t="str">
        <f t="shared" si="14"/>
        <v/>
      </c>
      <c r="Z59" s="91" t="str">
        <f t="shared" si="9"/>
        <v/>
      </c>
      <c r="AB59" s="2"/>
      <c r="AC59" s="1"/>
      <c r="AE59" s="1"/>
      <c r="AF59" s="1"/>
      <c r="AG59" s="1"/>
      <c r="AH59" s="1"/>
      <c r="AI59" s="1"/>
      <c r="AJ59" s="1"/>
      <c r="AK59" s="1"/>
      <c r="AL59" s="1"/>
      <c r="AM59" s="1"/>
      <c r="AN59" s="1"/>
      <c r="AO59" s="1"/>
      <c r="AP59" s="1"/>
      <c r="AQ59" s="1"/>
      <c r="AR59" s="1"/>
      <c r="AS59" s="6"/>
      <c r="AT59" s="41" t="e">
        <f t="shared" si="10"/>
        <v>#DIV/0!</v>
      </c>
      <c r="AU59" s="41" t="e">
        <f t="shared" si="11"/>
        <v>#DIV/0!</v>
      </c>
      <c r="AV59" s="41" t="e">
        <f t="shared" si="12"/>
        <v>#DIV/0!</v>
      </c>
      <c r="AX59" s="6"/>
    </row>
    <row r="60" spans="1:50" ht="18" customHeight="1">
      <c r="A60" s="168">
        <f>INPUT!A59</f>
        <v>0</v>
      </c>
      <c r="B60" s="168">
        <f>INPUT!B59</f>
        <v>0</v>
      </c>
      <c r="C60" s="168">
        <f>INPUT!C59</f>
        <v>0</v>
      </c>
      <c r="D60" s="85"/>
      <c r="E60" s="86"/>
      <c r="F60" s="86"/>
      <c r="G60" s="86"/>
      <c r="H60" s="86"/>
      <c r="I60" s="87" t="str">
        <f t="shared" si="0"/>
        <v/>
      </c>
      <c r="J60" s="55" t="str">
        <f t="shared" si="1"/>
        <v/>
      </c>
      <c r="K60" s="88" t="str">
        <f t="shared" si="2"/>
        <v/>
      </c>
      <c r="L60" s="85"/>
      <c r="M60" s="86"/>
      <c r="N60" s="86"/>
      <c r="O60" s="87" t="str">
        <f t="shared" si="3"/>
        <v/>
      </c>
      <c r="P60" s="55" t="str">
        <f t="shared" si="4"/>
        <v/>
      </c>
      <c r="Q60" s="88" t="str">
        <f t="shared" si="5"/>
        <v/>
      </c>
      <c r="R60" s="85"/>
      <c r="S60" s="86"/>
      <c r="T60" s="86"/>
      <c r="U60" s="87" t="str">
        <f t="shared" si="6"/>
        <v/>
      </c>
      <c r="V60" s="55" t="str">
        <f t="shared" si="7"/>
        <v/>
      </c>
      <c r="W60" s="88" t="str">
        <f t="shared" si="8"/>
        <v/>
      </c>
      <c r="X60" s="89" t="str">
        <f t="shared" si="13"/>
        <v/>
      </c>
      <c r="Y60" s="90" t="str">
        <f t="shared" si="14"/>
        <v/>
      </c>
      <c r="Z60" s="91" t="str">
        <f t="shared" si="9"/>
        <v/>
      </c>
      <c r="AB60" s="2"/>
      <c r="AC60" s="1"/>
      <c r="AE60" s="1"/>
      <c r="AF60" s="1"/>
      <c r="AG60" s="1"/>
      <c r="AH60" s="1"/>
      <c r="AI60" s="1"/>
      <c r="AJ60" s="1"/>
      <c r="AK60" s="1"/>
      <c r="AL60" s="1"/>
      <c r="AM60" s="1"/>
      <c r="AN60" s="1"/>
      <c r="AO60" s="1"/>
      <c r="AP60" s="1"/>
      <c r="AQ60" s="1"/>
      <c r="AR60" s="1"/>
      <c r="AS60" s="6"/>
      <c r="AT60" s="41" t="e">
        <f t="shared" si="10"/>
        <v>#DIV/0!</v>
      </c>
      <c r="AU60" s="41" t="e">
        <f t="shared" si="11"/>
        <v>#DIV/0!</v>
      </c>
      <c r="AV60" s="41" t="e">
        <f t="shared" si="12"/>
        <v>#DIV/0!</v>
      </c>
      <c r="AX60" s="6"/>
    </row>
    <row r="61" spans="1:50" ht="19.149999999999999" customHeight="1">
      <c r="A61" s="168">
        <f>INPUT!A60</f>
        <v>0</v>
      </c>
      <c r="B61" s="168">
        <f>INPUT!B60</f>
        <v>0</v>
      </c>
      <c r="C61" s="168">
        <f>INPUT!C60</f>
        <v>0</v>
      </c>
      <c r="D61" s="85"/>
      <c r="E61" s="86"/>
      <c r="F61" s="86"/>
      <c r="G61" s="86"/>
      <c r="H61" s="86"/>
      <c r="I61" s="87" t="str">
        <f t="shared" si="0"/>
        <v/>
      </c>
      <c r="J61" s="55" t="str">
        <f t="shared" si="1"/>
        <v/>
      </c>
      <c r="K61" s="88" t="str">
        <f t="shared" si="2"/>
        <v/>
      </c>
      <c r="L61" s="85"/>
      <c r="M61" s="86"/>
      <c r="N61" s="86"/>
      <c r="O61" s="87" t="str">
        <f t="shared" si="3"/>
        <v/>
      </c>
      <c r="P61" s="55" t="str">
        <f t="shared" si="4"/>
        <v/>
      </c>
      <c r="Q61" s="88" t="str">
        <f t="shared" si="5"/>
        <v/>
      </c>
      <c r="R61" s="85"/>
      <c r="S61" s="86"/>
      <c r="T61" s="86"/>
      <c r="U61" s="87" t="str">
        <f t="shared" si="6"/>
        <v/>
      </c>
      <c r="V61" s="55" t="str">
        <f t="shared" si="7"/>
        <v/>
      </c>
      <c r="W61" s="88" t="str">
        <f t="shared" si="8"/>
        <v/>
      </c>
      <c r="X61" s="89" t="str">
        <f t="shared" si="13"/>
        <v/>
      </c>
      <c r="Y61" s="90" t="str">
        <f t="shared" si="14"/>
        <v/>
      </c>
      <c r="Z61" s="91" t="str">
        <f t="shared" si="9"/>
        <v/>
      </c>
      <c r="AB61" s="2"/>
      <c r="AC61" s="1"/>
      <c r="AE61" s="1"/>
      <c r="AF61" s="1"/>
      <c r="AG61" s="1"/>
      <c r="AH61" s="1"/>
      <c r="AI61" s="1"/>
      <c r="AJ61" s="1"/>
      <c r="AK61" s="1"/>
      <c r="AL61" s="1"/>
      <c r="AM61" s="1"/>
      <c r="AN61" s="1"/>
      <c r="AO61" s="1"/>
      <c r="AP61" s="1"/>
      <c r="AQ61" s="1"/>
      <c r="AR61" s="1"/>
      <c r="AS61" s="6"/>
      <c r="AT61" s="41" t="e">
        <f t="shared" si="10"/>
        <v>#DIV/0!</v>
      </c>
      <c r="AU61" s="41" t="e">
        <f t="shared" si="11"/>
        <v>#DIV/0!</v>
      </c>
      <c r="AV61" s="41" t="e">
        <f t="shared" si="12"/>
        <v>#DIV/0!</v>
      </c>
      <c r="AX61" s="6"/>
    </row>
    <row r="62" spans="1:50" ht="18" customHeight="1" thickBot="1">
      <c r="A62" s="168"/>
      <c r="B62" s="168"/>
      <c r="C62" s="168"/>
      <c r="D62" s="105"/>
      <c r="E62" s="106"/>
      <c r="F62" s="106"/>
      <c r="G62" s="106"/>
      <c r="H62" s="106"/>
      <c r="I62" s="107" t="str">
        <f t="shared" si="0"/>
        <v/>
      </c>
      <c r="J62" s="108" t="str">
        <f t="shared" si="1"/>
        <v/>
      </c>
      <c r="K62" s="109" t="str">
        <f t="shared" si="2"/>
        <v/>
      </c>
      <c r="L62" s="105"/>
      <c r="M62" s="106"/>
      <c r="N62" s="106"/>
      <c r="O62" s="107" t="str">
        <f t="shared" si="3"/>
        <v/>
      </c>
      <c r="P62" s="108" t="str">
        <f t="shared" si="4"/>
        <v/>
      </c>
      <c r="Q62" s="109" t="str">
        <f t="shared" si="5"/>
        <v/>
      </c>
      <c r="R62" s="105"/>
      <c r="S62" s="106"/>
      <c r="T62" s="106"/>
      <c r="U62" s="107" t="str">
        <f t="shared" si="6"/>
        <v/>
      </c>
      <c r="V62" s="108" t="str">
        <f t="shared" si="7"/>
        <v/>
      </c>
      <c r="W62" s="109" t="str">
        <f t="shared" si="8"/>
        <v/>
      </c>
      <c r="X62" s="110" t="str">
        <f t="shared" si="13"/>
        <v/>
      </c>
      <c r="Y62" s="111" t="str">
        <f t="shared" si="14"/>
        <v/>
      </c>
      <c r="Z62" s="112" t="str">
        <f t="shared" si="9"/>
        <v/>
      </c>
      <c r="AB62" s="2"/>
      <c r="AC62" s="1"/>
      <c r="AE62" s="1"/>
      <c r="AF62" s="1"/>
      <c r="AG62" s="1"/>
      <c r="AH62" s="1"/>
      <c r="AI62" s="1"/>
      <c r="AJ62" s="1"/>
      <c r="AK62" s="1"/>
      <c r="AL62" s="1"/>
      <c r="AM62" s="1"/>
      <c r="AN62" s="1"/>
      <c r="AO62" s="1"/>
      <c r="AP62" s="1"/>
      <c r="AQ62" s="1"/>
      <c r="AR62" s="1"/>
      <c r="AS62" s="6"/>
      <c r="AT62" s="41" t="e">
        <f t="shared" si="10"/>
        <v>#DIV/0!</v>
      </c>
      <c r="AU62" s="41" t="e">
        <f t="shared" si="11"/>
        <v>#DIV/0!</v>
      </c>
      <c r="AV62" s="41" t="e">
        <f t="shared" si="12"/>
        <v>#DIV/0!</v>
      </c>
      <c r="AX62" s="6"/>
    </row>
    <row r="63" spans="1:50" ht="18" hidden="1" customHeight="1" thickBot="1">
      <c r="A63" s="174" t="s">
        <v>99</v>
      </c>
      <c r="B63" s="168" t="s">
        <v>103</v>
      </c>
      <c r="C63" s="168" t="str">
        <f>INPUT!C62</f>
        <v xml:space="preserve">FEMALE </v>
      </c>
      <c r="D63" s="205"/>
      <c r="E63" s="206"/>
      <c r="F63" s="207"/>
      <c r="G63" s="207"/>
      <c r="H63" s="207"/>
      <c r="I63" s="208"/>
      <c r="J63" s="117"/>
      <c r="K63" s="118"/>
      <c r="L63" s="209"/>
      <c r="M63" s="207"/>
      <c r="N63" s="207"/>
      <c r="O63" s="208"/>
      <c r="P63" s="117"/>
      <c r="Q63" s="118"/>
      <c r="R63" s="209"/>
      <c r="S63" s="207"/>
      <c r="T63" s="207"/>
      <c r="U63" s="208"/>
      <c r="V63" s="117"/>
      <c r="W63" s="118"/>
      <c r="X63" s="119"/>
      <c r="Y63" s="120"/>
      <c r="Z63" s="121"/>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53"/>
      <c r="B64" s="355" t="s">
        <v>14</v>
      </c>
      <c r="C64" s="356"/>
      <c r="D64" s="166"/>
      <c r="E64" s="167"/>
      <c r="F64" s="167"/>
      <c r="G64" s="167"/>
      <c r="H64" s="167"/>
      <c r="I64" s="254"/>
      <c r="J64" s="254"/>
      <c r="K64" s="254"/>
      <c r="L64" s="167"/>
      <c r="M64" s="167"/>
      <c r="N64" s="167"/>
      <c r="O64" s="254"/>
      <c r="P64" s="254"/>
      <c r="Q64" s="254"/>
      <c r="R64" s="167"/>
      <c r="S64" s="167"/>
      <c r="T64" s="167"/>
      <c r="U64" s="254"/>
      <c r="V64" s="255"/>
      <c r="W64" s="255"/>
      <c r="X64" s="255"/>
      <c r="Y64" s="256"/>
      <c r="Z64" s="257"/>
      <c r="AB64" s="2"/>
      <c r="AC64" s="1"/>
      <c r="AE64" s="1"/>
      <c r="AF64" s="1"/>
      <c r="AG64" s="1"/>
      <c r="AH64" s="1"/>
      <c r="AI64" s="1"/>
      <c r="AJ64" s="1"/>
      <c r="AK64" s="1"/>
      <c r="AL64" s="1"/>
      <c r="AM64" s="1"/>
      <c r="AN64" s="1"/>
      <c r="AO64" s="1"/>
      <c r="AP64" s="1"/>
      <c r="AQ64" s="1"/>
      <c r="AR64" s="1"/>
      <c r="AS64" s="6"/>
      <c r="AT64" s="41" t="e">
        <f>(R64/$R$10)*100</f>
        <v>#DIV/0!</v>
      </c>
      <c r="AU64" s="41" t="e">
        <f>(S64/$S$10)*100</f>
        <v>#DIV/0!</v>
      </c>
      <c r="AV64" s="41" t="e">
        <f>(T64/$T$10)*100</f>
        <v>#DIV/0!</v>
      </c>
      <c r="AX64" s="6"/>
    </row>
    <row r="65" spans="1:50" ht="17.25" hidden="1" customHeight="1" thickBot="1">
      <c r="A65" s="175" t="s">
        <v>91</v>
      </c>
      <c r="B65" s="185" t="s">
        <v>92</v>
      </c>
      <c r="C65" s="184" t="s">
        <v>93</v>
      </c>
      <c r="D65" s="113"/>
      <c r="E65" s="114"/>
      <c r="F65" s="114"/>
      <c r="G65" s="114"/>
      <c r="H65" s="114"/>
      <c r="I65" s="115"/>
      <c r="J65" s="115"/>
      <c r="K65" s="116"/>
      <c r="L65" s="113"/>
      <c r="M65" s="114"/>
      <c r="N65" s="114"/>
      <c r="O65" s="115"/>
      <c r="P65" s="115"/>
      <c r="Q65" s="116"/>
      <c r="R65" s="113"/>
      <c r="S65" s="114"/>
      <c r="T65" s="114"/>
      <c r="U65" s="115"/>
      <c r="V65" s="117"/>
      <c r="W65" s="118"/>
      <c r="X65" s="119"/>
      <c r="Y65" s="120"/>
      <c r="Z65" s="121"/>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64"/>
      <c r="E66" s="165"/>
      <c r="F66" s="78"/>
      <c r="G66" s="78"/>
      <c r="H66" s="78"/>
      <c r="I66" s="79" t="str">
        <f t="shared" si="0"/>
        <v/>
      </c>
      <c r="J66" s="80" t="str">
        <f t="shared" si="1"/>
        <v/>
      </c>
      <c r="K66" s="81" t="str">
        <f t="shared" si="2"/>
        <v/>
      </c>
      <c r="L66" s="77"/>
      <c r="M66" s="78"/>
      <c r="N66" s="78"/>
      <c r="O66" s="79" t="str">
        <f t="shared" si="3"/>
        <v/>
      </c>
      <c r="P66" s="80" t="str">
        <f t="shared" si="4"/>
        <v/>
      </c>
      <c r="Q66" s="81" t="str">
        <f t="shared" si="5"/>
        <v/>
      </c>
      <c r="R66" s="77"/>
      <c r="S66" s="78"/>
      <c r="T66" s="78"/>
      <c r="U66" s="79" t="str">
        <f t="shared" si="6"/>
        <v/>
      </c>
      <c r="V66" s="80" t="str">
        <f t="shared" si="7"/>
        <v/>
      </c>
      <c r="W66" s="81" t="str">
        <f t="shared" si="8"/>
        <v/>
      </c>
      <c r="X66" s="82" t="str">
        <f t="shared" si="13"/>
        <v/>
      </c>
      <c r="Y66" s="83" t="str">
        <f t="shared" si="14"/>
        <v/>
      </c>
      <c r="Z66" s="84" t="str">
        <f t="shared" si="9"/>
        <v/>
      </c>
      <c r="AB66" s="2"/>
      <c r="AC66" s="1"/>
      <c r="AE66" s="1"/>
      <c r="AF66" s="1"/>
      <c r="AG66" s="1"/>
      <c r="AH66" s="1"/>
      <c r="AI66" s="1"/>
      <c r="AJ66" s="1"/>
      <c r="AK66" s="1"/>
      <c r="AL66" s="1"/>
      <c r="AM66" s="1"/>
      <c r="AN66" s="1"/>
      <c r="AO66" s="1"/>
      <c r="AP66" s="1"/>
      <c r="AQ66" s="1"/>
      <c r="AR66" s="1"/>
      <c r="AS66" s="6"/>
      <c r="AT66" s="41" t="e">
        <f t="shared" si="10"/>
        <v>#DIV/0!</v>
      </c>
      <c r="AU66" s="41" t="e">
        <f t="shared" si="11"/>
        <v>#DIV/0!</v>
      </c>
      <c r="AV66" s="41" t="e">
        <f t="shared" si="12"/>
        <v>#DIV/0!</v>
      </c>
      <c r="AX66" s="6"/>
    </row>
    <row r="67" spans="1:50" ht="18" customHeight="1">
      <c r="A67" s="35">
        <f>INPUT!A65</f>
        <v>0</v>
      </c>
      <c r="B67" s="35">
        <f>INPUT!B65</f>
        <v>0</v>
      </c>
      <c r="C67" s="35">
        <f>INPUT!C65</f>
        <v>0</v>
      </c>
      <c r="D67" s="85"/>
      <c r="E67" s="86"/>
      <c r="F67" s="86"/>
      <c r="G67" s="86"/>
      <c r="H67" s="86"/>
      <c r="I67" s="87" t="str">
        <f t="shared" si="0"/>
        <v/>
      </c>
      <c r="J67" s="55" t="str">
        <f t="shared" si="1"/>
        <v/>
      </c>
      <c r="K67" s="88" t="str">
        <f t="shared" si="2"/>
        <v/>
      </c>
      <c r="L67" s="85"/>
      <c r="M67" s="86"/>
      <c r="N67" s="86"/>
      <c r="O67" s="87" t="str">
        <f t="shared" si="3"/>
        <v/>
      </c>
      <c r="P67" s="55" t="str">
        <f t="shared" si="4"/>
        <v/>
      </c>
      <c r="Q67" s="88" t="str">
        <f t="shared" si="5"/>
        <v/>
      </c>
      <c r="R67" s="85"/>
      <c r="S67" s="86"/>
      <c r="T67" s="86"/>
      <c r="U67" s="87" t="str">
        <f t="shared" si="6"/>
        <v/>
      </c>
      <c r="V67" s="55" t="str">
        <f t="shared" si="7"/>
        <v/>
      </c>
      <c r="W67" s="88" t="str">
        <f t="shared" si="8"/>
        <v/>
      </c>
      <c r="X67" s="89" t="str">
        <f t="shared" si="13"/>
        <v/>
      </c>
      <c r="Y67" s="90" t="str">
        <f t="shared" si="14"/>
        <v/>
      </c>
      <c r="Z67" s="91" t="str">
        <f t="shared" si="9"/>
        <v/>
      </c>
      <c r="AB67" s="2"/>
      <c r="AC67" s="1"/>
      <c r="AE67" s="1"/>
      <c r="AF67" s="1"/>
      <c r="AG67" s="1"/>
      <c r="AH67" s="1"/>
      <c r="AI67" s="1"/>
      <c r="AJ67" s="1"/>
      <c r="AK67" s="1"/>
      <c r="AL67" s="1"/>
      <c r="AM67" s="1"/>
      <c r="AN67" s="1"/>
      <c r="AO67" s="1"/>
      <c r="AP67" s="1"/>
      <c r="AQ67" s="1"/>
      <c r="AR67" s="1"/>
      <c r="AS67" s="6"/>
      <c r="AT67" s="41" t="e">
        <f t="shared" si="10"/>
        <v>#DIV/0!</v>
      </c>
      <c r="AU67" s="41" t="e">
        <f t="shared" si="11"/>
        <v>#DIV/0!</v>
      </c>
      <c r="AV67" s="41" t="e">
        <f t="shared" si="12"/>
        <v>#DIV/0!</v>
      </c>
      <c r="AX67" s="6"/>
    </row>
    <row r="68" spans="1:50" ht="18" customHeight="1">
      <c r="A68" s="35">
        <f>INPUT!A66</f>
        <v>0</v>
      </c>
      <c r="B68" s="35">
        <f>INPUT!B66</f>
        <v>0</v>
      </c>
      <c r="C68" s="35">
        <f>INPUT!C66</f>
        <v>0</v>
      </c>
      <c r="D68" s="85"/>
      <c r="E68" s="86"/>
      <c r="F68" s="86"/>
      <c r="G68" s="86"/>
      <c r="H68" s="86"/>
      <c r="I68" s="87" t="str">
        <f t="shared" si="0"/>
        <v/>
      </c>
      <c r="J68" s="55" t="str">
        <f t="shared" si="1"/>
        <v/>
      </c>
      <c r="K68" s="88" t="str">
        <f t="shared" si="2"/>
        <v/>
      </c>
      <c r="L68" s="85"/>
      <c r="M68" s="86"/>
      <c r="N68" s="86"/>
      <c r="O68" s="87" t="str">
        <f t="shared" si="3"/>
        <v/>
      </c>
      <c r="P68" s="55" t="str">
        <f t="shared" si="4"/>
        <v/>
      </c>
      <c r="Q68" s="88" t="str">
        <f t="shared" si="5"/>
        <v/>
      </c>
      <c r="R68" s="162"/>
      <c r="S68" s="86"/>
      <c r="T68" s="163"/>
      <c r="U68" s="87" t="str">
        <f t="shared" si="6"/>
        <v/>
      </c>
      <c r="V68" s="55" t="str">
        <f t="shared" si="7"/>
        <v/>
      </c>
      <c r="W68" s="88" t="str">
        <f t="shared" si="8"/>
        <v/>
      </c>
      <c r="X68" s="89" t="str">
        <f t="shared" si="13"/>
        <v/>
      </c>
      <c r="Y68" s="90" t="str">
        <f t="shared" si="14"/>
        <v/>
      </c>
      <c r="Z68" s="91" t="str">
        <f t="shared" si="9"/>
        <v/>
      </c>
      <c r="AB68" s="2"/>
      <c r="AC68" s="1"/>
      <c r="AE68" s="1"/>
      <c r="AF68" s="1"/>
      <c r="AG68" s="1"/>
      <c r="AH68" s="1"/>
      <c r="AI68" s="1"/>
      <c r="AJ68" s="1"/>
      <c r="AK68" s="1"/>
      <c r="AL68" s="1"/>
      <c r="AM68" s="1"/>
      <c r="AN68" s="1"/>
      <c r="AO68" s="1"/>
      <c r="AP68" s="1"/>
      <c r="AQ68" s="1"/>
      <c r="AR68" s="1"/>
      <c r="AS68" s="6"/>
      <c r="AT68" s="41" t="e">
        <f t="shared" si="10"/>
        <v>#DIV/0!</v>
      </c>
      <c r="AU68" s="41" t="e">
        <f t="shared" si="11"/>
        <v>#DIV/0!</v>
      </c>
      <c r="AV68" s="41" t="e">
        <f t="shared" si="12"/>
        <v>#DIV/0!</v>
      </c>
      <c r="AX68" s="6"/>
    </row>
    <row r="69" spans="1:50" ht="18" customHeight="1">
      <c r="A69" s="35">
        <f>INPUT!A67</f>
        <v>0</v>
      </c>
      <c r="B69" s="35">
        <f>INPUT!B67</f>
        <v>0</v>
      </c>
      <c r="C69" s="35">
        <f>INPUT!C67</f>
        <v>0</v>
      </c>
      <c r="D69" s="85"/>
      <c r="E69" s="86"/>
      <c r="F69" s="86"/>
      <c r="G69" s="86"/>
      <c r="H69" s="86"/>
      <c r="I69" s="87" t="str">
        <f t="shared" si="0"/>
        <v/>
      </c>
      <c r="J69" s="55" t="str">
        <f t="shared" si="1"/>
        <v/>
      </c>
      <c r="K69" s="88" t="str">
        <f t="shared" si="2"/>
        <v/>
      </c>
      <c r="L69" s="85"/>
      <c r="M69" s="86"/>
      <c r="N69" s="86"/>
      <c r="O69" s="87" t="str">
        <f t="shared" si="3"/>
        <v/>
      </c>
      <c r="P69" s="55" t="str">
        <f t="shared" si="4"/>
        <v/>
      </c>
      <c r="Q69" s="88" t="str">
        <f t="shared" si="5"/>
        <v/>
      </c>
      <c r="R69" s="85"/>
      <c r="S69" s="86"/>
      <c r="T69" s="86"/>
      <c r="U69" s="87" t="str">
        <f t="shared" si="6"/>
        <v/>
      </c>
      <c r="V69" s="55" t="str">
        <f t="shared" si="7"/>
        <v/>
      </c>
      <c r="W69" s="88" t="str">
        <f t="shared" si="8"/>
        <v/>
      </c>
      <c r="X69" s="89" t="str">
        <f t="shared" si="13"/>
        <v/>
      </c>
      <c r="Y69" s="90" t="str">
        <f t="shared" si="14"/>
        <v/>
      </c>
      <c r="Z69" s="91" t="str">
        <f t="shared" si="9"/>
        <v/>
      </c>
      <c r="AB69" s="2"/>
      <c r="AC69" s="1"/>
      <c r="AE69" s="1"/>
      <c r="AF69" s="1"/>
      <c r="AG69" s="1"/>
      <c r="AH69" s="1"/>
      <c r="AI69" s="1"/>
      <c r="AJ69" s="1"/>
      <c r="AK69" s="1"/>
      <c r="AL69" s="1"/>
      <c r="AM69" s="1"/>
      <c r="AN69" s="1"/>
      <c r="AO69" s="1"/>
      <c r="AP69" s="1"/>
      <c r="AQ69" s="1"/>
      <c r="AR69" s="1"/>
      <c r="AS69" s="6"/>
      <c r="AT69" s="41" t="e">
        <f t="shared" si="10"/>
        <v>#DIV/0!</v>
      </c>
      <c r="AU69" s="41" t="e">
        <f t="shared" si="11"/>
        <v>#DIV/0!</v>
      </c>
      <c r="AV69" s="41" t="e">
        <f t="shared" si="12"/>
        <v>#DIV/0!</v>
      </c>
      <c r="AX69" s="6"/>
    </row>
    <row r="70" spans="1:50" ht="18" customHeight="1">
      <c r="A70" s="35">
        <f>INPUT!A68</f>
        <v>0</v>
      </c>
      <c r="B70" s="35">
        <f>INPUT!B68</f>
        <v>0</v>
      </c>
      <c r="C70" s="35">
        <f>INPUT!C68</f>
        <v>0</v>
      </c>
      <c r="D70" s="85"/>
      <c r="E70" s="86"/>
      <c r="F70" s="86"/>
      <c r="G70" s="86"/>
      <c r="H70" s="86"/>
      <c r="I70" s="87" t="str">
        <f t="shared" si="0"/>
        <v/>
      </c>
      <c r="J70" s="55" t="str">
        <f t="shared" si="1"/>
        <v/>
      </c>
      <c r="K70" s="88" t="str">
        <f t="shared" si="2"/>
        <v/>
      </c>
      <c r="L70" s="85"/>
      <c r="M70" s="86"/>
      <c r="N70" s="86"/>
      <c r="O70" s="87" t="str">
        <f t="shared" si="3"/>
        <v/>
      </c>
      <c r="P70" s="55" t="str">
        <f t="shared" si="4"/>
        <v/>
      </c>
      <c r="Q70" s="88" t="str">
        <f t="shared" si="5"/>
        <v/>
      </c>
      <c r="R70" s="85"/>
      <c r="S70" s="86"/>
      <c r="T70" s="86"/>
      <c r="U70" s="87" t="str">
        <f t="shared" si="6"/>
        <v/>
      </c>
      <c r="V70" s="55" t="str">
        <f t="shared" si="7"/>
        <v/>
      </c>
      <c r="W70" s="88" t="str">
        <f t="shared" si="8"/>
        <v/>
      </c>
      <c r="X70" s="89" t="str">
        <f t="shared" si="13"/>
        <v/>
      </c>
      <c r="Y70" s="90" t="str">
        <f t="shared" si="14"/>
        <v/>
      </c>
      <c r="Z70" s="91" t="str">
        <f t="shared" si="9"/>
        <v/>
      </c>
      <c r="AB70" s="2"/>
      <c r="AC70" s="1"/>
      <c r="AE70" s="1"/>
      <c r="AF70" s="1"/>
      <c r="AG70" s="1"/>
      <c r="AH70" s="1"/>
      <c r="AI70" s="1"/>
      <c r="AJ70" s="1"/>
      <c r="AK70" s="1"/>
      <c r="AL70" s="1"/>
      <c r="AM70" s="1"/>
      <c r="AN70" s="1"/>
      <c r="AO70" s="1"/>
      <c r="AP70" s="1"/>
      <c r="AQ70" s="1"/>
      <c r="AR70" s="1"/>
      <c r="AS70" s="6"/>
      <c r="AT70" s="41" t="e">
        <f t="shared" si="10"/>
        <v>#DIV/0!</v>
      </c>
      <c r="AU70" s="41" t="e">
        <f t="shared" si="11"/>
        <v>#DIV/0!</v>
      </c>
      <c r="AV70" s="41" t="e">
        <f t="shared" si="12"/>
        <v>#DIV/0!</v>
      </c>
      <c r="AX70" s="6"/>
    </row>
    <row r="71" spans="1:50" ht="18" customHeight="1">
      <c r="A71" s="35">
        <f>INPUT!A69</f>
        <v>0</v>
      </c>
      <c r="B71" s="35">
        <f>INPUT!B69</f>
        <v>0</v>
      </c>
      <c r="C71" s="35">
        <f>INPUT!C69</f>
        <v>0</v>
      </c>
      <c r="D71" s="85"/>
      <c r="E71" s="86"/>
      <c r="F71" s="86"/>
      <c r="G71" s="86"/>
      <c r="H71" s="86"/>
      <c r="I71" s="87" t="str">
        <f t="shared" si="0"/>
        <v/>
      </c>
      <c r="J71" s="55" t="str">
        <f t="shared" si="1"/>
        <v/>
      </c>
      <c r="K71" s="88" t="str">
        <f t="shared" si="2"/>
        <v/>
      </c>
      <c r="L71" s="85"/>
      <c r="M71" s="86"/>
      <c r="N71" s="86"/>
      <c r="O71" s="87" t="str">
        <f t="shared" si="3"/>
        <v/>
      </c>
      <c r="P71" s="55" t="str">
        <f t="shared" si="4"/>
        <v/>
      </c>
      <c r="Q71" s="88" t="str">
        <f t="shared" si="5"/>
        <v/>
      </c>
      <c r="R71" s="85"/>
      <c r="S71" s="86"/>
      <c r="T71" s="86"/>
      <c r="U71" s="87" t="str">
        <f t="shared" si="6"/>
        <v/>
      </c>
      <c r="V71" s="55" t="str">
        <f t="shared" si="7"/>
        <v/>
      </c>
      <c r="W71" s="88" t="str">
        <f t="shared" si="8"/>
        <v/>
      </c>
      <c r="X71" s="89" t="str">
        <f t="shared" si="13"/>
        <v/>
      </c>
      <c r="Y71" s="90" t="str">
        <f t="shared" si="14"/>
        <v/>
      </c>
      <c r="Z71" s="91" t="str">
        <f t="shared" si="9"/>
        <v/>
      </c>
      <c r="AB71" s="2"/>
      <c r="AC71" s="1"/>
      <c r="AE71" s="1"/>
      <c r="AF71" s="1"/>
      <c r="AG71" s="1"/>
      <c r="AH71" s="1"/>
      <c r="AI71" s="1"/>
      <c r="AJ71" s="1"/>
      <c r="AK71" s="1"/>
      <c r="AL71" s="1"/>
      <c r="AM71" s="1"/>
      <c r="AN71" s="1"/>
      <c r="AO71" s="1"/>
      <c r="AP71" s="1"/>
      <c r="AQ71" s="1"/>
      <c r="AR71" s="1"/>
      <c r="AS71" s="6"/>
      <c r="AT71" s="41" t="e">
        <f t="shared" si="10"/>
        <v>#DIV/0!</v>
      </c>
      <c r="AU71" s="41" t="e">
        <f t="shared" si="11"/>
        <v>#DIV/0!</v>
      </c>
      <c r="AV71" s="41" t="e">
        <f t="shared" si="12"/>
        <v>#DIV/0!</v>
      </c>
      <c r="AX71" s="6"/>
    </row>
    <row r="72" spans="1:50" ht="18" customHeight="1">
      <c r="A72" s="35">
        <f>INPUT!A70</f>
        <v>0</v>
      </c>
      <c r="B72" s="35">
        <f>INPUT!B70</f>
        <v>0</v>
      </c>
      <c r="C72" s="35">
        <f>INPUT!C70</f>
        <v>0</v>
      </c>
      <c r="D72" s="85"/>
      <c r="E72" s="86"/>
      <c r="F72" s="86"/>
      <c r="G72" s="86"/>
      <c r="H72" s="86"/>
      <c r="I72" s="87" t="str">
        <f t="shared" si="0"/>
        <v/>
      </c>
      <c r="J72" s="55" t="str">
        <f t="shared" si="1"/>
        <v/>
      </c>
      <c r="K72" s="88" t="str">
        <f t="shared" si="2"/>
        <v/>
      </c>
      <c r="L72" s="85"/>
      <c r="M72" s="86"/>
      <c r="N72" s="86"/>
      <c r="O72" s="87" t="str">
        <f t="shared" si="3"/>
        <v/>
      </c>
      <c r="P72" s="55" t="str">
        <f t="shared" si="4"/>
        <v/>
      </c>
      <c r="Q72" s="88" t="str">
        <f t="shared" si="5"/>
        <v/>
      </c>
      <c r="R72" s="85"/>
      <c r="S72" s="86"/>
      <c r="T72" s="86"/>
      <c r="U72" s="87" t="str">
        <f t="shared" si="6"/>
        <v/>
      </c>
      <c r="V72" s="55" t="str">
        <f t="shared" si="7"/>
        <v/>
      </c>
      <c r="W72" s="88" t="str">
        <f t="shared" si="8"/>
        <v/>
      </c>
      <c r="X72" s="89" t="str">
        <f t="shared" si="13"/>
        <v/>
      </c>
      <c r="Y72" s="90" t="str">
        <f t="shared" si="14"/>
        <v/>
      </c>
      <c r="Z72" s="91" t="str">
        <f t="shared" si="9"/>
        <v/>
      </c>
      <c r="AB72" s="2"/>
      <c r="AC72" s="1"/>
      <c r="AE72" s="1"/>
      <c r="AF72" s="1"/>
      <c r="AG72" s="1"/>
      <c r="AH72" s="1"/>
      <c r="AI72" s="1"/>
      <c r="AJ72" s="1"/>
      <c r="AK72" s="1"/>
      <c r="AL72" s="1"/>
      <c r="AM72" s="1"/>
      <c r="AN72" s="1"/>
      <c r="AO72" s="1"/>
      <c r="AP72" s="1"/>
      <c r="AQ72" s="1"/>
      <c r="AR72" s="1"/>
      <c r="AS72" s="6"/>
      <c r="AT72" s="41" t="e">
        <f t="shared" si="10"/>
        <v>#DIV/0!</v>
      </c>
      <c r="AU72" s="41" t="e">
        <f t="shared" si="11"/>
        <v>#DIV/0!</v>
      </c>
      <c r="AV72" s="41" t="e">
        <f t="shared" si="12"/>
        <v>#DIV/0!</v>
      </c>
      <c r="AX72" s="6"/>
    </row>
    <row r="73" spans="1:50" ht="18" customHeight="1">
      <c r="A73" s="35">
        <f>INPUT!A71</f>
        <v>0</v>
      </c>
      <c r="B73" s="35">
        <f>INPUT!B71</f>
        <v>0</v>
      </c>
      <c r="C73" s="35">
        <f>INPUT!C71</f>
        <v>0</v>
      </c>
      <c r="D73" s="85"/>
      <c r="E73" s="86"/>
      <c r="F73" s="86"/>
      <c r="G73" s="86"/>
      <c r="H73" s="86"/>
      <c r="I73" s="87" t="str">
        <f t="shared" si="0"/>
        <v/>
      </c>
      <c r="J73" s="55" t="str">
        <f t="shared" si="1"/>
        <v/>
      </c>
      <c r="K73" s="88" t="str">
        <f t="shared" si="2"/>
        <v/>
      </c>
      <c r="L73" s="85"/>
      <c r="M73" s="86"/>
      <c r="N73" s="86"/>
      <c r="O73" s="87" t="str">
        <f t="shared" si="3"/>
        <v/>
      </c>
      <c r="P73" s="55" t="str">
        <f t="shared" si="4"/>
        <v/>
      </c>
      <c r="Q73" s="88" t="str">
        <f t="shared" si="5"/>
        <v/>
      </c>
      <c r="R73" s="85"/>
      <c r="S73" s="86"/>
      <c r="T73" s="86"/>
      <c r="U73" s="87" t="str">
        <f t="shared" si="6"/>
        <v/>
      </c>
      <c r="V73" s="55" t="str">
        <f t="shared" si="7"/>
        <v/>
      </c>
      <c r="W73" s="88" t="str">
        <f t="shared" si="8"/>
        <v/>
      </c>
      <c r="X73" s="89" t="str">
        <f t="shared" si="13"/>
        <v/>
      </c>
      <c r="Y73" s="90" t="str">
        <f t="shared" si="14"/>
        <v/>
      </c>
      <c r="Z73" s="91" t="str">
        <f t="shared" si="9"/>
        <v/>
      </c>
      <c r="AB73" s="2"/>
      <c r="AC73" s="1"/>
      <c r="AE73" s="1"/>
      <c r="AF73" s="1"/>
      <c r="AG73" s="1"/>
      <c r="AH73" s="1"/>
      <c r="AI73" s="1"/>
      <c r="AJ73" s="1"/>
      <c r="AK73" s="1"/>
      <c r="AL73" s="1"/>
      <c r="AM73" s="1"/>
      <c r="AN73" s="1"/>
      <c r="AO73" s="1"/>
      <c r="AP73" s="1"/>
      <c r="AQ73" s="1"/>
      <c r="AR73" s="1"/>
      <c r="AS73" s="6"/>
      <c r="AT73" s="41" t="e">
        <f t="shared" si="10"/>
        <v>#DIV/0!</v>
      </c>
      <c r="AU73" s="41" t="e">
        <f t="shared" si="11"/>
        <v>#DIV/0!</v>
      </c>
      <c r="AV73" s="41" t="e">
        <f t="shared" si="12"/>
        <v>#DIV/0!</v>
      </c>
      <c r="AX73" s="6"/>
    </row>
    <row r="74" spans="1:50" ht="18" customHeight="1">
      <c r="A74" s="35">
        <f>INPUT!A72</f>
        <v>0</v>
      </c>
      <c r="B74" s="35">
        <f>INPUT!B72</f>
        <v>0</v>
      </c>
      <c r="C74" s="35">
        <f>INPUT!C72</f>
        <v>0</v>
      </c>
      <c r="D74" s="85"/>
      <c r="E74" s="86"/>
      <c r="F74" s="86"/>
      <c r="G74" s="86"/>
      <c r="H74" s="86"/>
      <c r="I74" s="87" t="str">
        <f t="shared" si="0"/>
        <v/>
      </c>
      <c r="J74" s="55" t="str">
        <f t="shared" si="1"/>
        <v/>
      </c>
      <c r="K74" s="88" t="str">
        <f t="shared" si="2"/>
        <v/>
      </c>
      <c r="L74" s="85"/>
      <c r="M74" s="86"/>
      <c r="N74" s="86"/>
      <c r="O74" s="87" t="str">
        <f t="shared" si="3"/>
        <v/>
      </c>
      <c r="P74" s="55" t="str">
        <f t="shared" si="4"/>
        <v/>
      </c>
      <c r="Q74" s="88" t="str">
        <f t="shared" si="5"/>
        <v/>
      </c>
      <c r="R74" s="85"/>
      <c r="S74" s="86"/>
      <c r="T74" s="86"/>
      <c r="U74" s="87" t="str">
        <f t="shared" si="6"/>
        <v/>
      </c>
      <c r="V74" s="55" t="str">
        <f t="shared" si="7"/>
        <v/>
      </c>
      <c r="W74" s="88" t="str">
        <f t="shared" si="8"/>
        <v/>
      </c>
      <c r="X74" s="89" t="str">
        <f t="shared" si="13"/>
        <v/>
      </c>
      <c r="Y74" s="90" t="str">
        <f t="shared" si="14"/>
        <v/>
      </c>
      <c r="Z74" s="91" t="str">
        <f t="shared" si="9"/>
        <v/>
      </c>
      <c r="AB74" s="2"/>
      <c r="AC74" s="1"/>
      <c r="AE74" s="1"/>
      <c r="AF74" s="1"/>
      <c r="AG74" s="1"/>
      <c r="AH74" s="1"/>
      <c r="AI74" s="1"/>
      <c r="AJ74" s="1"/>
      <c r="AK74" s="1"/>
      <c r="AL74" s="1"/>
      <c r="AM74" s="1"/>
      <c r="AN74" s="1"/>
      <c r="AO74" s="1"/>
      <c r="AP74" s="1"/>
      <c r="AQ74" s="1"/>
      <c r="AR74" s="1"/>
      <c r="AS74" s="6"/>
      <c r="AT74" s="41" t="e">
        <f t="shared" si="10"/>
        <v>#DIV/0!</v>
      </c>
      <c r="AU74" s="41" t="e">
        <f t="shared" si="11"/>
        <v>#DIV/0!</v>
      </c>
      <c r="AV74" s="41" t="e">
        <f t="shared" si="12"/>
        <v>#DIV/0!</v>
      </c>
      <c r="AX74" s="6"/>
    </row>
    <row r="75" spans="1:50" ht="18" customHeight="1">
      <c r="A75" s="35">
        <f>INPUT!A73</f>
        <v>0</v>
      </c>
      <c r="B75" s="35">
        <f>INPUT!B73</f>
        <v>0</v>
      </c>
      <c r="C75" s="35">
        <f>INPUT!C73</f>
        <v>0</v>
      </c>
      <c r="D75" s="85"/>
      <c r="E75" s="86"/>
      <c r="F75" s="86"/>
      <c r="G75" s="86"/>
      <c r="H75" s="86"/>
      <c r="I75" s="87" t="str">
        <f t="shared" si="0"/>
        <v/>
      </c>
      <c r="J75" s="55" t="str">
        <f t="shared" si="1"/>
        <v/>
      </c>
      <c r="K75" s="88" t="str">
        <f t="shared" si="2"/>
        <v/>
      </c>
      <c r="L75" s="85"/>
      <c r="M75" s="86"/>
      <c r="N75" s="86"/>
      <c r="O75" s="87" t="str">
        <f t="shared" si="3"/>
        <v/>
      </c>
      <c r="P75" s="55" t="str">
        <f t="shared" si="4"/>
        <v/>
      </c>
      <c r="Q75" s="88" t="str">
        <f t="shared" si="5"/>
        <v/>
      </c>
      <c r="R75" s="85"/>
      <c r="S75" s="86"/>
      <c r="T75" s="86"/>
      <c r="U75" s="87" t="str">
        <f t="shared" si="6"/>
        <v/>
      </c>
      <c r="V75" s="55" t="str">
        <f t="shared" si="7"/>
        <v/>
      </c>
      <c r="W75" s="88" t="str">
        <f t="shared" si="8"/>
        <v/>
      </c>
      <c r="X75" s="89" t="str">
        <f t="shared" si="13"/>
        <v/>
      </c>
      <c r="Y75" s="90" t="str">
        <f t="shared" si="14"/>
        <v/>
      </c>
      <c r="Z75" s="91" t="str">
        <f t="shared" si="9"/>
        <v/>
      </c>
      <c r="AB75" s="2"/>
      <c r="AC75" s="1"/>
      <c r="AE75" s="1"/>
      <c r="AF75" s="1"/>
      <c r="AG75" s="1"/>
      <c r="AH75" s="1"/>
      <c r="AI75" s="1"/>
      <c r="AJ75" s="1"/>
      <c r="AK75" s="1"/>
      <c r="AL75" s="1"/>
      <c r="AM75" s="1"/>
      <c r="AN75" s="1"/>
      <c r="AO75" s="1"/>
      <c r="AP75" s="1"/>
      <c r="AQ75" s="1"/>
      <c r="AR75" s="1"/>
      <c r="AS75" s="6"/>
      <c r="AT75" s="41" t="e">
        <f t="shared" si="10"/>
        <v>#DIV/0!</v>
      </c>
      <c r="AU75" s="41" t="e">
        <f t="shared" si="11"/>
        <v>#DIV/0!</v>
      </c>
      <c r="AV75" s="41" t="e">
        <f t="shared" si="12"/>
        <v>#DIV/0!</v>
      </c>
      <c r="AX75" s="6"/>
    </row>
    <row r="76" spans="1:50" ht="18" customHeight="1">
      <c r="A76" s="35">
        <f>INPUT!A74</f>
        <v>0</v>
      </c>
      <c r="B76" s="35">
        <f>INPUT!B74</f>
        <v>0</v>
      </c>
      <c r="C76" s="35">
        <f>INPUT!C74</f>
        <v>0</v>
      </c>
      <c r="D76" s="85"/>
      <c r="E76" s="86"/>
      <c r="F76" s="86"/>
      <c r="G76" s="86"/>
      <c r="H76" s="86"/>
      <c r="I76" s="87" t="str">
        <f t="shared" si="0"/>
        <v/>
      </c>
      <c r="J76" s="55" t="str">
        <f t="shared" si="1"/>
        <v/>
      </c>
      <c r="K76" s="88" t="str">
        <f t="shared" si="2"/>
        <v/>
      </c>
      <c r="L76" s="85"/>
      <c r="M76" s="86"/>
      <c r="N76" s="86"/>
      <c r="O76" s="87" t="str">
        <f t="shared" si="3"/>
        <v/>
      </c>
      <c r="P76" s="55" t="str">
        <f t="shared" si="4"/>
        <v/>
      </c>
      <c r="Q76" s="88" t="str">
        <f t="shared" si="5"/>
        <v/>
      </c>
      <c r="R76" s="85"/>
      <c r="S76" s="86"/>
      <c r="T76" s="86"/>
      <c r="U76" s="87" t="str">
        <f t="shared" si="6"/>
        <v/>
      </c>
      <c r="V76" s="55" t="str">
        <f t="shared" si="7"/>
        <v/>
      </c>
      <c r="W76" s="88" t="str">
        <f t="shared" si="8"/>
        <v/>
      </c>
      <c r="X76" s="89" t="str">
        <f t="shared" si="13"/>
        <v/>
      </c>
      <c r="Y76" s="90" t="str">
        <f t="shared" si="14"/>
        <v/>
      </c>
      <c r="Z76" s="91" t="str">
        <f t="shared" si="9"/>
        <v/>
      </c>
      <c r="AB76" s="2"/>
      <c r="AC76" s="1"/>
      <c r="AE76" s="1"/>
      <c r="AF76" s="1"/>
      <c r="AG76" s="1"/>
      <c r="AH76" s="1"/>
      <c r="AI76" s="1"/>
      <c r="AJ76" s="1"/>
      <c r="AK76" s="1"/>
      <c r="AL76" s="1"/>
      <c r="AM76" s="1"/>
      <c r="AN76" s="1"/>
      <c r="AO76" s="1"/>
      <c r="AP76" s="1"/>
      <c r="AQ76" s="1"/>
      <c r="AR76" s="1"/>
      <c r="AS76" s="6"/>
      <c r="AT76" s="41" t="e">
        <f t="shared" si="10"/>
        <v>#DIV/0!</v>
      </c>
      <c r="AU76" s="41" t="e">
        <f t="shared" si="11"/>
        <v>#DIV/0!</v>
      </c>
      <c r="AV76" s="41" t="e">
        <f t="shared" si="12"/>
        <v>#DIV/0!</v>
      </c>
      <c r="AX76" s="6"/>
    </row>
    <row r="77" spans="1:50" ht="18" customHeight="1">
      <c r="A77" s="35">
        <f>INPUT!A75</f>
        <v>0</v>
      </c>
      <c r="B77" s="35">
        <f>INPUT!B75</f>
        <v>0</v>
      </c>
      <c r="C77" s="35">
        <f>INPUT!C75</f>
        <v>0</v>
      </c>
      <c r="D77" s="85"/>
      <c r="E77" s="86"/>
      <c r="F77" s="86"/>
      <c r="G77" s="86"/>
      <c r="H77" s="86"/>
      <c r="I77" s="87" t="str">
        <f t="shared" si="0"/>
        <v/>
      </c>
      <c r="J77" s="55" t="str">
        <f t="shared" si="1"/>
        <v/>
      </c>
      <c r="K77" s="88" t="str">
        <f t="shared" si="2"/>
        <v/>
      </c>
      <c r="L77" s="85"/>
      <c r="M77" s="86"/>
      <c r="N77" s="86"/>
      <c r="O77" s="87" t="str">
        <f t="shared" si="3"/>
        <v/>
      </c>
      <c r="P77" s="55" t="str">
        <f t="shared" si="4"/>
        <v/>
      </c>
      <c r="Q77" s="88" t="str">
        <f t="shared" si="5"/>
        <v/>
      </c>
      <c r="R77" s="85"/>
      <c r="S77" s="86"/>
      <c r="T77" s="86"/>
      <c r="U77" s="87" t="str">
        <f t="shared" si="6"/>
        <v/>
      </c>
      <c r="V77" s="55" t="str">
        <f t="shared" si="7"/>
        <v/>
      </c>
      <c r="W77" s="88" t="str">
        <f t="shared" si="8"/>
        <v/>
      </c>
      <c r="X77" s="89" t="str">
        <f t="shared" si="13"/>
        <v/>
      </c>
      <c r="Y77" s="90" t="str">
        <f t="shared" si="14"/>
        <v/>
      </c>
      <c r="Z77" s="91" t="str">
        <f t="shared" si="9"/>
        <v/>
      </c>
      <c r="AB77" s="2"/>
      <c r="AC77" s="1"/>
      <c r="AE77" s="1"/>
      <c r="AF77" s="1"/>
      <c r="AG77" s="1"/>
      <c r="AH77" s="1"/>
      <c r="AI77" s="1"/>
      <c r="AJ77" s="1"/>
      <c r="AK77" s="1"/>
      <c r="AL77" s="1"/>
      <c r="AM77" s="1"/>
      <c r="AN77" s="1"/>
      <c r="AO77" s="1"/>
      <c r="AP77" s="1"/>
      <c r="AQ77" s="1"/>
      <c r="AR77" s="1"/>
      <c r="AS77" s="6"/>
      <c r="AT77" s="41" t="e">
        <f t="shared" si="10"/>
        <v>#DIV/0!</v>
      </c>
      <c r="AU77" s="41" t="e">
        <f t="shared" si="11"/>
        <v>#DIV/0!</v>
      </c>
      <c r="AV77" s="41" t="e">
        <f t="shared" si="12"/>
        <v>#DIV/0!</v>
      </c>
      <c r="AX77" s="6"/>
    </row>
    <row r="78" spans="1:50" ht="18" customHeight="1">
      <c r="A78" s="35">
        <f>INPUT!A76</f>
        <v>0</v>
      </c>
      <c r="B78" s="35">
        <f>INPUT!B76</f>
        <v>0</v>
      </c>
      <c r="C78" s="35">
        <f>INPUT!C76</f>
        <v>0</v>
      </c>
      <c r="D78" s="85"/>
      <c r="E78" s="86"/>
      <c r="F78" s="86"/>
      <c r="G78" s="86"/>
      <c r="H78" s="86"/>
      <c r="I78" s="87" t="str">
        <f t="shared" si="0"/>
        <v/>
      </c>
      <c r="J78" s="55" t="str">
        <f t="shared" si="1"/>
        <v/>
      </c>
      <c r="K78" s="88" t="str">
        <f t="shared" si="2"/>
        <v/>
      </c>
      <c r="L78" s="85"/>
      <c r="M78" s="86"/>
      <c r="N78" s="86"/>
      <c r="O78" s="87" t="str">
        <f t="shared" si="3"/>
        <v/>
      </c>
      <c r="P78" s="55" t="str">
        <f t="shared" si="4"/>
        <v/>
      </c>
      <c r="Q78" s="88" t="str">
        <f t="shared" si="5"/>
        <v/>
      </c>
      <c r="R78" s="85"/>
      <c r="S78" s="86"/>
      <c r="T78" s="86"/>
      <c r="U78" s="87" t="str">
        <f t="shared" si="6"/>
        <v/>
      </c>
      <c r="V78" s="55" t="str">
        <f t="shared" si="7"/>
        <v/>
      </c>
      <c r="W78" s="88" t="str">
        <f t="shared" si="8"/>
        <v/>
      </c>
      <c r="X78" s="89" t="str">
        <f t="shared" si="13"/>
        <v/>
      </c>
      <c r="Y78" s="90" t="str">
        <f t="shared" si="14"/>
        <v/>
      </c>
      <c r="Z78" s="91" t="str">
        <f t="shared" si="9"/>
        <v/>
      </c>
      <c r="AB78" s="2"/>
      <c r="AC78" s="1"/>
      <c r="AE78" s="1"/>
      <c r="AF78" s="1"/>
      <c r="AG78" s="1"/>
      <c r="AH78" s="1"/>
      <c r="AI78" s="1"/>
      <c r="AJ78" s="1"/>
      <c r="AK78" s="1"/>
      <c r="AL78" s="1"/>
      <c r="AM78" s="1"/>
      <c r="AN78" s="1"/>
      <c r="AO78" s="1"/>
      <c r="AP78" s="1"/>
      <c r="AQ78" s="1"/>
      <c r="AR78" s="1"/>
      <c r="AS78" s="6"/>
      <c r="AT78" s="41" t="e">
        <f t="shared" si="10"/>
        <v>#DIV/0!</v>
      </c>
      <c r="AU78" s="41" t="e">
        <f t="shared" si="11"/>
        <v>#DIV/0!</v>
      </c>
      <c r="AV78" s="41" t="e">
        <f t="shared" si="12"/>
        <v>#DIV/0!</v>
      </c>
      <c r="AX78" s="6"/>
    </row>
    <row r="79" spans="1:50" ht="18" customHeight="1">
      <c r="A79" s="35">
        <f>INPUT!A77</f>
        <v>0</v>
      </c>
      <c r="B79" s="35">
        <f>INPUT!B77</f>
        <v>0</v>
      </c>
      <c r="C79" s="35">
        <f>INPUT!C77</f>
        <v>0</v>
      </c>
      <c r="D79" s="85"/>
      <c r="E79" s="86"/>
      <c r="F79" s="86"/>
      <c r="G79" s="86"/>
      <c r="H79" s="86"/>
      <c r="I79" s="87" t="str">
        <f t="shared" ref="I79:I114" si="15">IF(COUNT($D79:$H79)=0,"",SUM($D79:$H79))</f>
        <v/>
      </c>
      <c r="J79" s="55" t="str">
        <f t="shared" ref="J79:J114" si="16">IF(ISERROR(IF($I79="","",ROUND(($I79/$I$10)*$J$10,2))),"",IF($I79="","",ROUND(($I79/$I$10)*$J$10,2)))</f>
        <v/>
      </c>
      <c r="K79" s="88" t="str">
        <f t="shared" ref="K79:K114" si="17">IF($J79="","",ROUND($J79*$K$10,2))</f>
        <v/>
      </c>
      <c r="L79" s="85"/>
      <c r="M79" s="86"/>
      <c r="N79" s="86"/>
      <c r="O79" s="87" t="str">
        <f t="shared" ref="O79:O114" si="18">IF(COUNT($L79:$N79)=0,"",SUM($L79:$N79))</f>
        <v/>
      </c>
      <c r="P79" s="55" t="str">
        <f t="shared" ref="P79:P114" si="19">IF(ISERROR(IF($O79="","",ROUND(($O79/$O$10)*$P$10,2))),"",IF($O79="","",ROUND(($O79/$O$10)*$P$10,2)))</f>
        <v/>
      </c>
      <c r="Q79" s="88" t="str">
        <f t="shared" ref="Q79:Q114" si="20">IF($P79="","",ROUND($P79*$Q$10,2))</f>
        <v/>
      </c>
      <c r="R79" s="85"/>
      <c r="S79" s="86"/>
      <c r="T79" s="86"/>
      <c r="U79" s="87" t="str">
        <f t="shared" ref="U79:U114" si="21">IF(COUNT($R79:$T79)=0,"",SUM($R79:$T79))</f>
        <v/>
      </c>
      <c r="V79" s="55" t="str">
        <f t="shared" ref="V79:V114" si="22">IF(ISERROR(IF($U79="","",ROUND(($U79/$U$10)*$V$10,2))),"",IF($U79="","",ROUND(($U79/$U$10)*$V$10,2)))</f>
        <v/>
      </c>
      <c r="W79" s="88" t="str">
        <f t="shared" ref="W79:W114" si="23">IF($V79="","",ROUND($V79*$W$10,2))</f>
        <v/>
      </c>
      <c r="X79" s="89" t="str">
        <f t="shared" si="13"/>
        <v/>
      </c>
      <c r="Y79" s="90" t="str">
        <f t="shared" si="14"/>
        <v/>
      </c>
      <c r="Z79" s="91" t="str">
        <f t="shared" ref="Z79:Z114"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4" si="25">(R79/$R$10)*100</f>
        <v>#DIV/0!</v>
      </c>
      <c r="AU79" s="41" t="e">
        <f t="shared" ref="AU79:AU114" si="26">(S79/$S$10)*100</f>
        <v>#DIV/0!</v>
      </c>
      <c r="AV79" s="41" t="e">
        <f t="shared" ref="AV79:AV114" si="27">(T79/$T$10)*100</f>
        <v>#DIV/0!</v>
      </c>
      <c r="AX79" s="6"/>
    </row>
    <row r="80" spans="1:50" ht="18" customHeight="1">
      <c r="A80" s="35">
        <f>INPUT!A78</f>
        <v>0</v>
      </c>
      <c r="B80" s="35">
        <f>INPUT!B78</f>
        <v>0</v>
      </c>
      <c r="C80" s="35">
        <f>INPUT!C78</f>
        <v>0</v>
      </c>
      <c r="D80" s="85"/>
      <c r="E80" s="86"/>
      <c r="F80" s="86"/>
      <c r="G80" s="86"/>
      <c r="H80" s="86"/>
      <c r="I80" s="87" t="str">
        <f t="shared" si="15"/>
        <v/>
      </c>
      <c r="J80" s="55" t="str">
        <f t="shared" si="16"/>
        <v/>
      </c>
      <c r="K80" s="88" t="str">
        <f t="shared" si="17"/>
        <v/>
      </c>
      <c r="L80" s="85"/>
      <c r="M80" s="86"/>
      <c r="N80" s="86"/>
      <c r="O80" s="87" t="str">
        <f t="shared" si="18"/>
        <v/>
      </c>
      <c r="P80" s="55" t="str">
        <f t="shared" si="19"/>
        <v/>
      </c>
      <c r="Q80" s="88" t="str">
        <f t="shared" si="20"/>
        <v/>
      </c>
      <c r="R80" s="85"/>
      <c r="S80" s="86"/>
      <c r="T80" s="86"/>
      <c r="U80" s="87" t="str">
        <f t="shared" si="21"/>
        <v/>
      </c>
      <c r="V80" s="55" t="str">
        <f t="shared" si="22"/>
        <v/>
      </c>
      <c r="W80" s="88" t="str">
        <f t="shared" si="23"/>
        <v/>
      </c>
      <c r="X80" s="89" t="str">
        <f t="shared" ref="X80:X114" si="28">IF(ISERROR(IF($T80="","",ROUND(SUM($K80,$Q80,$W80),2))),"",IF($T80="","",ROUND(SUM($K80,$Q80,$W80),2)))</f>
        <v/>
      </c>
      <c r="Y80" s="90" t="str">
        <f t="shared" ref="Y80:Y114" si="29">IF(ISERROR(IF($T80="","",VLOOKUP(X80,NewTransmu,4,TRUE))),"",IF($T80="","",VLOOKUP(X80,NewTransmu,4,TRUE)))</f>
        <v/>
      </c>
      <c r="Z80" s="91"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85"/>
      <c r="E81" s="86"/>
      <c r="F81" s="86"/>
      <c r="G81" s="86"/>
      <c r="H81" s="86"/>
      <c r="I81" s="87" t="str">
        <f t="shared" si="15"/>
        <v/>
      </c>
      <c r="J81" s="55" t="str">
        <f t="shared" si="16"/>
        <v/>
      </c>
      <c r="K81" s="88" t="str">
        <f t="shared" si="17"/>
        <v/>
      </c>
      <c r="L81" s="85"/>
      <c r="M81" s="86"/>
      <c r="N81" s="86"/>
      <c r="O81" s="87" t="str">
        <f t="shared" si="18"/>
        <v/>
      </c>
      <c r="P81" s="55" t="str">
        <f t="shared" si="19"/>
        <v/>
      </c>
      <c r="Q81" s="88" t="str">
        <f t="shared" si="20"/>
        <v/>
      </c>
      <c r="R81" s="85"/>
      <c r="S81" s="86"/>
      <c r="T81" s="86"/>
      <c r="U81" s="87" t="str">
        <f t="shared" si="21"/>
        <v/>
      </c>
      <c r="V81" s="55" t="str">
        <f t="shared" si="22"/>
        <v/>
      </c>
      <c r="W81" s="88" t="str">
        <f t="shared" si="23"/>
        <v/>
      </c>
      <c r="X81" s="89" t="str">
        <f t="shared" si="28"/>
        <v/>
      </c>
      <c r="Y81" s="90" t="str">
        <f t="shared" si="29"/>
        <v/>
      </c>
      <c r="Z81" s="91"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85"/>
      <c r="E82" s="86"/>
      <c r="F82" s="86"/>
      <c r="G82" s="86"/>
      <c r="H82" s="86"/>
      <c r="I82" s="87" t="str">
        <f t="shared" si="15"/>
        <v/>
      </c>
      <c r="J82" s="55" t="str">
        <f t="shared" si="16"/>
        <v/>
      </c>
      <c r="K82" s="88" t="str">
        <f t="shared" si="17"/>
        <v/>
      </c>
      <c r="L82" s="85"/>
      <c r="M82" s="86"/>
      <c r="N82" s="86"/>
      <c r="O82" s="87" t="str">
        <f t="shared" si="18"/>
        <v/>
      </c>
      <c r="P82" s="55" t="str">
        <f t="shared" si="19"/>
        <v/>
      </c>
      <c r="Q82" s="88" t="str">
        <f t="shared" si="20"/>
        <v/>
      </c>
      <c r="R82" s="85"/>
      <c r="S82" s="86"/>
      <c r="T82" s="86"/>
      <c r="U82" s="87" t="str">
        <f t="shared" si="21"/>
        <v/>
      </c>
      <c r="V82" s="55" t="str">
        <f t="shared" si="22"/>
        <v/>
      </c>
      <c r="W82" s="88" t="str">
        <f t="shared" si="23"/>
        <v/>
      </c>
      <c r="X82" s="89" t="str">
        <f t="shared" si="28"/>
        <v/>
      </c>
      <c r="Y82" s="90" t="str">
        <f t="shared" si="29"/>
        <v/>
      </c>
      <c r="Z82" s="91"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85"/>
      <c r="E83" s="86"/>
      <c r="F83" s="86"/>
      <c r="G83" s="86"/>
      <c r="H83" s="86"/>
      <c r="I83" s="87" t="str">
        <f t="shared" si="15"/>
        <v/>
      </c>
      <c r="J83" s="55" t="str">
        <f t="shared" si="16"/>
        <v/>
      </c>
      <c r="K83" s="88" t="str">
        <f t="shared" si="17"/>
        <v/>
      </c>
      <c r="L83" s="85"/>
      <c r="M83" s="86"/>
      <c r="N83" s="86"/>
      <c r="O83" s="87" t="str">
        <f t="shared" si="18"/>
        <v/>
      </c>
      <c r="P83" s="55" t="str">
        <f t="shared" si="19"/>
        <v/>
      </c>
      <c r="Q83" s="88" t="str">
        <f t="shared" si="20"/>
        <v/>
      </c>
      <c r="R83" s="85"/>
      <c r="S83" s="86"/>
      <c r="T83" s="86"/>
      <c r="U83" s="87" t="str">
        <f t="shared" si="21"/>
        <v/>
      </c>
      <c r="V83" s="55" t="str">
        <f t="shared" si="22"/>
        <v/>
      </c>
      <c r="W83" s="88" t="str">
        <f t="shared" si="23"/>
        <v/>
      </c>
      <c r="X83" s="89" t="str">
        <f t="shared" si="28"/>
        <v/>
      </c>
      <c r="Y83" s="90" t="str">
        <f t="shared" si="29"/>
        <v/>
      </c>
      <c r="Z83" s="91"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85"/>
      <c r="E84" s="86"/>
      <c r="F84" s="86"/>
      <c r="G84" s="86"/>
      <c r="H84" s="86"/>
      <c r="I84" s="87" t="str">
        <f t="shared" si="15"/>
        <v/>
      </c>
      <c r="J84" s="55" t="str">
        <f t="shared" si="16"/>
        <v/>
      </c>
      <c r="K84" s="88" t="str">
        <f t="shared" si="17"/>
        <v/>
      </c>
      <c r="L84" s="85"/>
      <c r="M84" s="86"/>
      <c r="N84" s="86"/>
      <c r="O84" s="87" t="str">
        <f t="shared" si="18"/>
        <v/>
      </c>
      <c r="P84" s="55" t="str">
        <f t="shared" si="19"/>
        <v/>
      </c>
      <c r="Q84" s="88" t="str">
        <f t="shared" si="20"/>
        <v/>
      </c>
      <c r="R84" s="85"/>
      <c r="S84" s="86"/>
      <c r="T84" s="86"/>
      <c r="U84" s="87" t="str">
        <f t="shared" si="21"/>
        <v/>
      </c>
      <c r="V84" s="55" t="str">
        <f t="shared" si="22"/>
        <v/>
      </c>
      <c r="W84" s="88" t="str">
        <f t="shared" si="23"/>
        <v/>
      </c>
      <c r="X84" s="89" t="str">
        <f t="shared" si="28"/>
        <v/>
      </c>
      <c r="Y84" s="90" t="str">
        <f t="shared" si="29"/>
        <v/>
      </c>
      <c r="Z84" s="91"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85"/>
      <c r="E85" s="86"/>
      <c r="F85" s="86"/>
      <c r="G85" s="86"/>
      <c r="H85" s="86"/>
      <c r="I85" s="87" t="str">
        <f t="shared" si="15"/>
        <v/>
      </c>
      <c r="J85" s="55" t="str">
        <f t="shared" si="16"/>
        <v/>
      </c>
      <c r="K85" s="88" t="str">
        <f t="shared" si="17"/>
        <v/>
      </c>
      <c r="L85" s="85"/>
      <c r="M85" s="86"/>
      <c r="N85" s="86"/>
      <c r="O85" s="87" t="str">
        <f t="shared" si="18"/>
        <v/>
      </c>
      <c r="P85" s="55" t="str">
        <f t="shared" si="19"/>
        <v/>
      </c>
      <c r="Q85" s="88" t="str">
        <f t="shared" si="20"/>
        <v/>
      </c>
      <c r="R85" s="85"/>
      <c r="S85" s="86"/>
      <c r="T85" s="86"/>
      <c r="U85" s="87" t="str">
        <f t="shared" si="21"/>
        <v/>
      </c>
      <c r="V85" s="55" t="str">
        <f t="shared" si="22"/>
        <v/>
      </c>
      <c r="W85" s="88" t="str">
        <f t="shared" si="23"/>
        <v/>
      </c>
      <c r="X85" s="89" t="str">
        <f t="shared" si="28"/>
        <v/>
      </c>
      <c r="Y85" s="90" t="str">
        <f t="shared" si="29"/>
        <v/>
      </c>
      <c r="Z85" s="91"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85"/>
      <c r="E86" s="86"/>
      <c r="F86" s="86"/>
      <c r="G86" s="86"/>
      <c r="H86" s="86"/>
      <c r="I86" s="87" t="str">
        <f t="shared" si="15"/>
        <v/>
      </c>
      <c r="J86" s="55" t="str">
        <f t="shared" si="16"/>
        <v/>
      </c>
      <c r="K86" s="88" t="str">
        <f t="shared" si="17"/>
        <v/>
      </c>
      <c r="L86" s="85"/>
      <c r="M86" s="86"/>
      <c r="N86" s="86"/>
      <c r="O86" s="87" t="str">
        <f t="shared" si="18"/>
        <v/>
      </c>
      <c r="P86" s="55" t="str">
        <f t="shared" si="19"/>
        <v/>
      </c>
      <c r="Q86" s="88" t="str">
        <f t="shared" si="20"/>
        <v/>
      </c>
      <c r="R86" s="85"/>
      <c r="S86" s="86"/>
      <c r="T86" s="86"/>
      <c r="U86" s="87" t="str">
        <f t="shared" si="21"/>
        <v/>
      </c>
      <c r="V86" s="55" t="str">
        <f t="shared" si="22"/>
        <v/>
      </c>
      <c r="W86" s="88" t="str">
        <f t="shared" si="23"/>
        <v/>
      </c>
      <c r="X86" s="89" t="str">
        <f t="shared" si="28"/>
        <v/>
      </c>
      <c r="Y86" s="90" t="str">
        <f t="shared" si="29"/>
        <v/>
      </c>
      <c r="Z86" s="91"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85"/>
      <c r="E87" s="86"/>
      <c r="F87" s="86"/>
      <c r="G87" s="86"/>
      <c r="H87" s="86"/>
      <c r="I87" s="87" t="str">
        <f t="shared" si="15"/>
        <v/>
      </c>
      <c r="J87" s="55" t="str">
        <f t="shared" si="16"/>
        <v/>
      </c>
      <c r="K87" s="88" t="str">
        <f t="shared" si="17"/>
        <v/>
      </c>
      <c r="L87" s="85"/>
      <c r="M87" s="86"/>
      <c r="N87" s="86"/>
      <c r="O87" s="87" t="str">
        <f t="shared" si="18"/>
        <v/>
      </c>
      <c r="P87" s="55" t="str">
        <f t="shared" si="19"/>
        <v/>
      </c>
      <c r="Q87" s="88" t="str">
        <f t="shared" si="20"/>
        <v/>
      </c>
      <c r="R87" s="85"/>
      <c r="S87" s="86"/>
      <c r="T87" s="86"/>
      <c r="U87" s="87" t="str">
        <f t="shared" si="21"/>
        <v/>
      </c>
      <c r="V87" s="55" t="str">
        <f t="shared" si="22"/>
        <v/>
      </c>
      <c r="W87" s="88" t="str">
        <f t="shared" si="23"/>
        <v/>
      </c>
      <c r="X87" s="89" t="str">
        <f t="shared" si="28"/>
        <v/>
      </c>
      <c r="Y87" s="90" t="str">
        <f t="shared" si="29"/>
        <v/>
      </c>
      <c r="Z87" s="91"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85"/>
      <c r="E88" s="86"/>
      <c r="F88" s="86"/>
      <c r="G88" s="86"/>
      <c r="H88" s="86"/>
      <c r="I88" s="87" t="str">
        <f t="shared" si="15"/>
        <v/>
      </c>
      <c r="J88" s="55" t="str">
        <f t="shared" si="16"/>
        <v/>
      </c>
      <c r="K88" s="88" t="str">
        <f t="shared" si="17"/>
        <v/>
      </c>
      <c r="L88" s="85"/>
      <c r="M88" s="86"/>
      <c r="N88" s="86"/>
      <c r="O88" s="87" t="str">
        <f t="shared" si="18"/>
        <v/>
      </c>
      <c r="P88" s="55" t="str">
        <f t="shared" si="19"/>
        <v/>
      </c>
      <c r="Q88" s="88" t="str">
        <f t="shared" si="20"/>
        <v/>
      </c>
      <c r="R88" s="85"/>
      <c r="S88" s="86"/>
      <c r="T88" s="86"/>
      <c r="U88" s="87" t="str">
        <f t="shared" si="21"/>
        <v/>
      </c>
      <c r="V88" s="55" t="str">
        <f t="shared" si="22"/>
        <v/>
      </c>
      <c r="W88" s="88" t="str">
        <f t="shared" si="23"/>
        <v/>
      </c>
      <c r="X88" s="89" t="str">
        <f t="shared" si="28"/>
        <v/>
      </c>
      <c r="Y88" s="90" t="str">
        <f t="shared" si="29"/>
        <v/>
      </c>
      <c r="Z88" s="91"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85"/>
      <c r="E89" s="86"/>
      <c r="F89" s="86"/>
      <c r="G89" s="86"/>
      <c r="H89" s="86"/>
      <c r="I89" s="87" t="str">
        <f t="shared" si="15"/>
        <v/>
      </c>
      <c r="J89" s="55" t="str">
        <f t="shared" si="16"/>
        <v/>
      </c>
      <c r="K89" s="88" t="str">
        <f t="shared" si="17"/>
        <v/>
      </c>
      <c r="L89" s="85"/>
      <c r="M89" s="86"/>
      <c r="N89" s="86"/>
      <c r="O89" s="87" t="str">
        <f t="shared" si="18"/>
        <v/>
      </c>
      <c r="P89" s="55" t="str">
        <f t="shared" si="19"/>
        <v/>
      </c>
      <c r="Q89" s="88" t="str">
        <f t="shared" si="20"/>
        <v/>
      </c>
      <c r="R89" s="85"/>
      <c r="S89" s="86"/>
      <c r="T89" s="86"/>
      <c r="U89" s="87" t="str">
        <f t="shared" si="21"/>
        <v/>
      </c>
      <c r="V89" s="55" t="str">
        <f t="shared" si="22"/>
        <v/>
      </c>
      <c r="W89" s="88" t="str">
        <f t="shared" si="23"/>
        <v/>
      </c>
      <c r="X89" s="89" t="str">
        <f t="shared" si="28"/>
        <v/>
      </c>
      <c r="Y89" s="90" t="str">
        <f t="shared" si="29"/>
        <v/>
      </c>
      <c r="Z89" s="91"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85"/>
      <c r="E90" s="86"/>
      <c r="F90" s="86"/>
      <c r="G90" s="86"/>
      <c r="H90" s="86"/>
      <c r="I90" s="87" t="str">
        <f t="shared" si="15"/>
        <v/>
      </c>
      <c r="J90" s="55" t="str">
        <f t="shared" si="16"/>
        <v/>
      </c>
      <c r="K90" s="88" t="str">
        <f t="shared" si="17"/>
        <v/>
      </c>
      <c r="L90" s="85"/>
      <c r="M90" s="86"/>
      <c r="N90" s="86"/>
      <c r="O90" s="87" t="str">
        <f t="shared" si="18"/>
        <v/>
      </c>
      <c r="P90" s="55" t="str">
        <f t="shared" si="19"/>
        <v/>
      </c>
      <c r="Q90" s="88" t="str">
        <f t="shared" si="20"/>
        <v/>
      </c>
      <c r="R90" s="85"/>
      <c r="S90" s="86"/>
      <c r="T90" s="86"/>
      <c r="U90" s="87" t="str">
        <f t="shared" si="21"/>
        <v/>
      </c>
      <c r="V90" s="55" t="str">
        <f t="shared" si="22"/>
        <v/>
      </c>
      <c r="W90" s="88" t="str">
        <f t="shared" si="23"/>
        <v/>
      </c>
      <c r="X90" s="89" t="str">
        <f t="shared" si="28"/>
        <v/>
      </c>
      <c r="Y90" s="90" t="str">
        <f t="shared" si="29"/>
        <v/>
      </c>
      <c r="Z90" s="91"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85"/>
      <c r="E91" s="86"/>
      <c r="F91" s="86"/>
      <c r="G91" s="86"/>
      <c r="H91" s="86"/>
      <c r="I91" s="87" t="str">
        <f t="shared" si="15"/>
        <v/>
      </c>
      <c r="J91" s="55" t="str">
        <f t="shared" si="16"/>
        <v/>
      </c>
      <c r="K91" s="88" t="str">
        <f t="shared" si="17"/>
        <v/>
      </c>
      <c r="L91" s="85"/>
      <c r="M91" s="86"/>
      <c r="N91" s="86"/>
      <c r="O91" s="87" t="str">
        <f t="shared" si="18"/>
        <v/>
      </c>
      <c r="P91" s="55" t="str">
        <f t="shared" si="19"/>
        <v/>
      </c>
      <c r="Q91" s="88" t="str">
        <f t="shared" si="20"/>
        <v/>
      </c>
      <c r="R91" s="85"/>
      <c r="S91" s="86"/>
      <c r="T91" s="86"/>
      <c r="U91" s="87" t="str">
        <f t="shared" si="21"/>
        <v/>
      </c>
      <c r="V91" s="55" t="str">
        <f t="shared" si="22"/>
        <v/>
      </c>
      <c r="W91" s="88" t="str">
        <f t="shared" si="23"/>
        <v/>
      </c>
      <c r="X91" s="89" t="str">
        <f t="shared" si="28"/>
        <v/>
      </c>
      <c r="Y91" s="90" t="str">
        <f t="shared" si="29"/>
        <v/>
      </c>
      <c r="Z91" s="91"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85"/>
      <c r="E92" s="86"/>
      <c r="F92" s="86"/>
      <c r="G92" s="86"/>
      <c r="H92" s="86"/>
      <c r="I92" s="87" t="str">
        <f t="shared" si="15"/>
        <v/>
      </c>
      <c r="J92" s="55" t="str">
        <f t="shared" si="16"/>
        <v/>
      </c>
      <c r="K92" s="88" t="str">
        <f t="shared" si="17"/>
        <v/>
      </c>
      <c r="L92" s="85"/>
      <c r="M92" s="86"/>
      <c r="N92" s="86"/>
      <c r="O92" s="87" t="str">
        <f t="shared" si="18"/>
        <v/>
      </c>
      <c r="P92" s="55" t="str">
        <f t="shared" si="19"/>
        <v/>
      </c>
      <c r="Q92" s="88" t="str">
        <f t="shared" si="20"/>
        <v/>
      </c>
      <c r="R92" s="85"/>
      <c r="S92" s="86"/>
      <c r="T92" s="86"/>
      <c r="U92" s="87" t="str">
        <f t="shared" si="21"/>
        <v/>
      </c>
      <c r="V92" s="55" t="str">
        <f t="shared" si="22"/>
        <v/>
      </c>
      <c r="W92" s="88" t="str">
        <f t="shared" si="23"/>
        <v/>
      </c>
      <c r="X92" s="89" t="str">
        <f t="shared" si="28"/>
        <v/>
      </c>
      <c r="Y92" s="90" t="str">
        <f t="shared" si="29"/>
        <v/>
      </c>
      <c r="Z92" s="91"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85"/>
      <c r="E93" s="86"/>
      <c r="F93" s="86"/>
      <c r="G93" s="86"/>
      <c r="H93" s="86"/>
      <c r="I93" s="87" t="str">
        <f t="shared" si="15"/>
        <v/>
      </c>
      <c r="J93" s="55" t="str">
        <f t="shared" si="16"/>
        <v/>
      </c>
      <c r="K93" s="88" t="str">
        <f t="shared" si="17"/>
        <v/>
      </c>
      <c r="L93" s="85"/>
      <c r="M93" s="86"/>
      <c r="N93" s="86"/>
      <c r="O93" s="87" t="str">
        <f t="shared" si="18"/>
        <v/>
      </c>
      <c r="P93" s="55" t="str">
        <f t="shared" si="19"/>
        <v/>
      </c>
      <c r="Q93" s="88" t="str">
        <f t="shared" si="20"/>
        <v/>
      </c>
      <c r="R93" s="85"/>
      <c r="S93" s="86"/>
      <c r="T93" s="86"/>
      <c r="U93" s="87" t="str">
        <f t="shared" si="21"/>
        <v/>
      </c>
      <c r="V93" s="55" t="str">
        <f t="shared" si="22"/>
        <v/>
      </c>
      <c r="W93" s="88" t="str">
        <f t="shared" si="23"/>
        <v/>
      </c>
      <c r="X93" s="89" t="str">
        <f t="shared" si="28"/>
        <v/>
      </c>
      <c r="Y93" s="90" t="str">
        <f t="shared" si="29"/>
        <v/>
      </c>
      <c r="Z93" s="91"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85"/>
      <c r="E94" s="86"/>
      <c r="F94" s="86"/>
      <c r="G94" s="86"/>
      <c r="H94" s="86"/>
      <c r="I94" s="87" t="str">
        <f t="shared" si="15"/>
        <v/>
      </c>
      <c r="J94" s="55" t="str">
        <f t="shared" si="16"/>
        <v/>
      </c>
      <c r="K94" s="88" t="str">
        <f t="shared" si="17"/>
        <v/>
      </c>
      <c r="L94" s="85"/>
      <c r="M94" s="86"/>
      <c r="N94" s="86"/>
      <c r="O94" s="87" t="str">
        <f t="shared" si="18"/>
        <v/>
      </c>
      <c r="P94" s="55" t="str">
        <f t="shared" si="19"/>
        <v/>
      </c>
      <c r="Q94" s="88" t="str">
        <f t="shared" si="20"/>
        <v/>
      </c>
      <c r="R94" s="85"/>
      <c r="S94" s="86"/>
      <c r="T94" s="86"/>
      <c r="U94" s="87" t="str">
        <f t="shared" si="21"/>
        <v/>
      </c>
      <c r="V94" s="55" t="str">
        <f t="shared" si="22"/>
        <v/>
      </c>
      <c r="W94" s="88" t="str">
        <f t="shared" si="23"/>
        <v/>
      </c>
      <c r="X94" s="89" t="str">
        <f t="shared" si="28"/>
        <v/>
      </c>
      <c r="Y94" s="90" t="str">
        <f t="shared" si="29"/>
        <v/>
      </c>
      <c r="Z94" s="91"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85"/>
      <c r="E95" s="86"/>
      <c r="F95" s="86"/>
      <c r="G95" s="86"/>
      <c r="H95" s="86"/>
      <c r="I95" s="87" t="str">
        <f t="shared" si="15"/>
        <v/>
      </c>
      <c r="J95" s="55" t="str">
        <f t="shared" si="16"/>
        <v/>
      </c>
      <c r="K95" s="88" t="str">
        <f t="shared" si="17"/>
        <v/>
      </c>
      <c r="L95" s="85"/>
      <c r="M95" s="86"/>
      <c r="N95" s="86"/>
      <c r="O95" s="87" t="str">
        <f t="shared" si="18"/>
        <v/>
      </c>
      <c r="P95" s="55" t="str">
        <f t="shared" si="19"/>
        <v/>
      </c>
      <c r="Q95" s="88" t="str">
        <f t="shared" si="20"/>
        <v/>
      </c>
      <c r="R95" s="85"/>
      <c r="S95" s="86"/>
      <c r="T95" s="86"/>
      <c r="U95" s="87" t="str">
        <f t="shared" si="21"/>
        <v/>
      </c>
      <c r="V95" s="55" t="str">
        <f t="shared" si="22"/>
        <v/>
      </c>
      <c r="W95" s="88" t="str">
        <f t="shared" si="23"/>
        <v/>
      </c>
      <c r="X95" s="89" t="str">
        <f t="shared" si="28"/>
        <v/>
      </c>
      <c r="Y95" s="90" t="str">
        <f t="shared" si="29"/>
        <v/>
      </c>
      <c r="Z95" s="91"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85"/>
      <c r="E96" s="86"/>
      <c r="F96" s="86"/>
      <c r="G96" s="86"/>
      <c r="H96" s="86"/>
      <c r="I96" s="87" t="str">
        <f t="shared" si="15"/>
        <v/>
      </c>
      <c r="J96" s="55" t="str">
        <f t="shared" si="16"/>
        <v/>
      </c>
      <c r="K96" s="88" t="str">
        <f t="shared" si="17"/>
        <v/>
      </c>
      <c r="L96" s="85"/>
      <c r="M96" s="86"/>
      <c r="N96" s="86"/>
      <c r="O96" s="87" t="str">
        <f t="shared" si="18"/>
        <v/>
      </c>
      <c r="P96" s="55" t="str">
        <f t="shared" si="19"/>
        <v/>
      </c>
      <c r="Q96" s="88" t="str">
        <f t="shared" si="20"/>
        <v/>
      </c>
      <c r="R96" s="85"/>
      <c r="S96" s="86"/>
      <c r="T96" s="86"/>
      <c r="U96" s="87" t="str">
        <f t="shared" si="21"/>
        <v/>
      </c>
      <c r="V96" s="55" t="str">
        <f t="shared" si="22"/>
        <v/>
      </c>
      <c r="W96" s="88" t="str">
        <f t="shared" si="23"/>
        <v/>
      </c>
      <c r="X96" s="89" t="str">
        <f t="shared" si="28"/>
        <v/>
      </c>
      <c r="Y96" s="90" t="str">
        <f t="shared" si="29"/>
        <v/>
      </c>
      <c r="Z96" s="91"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85"/>
      <c r="E97" s="86"/>
      <c r="F97" s="86"/>
      <c r="G97" s="86"/>
      <c r="H97" s="86"/>
      <c r="I97" s="87" t="str">
        <f t="shared" si="15"/>
        <v/>
      </c>
      <c r="J97" s="55" t="str">
        <f t="shared" si="16"/>
        <v/>
      </c>
      <c r="K97" s="88" t="str">
        <f t="shared" si="17"/>
        <v/>
      </c>
      <c r="L97" s="85"/>
      <c r="M97" s="86"/>
      <c r="N97" s="86"/>
      <c r="O97" s="87" t="str">
        <f t="shared" si="18"/>
        <v/>
      </c>
      <c r="P97" s="55" t="str">
        <f t="shared" si="19"/>
        <v/>
      </c>
      <c r="Q97" s="88" t="str">
        <f t="shared" si="20"/>
        <v/>
      </c>
      <c r="R97" s="85"/>
      <c r="S97" s="86"/>
      <c r="T97" s="86"/>
      <c r="U97" s="87" t="str">
        <f t="shared" si="21"/>
        <v/>
      </c>
      <c r="V97" s="55" t="str">
        <f t="shared" si="22"/>
        <v/>
      </c>
      <c r="W97" s="88" t="str">
        <f t="shared" si="23"/>
        <v/>
      </c>
      <c r="X97" s="89" t="str">
        <f t="shared" si="28"/>
        <v/>
      </c>
      <c r="Y97" s="90" t="str">
        <f t="shared" si="29"/>
        <v/>
      </c>
      <c r="Z97" s="91"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85"/>
      <c r="E98" s="86"/>
      <c r="F98" s="86"/>
      <c r="G98" s="86"/>
      <c r="H98" s="86"/>
      <c r="I98" s="87" t="str">
        <f t="shared" si="15"/>
        <v/>
      </c>
      <c r="J98" s="55" t="str">
        <f t="shared" si="16"/>
        <v/>
      </c>
      <c r="K98" s="88" t="str">
        <f t="shared" si="17"/>
        <v/>
      </c>
      <c r="L98" s="85"/>
      <c r="M98" s="86"/>
      <c r="N98" s="86"/>
      <c r="O98" s="87" t="str">
        <f t="shared" si="18"/>
        <v/>
      </c>
      <c r="P98" s="55" t="str">
        <f t="shared" si="19"/>
        <v/>
      </c>
      <c r="Q98" s="88" t="str">
        <f t="shared" si="20"/>
        <v/>
      </c>
      <c r="R98" s="85"/>
      <c r="S98" s="86"/>
      <c r="T98" s="86"/>
      <c r="U98" s="87" t="str">
        <f t="shared" si="21"/>
        <v/>
      </c>
      <c r="V98" s="55" t="str">
        <f t="shared" si="22"/>
        <v/>
      </c>
      <c r="W98" s="88" t="str">
        <f t="shared" si="23"/>
        <v/>
      </c>
      <c r="X98" s="89" t="str">
        <f t="shared" si="28"/>
        <v/>
      </c>
      <c r="Y98" s="90" t="str">
        <f t="shared" si="29"/>
        <v/>
      </c>
      <c r="Z98" s="91"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85"/>
      <c r="E99" s="86"/>
      <c r="F99" s="86"/>
      <c r="G99" s="86"/>
      <c r="H99" s="86"/>
      <c r="I99" s="87" t="str">
        <f t="shared" si="15"/>
        <v/>
      </c>
      <c r="J99" s="55" t="str">
        <f t="shared" si="16"/>
        <v/>
      </c>
      <c r="K99" s="88" t="str">
        <f t="shared" si="17"/>
        <v/>
      </c>
      <c r="L99" s="85"/>
      <c r="M99" s="86"/>
      <c r="N99" s="86"/>
      <c r="O99" s="87" t="str">
        <f t="shared" si="18"/>
        <v/>
      </c>
      <c r="P99" s="55" t="str">
        <f t="shared" si="19"/>
        <v/>
      </c>
      <c r="Q99" s="88" t="str">
        <f t="shared" si="20"/>
        <v/>
      </c>
      <c r="R99" s="85"/>
      <c r="S99" s="86"/>
      <c r="T99" s="86"/>
      <c r="U99" s="87" t="str">
        <f t="shared" si="21"/>
        <v/>
      </c>
      <c r="V99" s="55" t="str">
        <f t="shared" si="22"/>
        <v/>
      </c>
      <c r="W99" s="88" t="str">
        <f t="shared" si="23"/>
        <v/>
      </c>
      <c r="X99" s="89" t="str">
        <f t="shared" si="28"/>
        <v/>
      </c>
      <c r="Y99" s="90" t="str">
        <f t="shared" si="29"/>
        <v/>
      </c>
      <c r="Z99" s="91"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85"/>
      <c r="E100" s="86"/>
      <c r="F100" s="86"/>
      <c r="G100" s="86"/>
      <c r="H100" s="86"/>
      <c r="I100" s="87" t="str">
        <f t="shared" si="15"/>
        <v/>
      </c>
      <c r="J100" s="55" t="str">
        <f t="shared" si="16"/>
        <v/>
      </c>
      <c r="K100" s="88" t="str">
        <f t="shared" si="17"/>
        <v/>
      </c>
      <c r="L100" s="85"/>
      <c r="M100" s="86"/>
      <c r="N100" s="86"/>
      <c r="O100" s="87" t="str">
        <f t="shared" si="18"/>
        <v/>
      </c>
      <c r="P100" s="55" t="str">
        <f t="shared" si="19"/>
        <v/>
      </c>
      <c r="Q100" s="88" t="str">
        <f t="shared" si="20"/>
        <v/>
      </c>
      <c r="R100" s="85"/>
      <c r="S100" s="86"/>
      <c r="T100" s="86"/>
      <c r="U100" s="87" t="str">
        <f t="shared" si="21"/>
        <v/>
      </c>
      <c r="V100" s="55" t="str">
        <f t="shared" si="22"/>
        <v/>
      </c>
      <c r="W100" s="88" t="str">
        <f t="shared" si="23"/>
        <v/>
      </c>
      <c r="X100" s="89" t="str">
        <f t="shared" si="28"/>
        <v/>
      </c>
      <c r="Y100" s="90" t="str">
        <f t="shared" si="29"/>
        <v/>
      </c>
      <c r="Z100" s="91"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85"/>
      <c r="E101" s="86"/>
      <c r="F101" s="86"/>
      <c r="G101" s="86"/>
      <c r="H101" s="86"/>
      <c r="I101" s="87" t="str">
        <f t="shared" si="15"/>
        <v/>
      </c>
      <c r="J101" s="55" t="str">
        <f t="shared" si="16"/>
        <v/>
      </c>
      <c r="K101" s="88" t="str">
        <f t="shared" si="17"/>
        <v/>
      </c>
      <c r="L101" s="85"/>
      <c r="M101" s="86"/>
      <c r="N101" s="86"/>
      <c r="O101" s="87" t="str">
        <f t="shared" si="18"/>
        <v/>
      </c>
      <c r="P101" s="55" t="str">
        <f t="shared" si="19"/>
        <v/>
      </c>
      <c r="Q101" s="88" t="str">
        <f t="shared" si="20"/>
        <v/>
      </c>
      <c r="R101" s="85"/>
      <c r="S101" s="86"/>
      <c r="T101" s="86"/>
      <c r="U101" s="87" t="str">
        <f t="shared" si="21"/>
        <v/>
      </c>
      <c r="V101" s="55" t="str">
        <f t="shared" si="22"/>
        <v/>
      </c>
      <c r="W101" s="88" t="str">
        <f t="shared" si="23"/>
        <v/>
      </c>
      <c r="X101" s="89" t="str">
        <f t="shared" si="28"/>
        <v/>
      </c>
      <c r="Y101" s="90" t="str">
        <f t="shared" si="29"/>
        <v/>
      </c>
      <c r="Z101" s="91"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85"/>
      <c r="E102" s="86"/>
      <c r="F102" s="86"/>
      <c r="G102" s="86"/>
      <c r="H102" s="86"/>
      <c r="I102" s="87" t="str">
        <f t="shared" si="15"/>
        <v/>
      </c>
      <c r="J102" s="55" t="str">
        <f t="shared" si="16"/>
        <v/>
      </c>
      <c r="K102" s="88" t="str">
        <f t="shared" si="17"/>
        <v/>
      </c>
      <c r="L102" s="85"/>
      <c r="M102" s="86"/>
      <c r="N102" s="86"/>
      <c r="O102" s="87" t="str">
        <f t="shared" si="18"/>
        <v/>
      </c>
      <c r="P102" s="55" t="str">
        <f t="shared" si="19"/>
        <v/>
      </c>
      <c r="Q102" s="88" t="str">
        <f t="shared" si="20"/>
        <v/>
      </c>
      <c r="R102" s="85"/>
      <c r="S102" s="86"/>
      <c r="T102" s="86"/>
      <c r="U102" s="87" t="str">
        <f t="shared" si="21"/>
        <v/>
      </c>
      <c r="V102" s="55" t="str">
        <f t="shared" si="22"/>
        <v/>
      </c>
      <c r="W102" s="88" t="str">
        <f t="shared" si="23"/>
        <v/>
      </c>
      <c r="X102" s="89" t="str">
        <f t="shared" si="28"/>
        <v/>
      </c>
      <c r="Y102" s="90" t="str">
        <f t="shared" si="29"/>
        <v/>
      </c>
      <c r="Z102" s="91"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85"/>
      <c r="E103" s="86"/>
      <c r="F103" s="86"/>
      <c r="G103" s="86"/>
      <c r="H103" s="86"/>
      <c r="I103" s="87" t="str">
        <f t="shared" si="15"/>
        <v/>
      </c>
      <c r="J103" s="55" t="str">
        <f t="shared" si="16"/>
        <v/>
      </c>
      <c r="K103" s="88" t="str">
        <f t="shared" si="17"/>
        <v/>
      </c>
      <c r="L103" s="85"/>
      <c r="M103" s="86"/>
      <c r="N103" s="86"/>
      <c r="O103" s="87" t="str">
        <f t="shared" si="18"/>
        <v/>
      </c>
      <c r="P103" s="55" t="str">
        <f t="shared" si="19"/>
        <v/>
      </c>
      <c r="Q103" s="88" t="str">
        <f t="shared" si="20"/>
        <v/>
      </c>
      <c r="R103" s="85"/>
      <c r="S103" s="86"/>
      <c r="T103" s="86"/>
      <c r="U103" s="87" t="str">
        <f t="shared" si="21"/>
        <v/>
      </c>
      <c r="V103" s="55" t="str">
        <f t="shared" si="22"/>
        <v/>
      </c>
      <c r="W103" s="88" t="str">
        <f t="shared" si="23"/>
        <v/>
      </c>
      <c r="X103" s="89" t="str">
        <f t="shared" si="28"/>
        <v/>
      </c>
      <c r="Y103" s="90" t="str">
        <f t="shared" si="29"/>
        <v/>
      </c>
      <c r="Z103" s="91"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85"/>
      <c r="E104" s="86"/>
      <c r="F104" s="86"/>
      <c r="G104" s="86"/>
      <c r="H104" s="86"/>
      <c r="I104" s="87" t="str">
        <f t="shared" si="15"/>
        <v/>
      </c>
      <c r="J104" s="55" t="str">
        <f t="shared" si="16"/>
        <v/>
      </c>
      <c r="K104" s="88" t="str">
        <f t="shared" si="17"/>
        <v/>
      </c>
      <c r="L104" s="85"/>
      <c r="M104" s="86"/>
      <c r="N104" s="86"/>
      <c r="O104" s="87" t="str">
        <f t="shared" si="18"/>
        <v/>
      </c>
      <c r="P104" s="55" t="str">
        <f t="shared" si="19"/>
        <v/>
      </c>
      <c r="Q104" s="88" t="str">
        <f t="shared" si="20"/>
        <v/>
      </c>
      <c r="R104" s="85"/>
      <c r="S104" s="86"/>
      <c r="T104" s="86"/>
      <c r="U104" s="87" t="str">
        <f t="shared" si="21"/>
        <v/>
      </c>
      <c r="V104" s="55" t="str">
        <f t="shared" si="22"/>
        <v/>
      </c>
      <c r="W104" s="88" t="str">
        <f t="shared" si="23"/>
        <v/>
      </c>
      <c r="X104" s="89" t="str">
        <f t="shared" si="28"/>
        <v/>
      </c>
      <c r="Y104" s="90" t="str">
        <f t="shared" si="29"/>
        <v/>
      </c>
      <c r="Z104" s="91"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85"/>
      <c r="E105" s="86"/>
      <c r="F105" s="86"/>
      <c r="G105" s="86"/>
      <c r="H105" s="86"/>
      <c r="I105" s="87" t="str">
        <f t="shared" si="15"/>
        <v/>
      </c>
      <c r="J105" s="55" t="str">
        <f t="shared" si="16"/>
        <v/>
      </c>
      <c r="K105" s="88" t="str">
        <f t="shared" si="17"/>
        <v/>
      </c>
      <c r="L105" s="85"/>
      <c r="M105" s="86"/>
      <c r="N105" s="86"/>
      <c r="O105" s="87" t="str">
        <f t="shared" si="18"/>
        <v/>
      </c>
      <c r="P105" s="55" t="str">
        <f t="shared" si="19"/>
        <v/>
      </c>
      <c r="Q105" s="88" t="str">
        <f t="shared" si="20"/>
        <v/>
      </c>
      <c r="R105" s="85"/>
      <c r="S105" s="86"/>
      <c r="T105" s="86"/>
      <c r="U105" s="87" t="str">
        <f t="shared" si="21"/>
        <v/>
      </c>
      <c r="V105" s="55" t="str">
        <f t="shared" si="22"/>
        <v/>
      </c>
      <c r="W105" s="88" t="str">
        <f t="shared" si="23"/>
        <v/>
      </c>
      <c r="X105" s="89" t="str">
        <f t="shared" si="28"/>
        <v/>
      </c>
      <c r="Y105" s="90" t="str">
        <f t="shared" si="29"/>
        <v/>
      </c>
      <c r="Z105" s="91"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85"/>
      <c r="E106" s="86"/>
      <c r="F106" s="86"/>
      <c r="G106" s="86"/>
      <c r="H106" s="86"/>
      <c r="I106" s="87" t="str">
        <f t="shared" si="15"/>
        <v/>
      </c>
      <c r="J106" s="55" t="str">
        <f t="shared" si="16"/>
        <v/>
      </c>
      <c r="K106" s="88" t="str">
        <f t="shared" si="17"/>
        <v/>
      </c>
      <c r="L106" s="85"/>
      <c r="M106" s="86"/>
      <c r="N106" s="86"/>
      <c r="O106" s="87" t="str">
        <f t="shared" si="18"/>
        <v/>
      </c>
      <c r="P106" s="55" t="str">
        <f t="shared" si="19"/>
        <v/>
      </c>
      <c r="Q106" s="88" t="str">
        <f t="shared" si="20"/>
        <v/>
      </c>
      <c r="R106" s="85"/>
      <c r="S106" s="86"/>
      <c r="T106" s="86"/>
      <c r="U106" s="87" t="str">
        <f t="shared" si="21"/>
        <v/>
      </c>
      <c r="V106" s="55" t="str">
        <f t="shared" si="22"/>
        <v/>
      </c>
      <c r="W106" s="88" t="str">
        <f t="shared" si="23"/>
        <v/>
      </c>
      <c r="X106" s="89" t="str">
        <f t="shared" si="28"/>
        <v/>
      </c>
      <c r="Y106" s="90" t="str">
        <f t="shared" si="29"/>
        <v/>
      </c>
      <c r="Z106" s="91"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85"/>
      <c r="E107" s="86"/>
      <c r="F107" s="86"/>
      <c r="G107" s="86"/>
      <c r="H107" s="86"/>
      <c r="I107" s="87" t="str">
        <f t="shared" si="15"/>
        <v/>
      </c>
      <c r="J107" s="55" t="str">
        <f t="shared" si="16"/>
        <v/>
      </c>
      <c r="K107" s="88" t="str">
        <f t="shared" si="17"/>
        <v/>
      </c>
      <c r="L107" s="85"/>
      <c r="M107" s="86"/>
      <c r="N107" s="86"/>
      <c r="O107" s="87" t="str">
        <f t="shared" si="18"/>
        <v/>
      </c>
      <c r="P107" s="55" t="str">
        <f t="shared" si="19"/>
        <v/>
      </c>
      <c r="Q107" s="88" t="str">
        <f t="shared" si="20"/>
        <v/>
      </c>
      <c r="R107" s="85"/>
      <c r="S107" s="86"/>
      <c r="T107" s="86"/>
      <c r="U107" s="87" t="str">
        <f t="shared" si="21"/>
        <v/>
      </c>
      <c r="V107" s="55" t="str">
        <f t="shared" si="22"/>
        <v/>
      </c>
      <c r="W107" s="88" t="str">
        <f t="shared" si="23"/>
        <v/>
      </c>
      <c r="X107" s="89" t="str">
        <f t="shared" si="28"/>
        <v/>
      </c>
      <c r="Y107" s="90" t="str">
        <f t="shared" si="29"/>
        <v/>
      </c>
      <c r="Z107" s="91"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85"/>
      <c r="E108" s="86"/>
      <c r="F108" s="86"/>
      <c r="G108" s="86"/>
      <c r="H108" s="86"/>
      <c r="I108" s="87" t="str">
        <f t="shared" si="15"/>
        <v/>
      </c>
      <c r="J108" s="55" t="str">
        <f t="shared" si="16"/>
        <v/>
      </c>
      <c r="K108" s="88" t="str">
        <f t="shared" si="17"/>
        <v/>
      </c>
      <c r="L108" s="85"/>
      <c r="M108" s="86"/>
      <c r="N108" s="86"/>
      <c r="O108" s="87" t="str">
        <f t="shared" si="18"/>
        <v/>
      </c>
      <c r="P108" s="55" t="str">
        <f t="shared" si="19"/>
        <v/>
      </c>
      <c r="Q108" s="88" t="str">
        <f t="shared" si="20"/>
        <v/>
      </c>
      <c r="R108" s="85"/>
      <c r="S108" s="86"/>
      <c r="T108" s="86"/>
      <c r="U108" s="87" t="str">
        <f t="shared" si="21"/>
        <v/>
      </c>
      <c r="V108" s="55" t="str">
        <f t="shared" si="22"/>
        <v/>
      </c>
      <c r="W108" s="88" t="str">
        <f t="shared" si="23"/>
        <v/>
      </c>
      <c r="X108" s="89" t="str">
        <f t="shared" si="28"/>
        <v/>
      </c>
      <c r="Y108" s="90" t="str">
        <f t="shared" si="29"/>
        <v/>
      </c>
      <c r="Z108" s="91"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85"/>
      <c r="E109" s="86"/>
      <c r="F109" s="86"/>
      <c r="G109" s="86"/>
      <c r="H109" s="86"/>
      <c r="I109" s="87" t="str">
        <f t="shared" si="15"/>
        <v/>
      </c>
      <c r="J109" s="55" t="str">
        <f t="shared" si="16"/>
        <v/>
      </c>
      <c r="K109" s="88" t="str">
        <f t="shared" si="17"/>
        <v/>
      </c>
      <c r="L109" s="85"/>
      <c r="M109" s="86"/>
      <c r="N109" s="86"/>
      <c r="O109" s="87" t="str">
        <f t="shared" si="18"/>
        <v/>
      </c>
      <c r="P109" s="55" t="str">
        <f t="shared" si="19"/>
        <v/>
      </c>
      <c r="Q109" s="88" t="str">
        <f t="shared" si="20"/>
        <v/>
      </c>
      <c r="R109" s="85"/>
      <c r="S109" s="86"/>
      <c r="T109" s="86"/>
      <c r="U109" s="87" t="str">
        <f t="shared" si="21"/>
        <v/>
      </c>
      <c r="V109" s="55" t="str">
        <f t="shared" si="22"/>
        <v/>
      </c>
      <c r="W109" s="88" t="str">
        <f t="shared" si="23"/>
        <v/>
      </c>
      <c r="X109" s="89" t="str">
        <f t="shared" si="28"/>
        <v/>
      </c>
      <c r="Y109" s="90" t="str">
        <f t="shared" si="29"/>
        <v/>
      </c>
      <c r="Z109" s="91"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85"/>
      <c r="E110" s="86"/>
      <c r="F110" s="86"/>
      <c r="G110" s="86"/>
      <c r="H110" s="86"/>
      <c r="I110" s="87" t="str">
        <f t="shared" si="15"/>
        <v/>
      </c>
      <c r="J110" s="55" t="str">
        <f t="shared" si="16"/>
        <v/>
      </c>
      <c r="K110" s="88" t="str">
        <f t="shared" si="17"/>
        <v/>
      </c>
      <c r="L110" s="85"/>
      <c r="M110" s="86"/>
      <c r="N110" s="86"/>
      <c r="O110" s="87" t="str">
        <f t="shared" si="18"/>
        <v/>
      </c>
      <c r="P110" s="55" t="str">
        <f t="shared" si="19"/>
        <v/>
      </c>
      <c r="Q110" s="88" t="str">
        <f t="shared" si="20"/>
        <v/>
      </c>
      <c r="R110" s="85"/>
      <c r="S110" s="86"/>
      <c r="T110" s="86"/>
      <c r="U110" s="87" t="str">
        <f t="shared" si="21"/>
        <v/>
      </c>
      <c r="V110" s="55" t="str">
        <f t="shared" si="22"/>
        <v/>
      </c>
      <c r="W110" s="88" t="str">
        <f t="shared" si="23"/>
        <v/>
      </c>
      <c r="X110" s="89" t="str">
        <f t="shared" si="28"/>
        <v/>
      </c>
      <c r="Y110" s="90" t="str">
        <f t="shared" si="29"/>
        <v/>
      </c>
      <c r="Z110" s="91"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85"/>
      <c r="E111" s="86"/>
      <c r="F111" s="86"/>
      <c r="G111" s="86"/>
      <c r="H111" s="86"/>
      <c r="I111" s="87" t="str">
        <f t="shared" si="15"/>
        <v/>
      </c>
      <c r="J111" s="55" t="str">
        <f t="shared" si="16"/>
        <v/>
      </c>
      <c r="K111" s="88" t="str">
        <f t="shared" si="17"/>
        <v/>
      </c>
      <c r="L111" s="85"/>
      <c r="M111" s="86"/>
      <c r="N111" s="86"/>
      <c r="O111" s="87" t="str">
        <f t="shared" si="18"/>
        <v/>
      </c>
      <c r="P111" s="55" t="str">
        <f t="shared" si="19"/>
        <v/>
      </c>
      <c r="Q111" s="88" t="str">
        <f t="shared" si="20"/>
        <v/>
      </c>
      <c r="R111" s="85"/>
      <c r="S111" s="86"/>
      <c r="T111" s="86"/>
      <c r="U111" s="87" t="str">
        <f t="shared" si="21"/>
        <v/>
      </c>
      <c r="V111" s="55" t="str">
        <f t="shared" si="22"/>
        <v/>
      </c>
      <c r="W111" s="88" t="str">
        <f t="shared" si="23"/>
        <v/>
      </c>
      <c r="X111" s="89" t="str">
        <f t="shared" si="28"/>
        <v/>
      </c>
      <c r="Y111" s="90" t="str">
        <f t="shared" si="29"/>
        <v/>
      </c>
      <c r="Z111" s="91"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85"/>
      <c r="E112" s="86"/>
      <c r="F112" s="86"/>
      <c r="G112" s="86"/>
      <c r="H112" s="86"/>
      <c r="I112" s="87" t="str">
        <f t="shared" si="15"/>
        <v/>
      </c>
      <c r="J112" s="55" t="str">
        <f t="shared" si="16"/>
        <v/>
      </c>
      <c r="K112" s="88" t="str">
        <f t="shared" si="17"/>
        <v/>
      </c>
      <c r="L112" s="85"/>
      <c r="M112" s="86"/>
      <c r="N112" s="86"/>
      <c r="O112" s="87" t="str">
        <f t="shared" si="18"/>
        <v/>
      </c>
      <c r="P112" s="55" t="str">
        <f t="shared" si="19"/>
        <v/>
      </c>
      <c r="Q112" s="88" t="str">
        <f t="shared" si="20"/>
        <v/>
      </c>
      <c r="R112" s="85"/>
      <c r="S112" s="86"/>
      <c r="T112" s="86"/>
      <c r="U112" s="87" t="str">
        <f t="shared" si="21"/>
        <v/>
      </c>
      <c r="V112" s="55" t="str">
        <f t="shared" si="22"/>
        <v/>
      </c>
      <c r="W112" s="88" t="str">
        <f t="shared" si="23"/>
        <v/>
      </c>
      <c r="X112" s="89" t="str">
        <f t="shared" si="28"/>
        <v/>
      </c>
      <c r="Y112" s="90" t="str">
        <f t="shared" si="29"/>
        <v/>
      </c>
      <c r="Z112" s="91"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85"/>
      <c r="E113" s="86"/>
      <c r="F113" s="86"/>
      <c r="G113" s="86"/>
      <c r="H113" s="86"/>
      <c r="I113" s="87" t="str">
        <f t="shared" si="15"/>
        <v/>
      </c>
      <c r="J113" s="55" t="str">
        <f t="shared" si="16"/>
        <v/>
      </c>
      <c r="K113" s="88" t="str">
        <f t="shared" si="17"/>
        <v/>
      </c>
      <c r="L113" s="85"/>
      <c r="M113" s="86"/>
      <c r="N113" s="86"/>
      <c r="O113" s="87" t="str">
        <f t="shared" si="18"/>
        <v/>
      </c>
      <c r="P113" s="55" t="str">
        <f t="shared" si="19"/>
        <v/>
      </c>
      <c r="Q113" s="88" t="str">
        <f t="shared" si="20"/>
        <v/>
      </c>
      <c r="R113" s="85"/>
      <c r="S113" s="86"/>
      <c r="T113" s="86"/>
      <c r="U113" s="87" t="str">
        <f t="shared" si="21"/>
        <v/>
      </c>
      <c r="V113" s="55" t="str">
        <f t="shared" si="22"/>
        <v/>
      </c>
      <c r="W113" s="88" t="str">
        <f t="shared" si="23"/>
        <v/>
      </c>
      <c r="X113" s="89" t="str">
        <f t="shared" si="28"/>
        <v/>
      </c>
      <c r="Y113" s="90" t="str">
        <f t="shared" si="29"/>
        <v/>
      </c>
      <c r="Z113" s="91"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ht="18" hidden="1" customHeight="1" thickBot="1">
      <c r="A114" s="211" t="s">
        <v>101</v>
      </c>
      <c r="B114" s="212" t="s">
        <v>104</v>
      </c>
      <c r="C114" s="213" t="s">
        <v>102</v>
      </c>
      <c r="D114" s="205"/>
      <c r="E114" s="206"/>
      <c r="F114" s="206"/>
      <c r="G114" s="206"/>
      <c r="H114" s="206"/>
      <c r="I114" s="214" t="str">
        <f t="shared" si="15"/>
        <v/>
      </c>
      <c r="J114" s="215" t="str">
        <f t="shared" si="16"/>
        <v/>
      </c>
      <c r="K114" s="216" t="str">
        <f t="shared" si="17"/>
        <v/>
      </c>
      <c r="L114" s="205"/>
      <c r="M114" s="206"/>
      <c r="N114" s="206"/>
      <c r="O114" s="214" t="str">
        <f t="shared" si="18"/>
        <v/>
      </c>
      <c r="P114" s="215" t="str">
        <f t="shared" si="19"/>
        <v/>
      </c>
      <c r="Q114" s="216" t="str">
        <f t="shared" si="20"/>
        <v/>
      </c>
      <c r="R114" s="205"/>
      <c r="S114" s="206"/>
      <c r="T114" s="206"/>
      <c r="U114" s="214" t="str">
        <f t="shared" si="21"/>
        <v/>
      </c>
      <c r="V114" s="215" t="str">
        <f t="shared" si="22"/>
        <v/>
      </c>
      <c r="W114" s="216" t="str">
        <f t="shared" si="23"/>
        <v/>
      </c>
      <c r="X114" s="217" t="str">
        <f t="shared" si="28"/>
        <v/>
      </c>
      <c r="Y114" s="218" t="str">
        <f t="shared" si="29"/>
        <v/>
      </c>
      <c r="Z114" s="219" t="str">
        <f t="shared" si="24"/>
        <v/>
      </c>
      <c r="AC114" s="1"/>
      <c r="AE114" s="1"/>
      <c r="AF114" s="1"/>
      <c r="AG114" s="1"/>
      <c r="AH114" s="1"/>
      <c r="AI114" s="1"/>
      <c r="AJ114" s="1"/>
      <c r="AK114" s="1"/>
      <c r="AL114" s="1"/>
      <c r="AM114" s="1"/>
      <c r="AN114" s="1"/>
      <c r="AO114" s="1"/>
      <c r="AP114" s="1"/>
      <c r="AQ114" s="1"/>
      <c r="AR114" s="1"/>
      <c r="AS114" s="6"/>
      <c r="AT114" s="41" t="e">
        <f t="shared" si="25"/>
        <v>#DIV/0!</v>
      </c>
      <c r="AU114" s="41" t="e">
        <f t="shared" si="26"/>
        <v>#DIV/0!</v>
      </c>
      <c r="AV114" s="41" t="e">
        <f t="shared" si="27"/>
        <v>#DIV/0!</v>
      </c>
      <c r="AX114" s="6"/>
    </row>
    <row r="120" spans="1:50" s="2" customFormat="1">
      <c r="I120" s="3"/>
      <c r="J120" s="3"/>
      <c r="O120" s="3"/>
      <c r="P120" s="3"/>
      <c r="Q120" s="3"/>
      <c r="R120" s="3"/>
      <c r="U120" s="3"/>
      <c r="V120" s="3"/>
      <c r="W120" s="3"/>
      <c r="X120" s="4"/>
      <c r="AC120" s="4"/>
      <c r="AD120" s="4"/>
      <c r="AE120" s="4"/>
      <c r="AF120" s="4"/>
      <c r="AG120" s="4"/>
      <c r="AH120" s="4"/>
      <c r="AI120" s="4"/>
      <c r="AJ120" s="4"/>
      <c r="AK120" s="4"/>
      <c r="AL120" s="4"/>
      <c r="AM120" s="4"/>
      <c r="AN120" s="4"/>
      <c r="AO120" s="4"/>
      <c r="AP120" s="4"/>
      <c r="AQ120" s="4"/>
      <c r="AR120" s="19"/>
      <c r="AS120" s="19"/>
      <c r="AT120" s="47"/>
      <c r="AU120" s="47"/>
      <c r="AV120" s="47"/>
      <c r="AW120" s="47"/>
    </row>
  </sheetData>
  <mergeCells count="29">
    <mergeCell ref="B2:B5"/>
    <mergeCell ref="B64:C64"/>
    <mergeCell ref="A7:C7"/>
    <mergeCell ref="X8:X10"/>
    <mergeCell ref="Y8:Y10"/>
    <mergeCell ref="A10:C10"/>
    <mergeCell ref="B11:C11"/>
    <mergeCell ref="A8:A9"/>
    <mergeCell ref="B8:B9"/>
    <mergeCell ref="C8:C9"/>
    <mergeCell ref="D8:K8"/>
    <mergeCell ref="L8:Q8"/>
    <mergeCell ref="D4:E4"/>
    <mergeCell ref="F4:H4"/>
    <mergeCell ref="I4:L4"/>
    <mergeCell ref="O1:T4"/>
    <mergeCell ref="D1:L2"/>
    <mergeCell ref="Z8:Z10"/>
    <mergeCell ref="D5:L5"/>
    <mergeCell ref="N5:O5"/>
    <mergeCell ref="P5:R5"/>
    <mergeCell ref="S5:V5"/>
    <mergeCell ref="W5:X5"/>
    <mergeCell ref="I7:K7"/>
    <mergeCell ref="L7:N7"/>
    <mergeCell ref="O7:Q7"/>
    <mergeCell ref="R7:T7"/>
    <mergeCell ref="U7:W7"/>
    <mergeCell ref="R8:W8"/>
  </mergeCells>
  <conditionalFormatting sqref="Y13:Y63 Y66:Y114">
    <cfRule type="cellIs" dxfId="12" priority="8" operator="lessThan">
      <formula>75</formula>
    </cfRule>
  </conditionalFormatting>
  <conditionalFormatting sqref="Z13:Z114">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xWindow="911" yWindow="589" count="51">
    <dataValidation allowBlank="1" showInputMessage="1" prompt="Summative Tests' and Term Examination's Weighted Score" sqref="W13:W63 W66:W114" xr:uid="{CD43E19C-6D43-4165-8E8F-DF22EC7241D3}"/>
    <dataValidation allowBlank="1" showInputMessage="1" prompt="Summative Tests' and Term Examination's Percentage Score" sqref="V13:V63 V66:V114" xr:uid="{966FD927-A635-4FC7-958C-38FECCC7D6EE}"/>
    <dataValidation allowBlank="1" showInputMessage="1" showErrorMessage="1" prompt="Summative Tests' and Term Examination's Total Score" sqref="U13:U63 U66:U114" xr:uid="{8352E1CC-F4E2-48B1-81B3-6B61709FA704}"/>
    <dataValidation allowBlank="1" showInputMessage="1" showErrorMessage="1" prompt="EITHER WRITE YOUR OWN HPS OR EMPTY" sqref="K65547:M65548 K131083:M131084 K196619:M196620 K262155:M262156 K327691:M327692 K393227:M393228 K458763:M458764 K524299:M524300 K589835:M589836 K655371:M655372 K720907:M720908 K786443:M786444 K851979:M851980 K917515:M917516 K983051:M983052 IN10:IW12 IM65547:IV65548 IM131083:IV131084 IM196619:IV196620 IM262155:IV262156 IM327691:IV327692 IM393227:IV393228 IM458763:IV458764 IM524299:IV524300 IM589835:IV589836 IM655371:IV655372 IM720907:IV720908 IM786443:IV786444 IM851979:IV851980 IM917515:IV917516 IM983051:IV983052 JA10:JJ12 IZ65547:JI65548 IZ131083:JI131084 IZ196619:JI196620 IZ262155:JI262156 IZ327691:JI327692 IZ393227:JI393228 IZ458763:JI458764 IZ524299:JI524300 IZ589835:JI589836 IZ655371:JI655372 IZ720907:JI720908 IZ786443:JI786444 IZ851979:JI851980 IZ917515:JI917516 IZ983051:JI983052 SJ10:SS12 SI65547:SR65548 SI131083:SR131084 SI196619:SR196620 SI262155:SR262156 SI327691:SR327692 SI393227:SR393228 SI458763:SR458764 SI524299:SR524300 SI589835:SR589836 SI655371:SR655372 SI720907:SR720908 SI786443:SR786444 SI851979:SR851980 SI917515:SR917516 SI983051:SR983052 SW10:TF12 SV65547:TE65548 SV131083:TE131084 SV196619:TE196620 SV262155:TE262156 SV327691:TE327692 SV393227:TE393228 SV458763:TE458764 SV524299:TE524300 SV589835:TE589836 SV655371:TE655372 SV720907:TE720908 SV786443:TE786444 SV851979:TE851980 SV917515:TE917516 SV983051:TE983052 ACF10:ACO12 ACE65547:ACN65548 ACE131083:ACN131084 ACE196619:ACN196620 ACE262155:ACN262156 ACE327691:ACN327692 ACE393227:ACN393228 ACE458763:ACN458764 ACE524299:ACN524300 ACE589835:ACN589836 ACE655371:ACN655372 ACE720907:ACN720908 ACE786443:ACN786444 ACE851979:ACN851980 ACE917515:ACN917516 ACE983051:ACN983052 ACS10:ADB12 ACR65547:ADA65548 ACR131083:ADA131084 ACR196619:ADA196620 ACR262155:ADA262156 ACR327691:ADA327692 ACR393227:ADA393228 ACR458763:ADA458764 ACR524299:ADA524300 ACR589835:ADA589836 ACR655371:ADA655372 ACR720907:ADA720908 ACR786443:ADA786444 ACR851979:ADA851980 ACR917515:ADA917516 ACR983051:ADA983052 AMB10:AMK12 AMA65547:AMJ65548 AMA131083:AMJ131084 AMA196619:AMJ196620 AMA262155:AMJ262156 AMA327691:AMJ327692 AMA393227:AMJ393228 AMA458763:AMJ458764 AMA524299:AMJ524300 AMA589835:AMJ589836 AMA655371:AMJ655372 AMA720907:AMJ720908 AMA786443:AMJ786444 AMA851979:AMJ851980 AMA917515:AMJ917516 AMA983051:AMJ983052 AMO10:AMX12 AMN65547:AMW65548 AMN131083:AMW131084 AMN196619:AMW196620 AMN262155:AMW262156 AMN327691:AMW327692 AMN393227:AMW393228 AMN458763:AMW458764 AMN524299:AMW524300 AMN589835:AMW589836 AMN655371:AMW655372 AMN720907:AMW720908 AMN786443:AMW786444 AMN851979:AMW851980 AMN917515:AMW917516 AMN983051:AMW983052 AVX10:AWG12 AVW65547:AWF65548 AVW131083:AWF131084 AVW196619:AWF196620 AVW262155:AWF262156 AVW327691:AWF327692 AVW393227:AWF393228 AVW458763:AWF458764 AVW524299:AWF524300 AVW589835:AWF589836 AVW655371:AWF655372 AVW720907:AWF720908 AVW786443:AWF786444 AVW851979:AWF851980 AVW917515:AWF917516 AVW983051:AWF983052 AWK10:AWT12 AWJ65547:AWS65548 AWJ131083:AWS131084 AWJ196619:AWS196620 AWJ262155:AWS262156 AWJ327691:AWS327692 AWJ393227:AWS393228 AWJ458763:AWS458764 AWJ524299:AWS524300 AWJ589835:AWS589836 AWJ655371:AWS655372 AWJ720907:AWS720908 AWJ786443:AWS786444 AWJ851979:AWS851980 AWJ917515:AWS917516 AWJ983051:AWS983052 BFT10:BGC12 BFS65547:BGB65548 BFS131083:BGB131084 BFS196619:BGB196620 BFS262155:BGB262156 BFS327691:BGB327692 BFS393227:BGB393228 BFS458763:BGB458764 BFS524299:BGB524300 BFS589835:BGB589836 BFS655371:BGB655372 BFS720907:BGB720908 BFS786443:BGB786444 BFS851979:BGB851980 BFS917515:BGB917516 BFS983051:BGB983052 BGG10:BGP12 BGF65547:BGO65548 BGF131083:BGO131084 BGF196619:BGO196620 BGF262155:BGO262156 BGF327691:BGO327692 BGF393227:BGO393228 BGF458763:BGO458764 BGF524299:BGO524300 BGF589835:BGO589836 BGF655371:BGO655372 BGF720907:BGO720908 BGF786443:BGO786444 BGF851979:BGO851980 BGF917515:BGO917516 BGF983051:BGO983052 BPP10:BPY12 BPO65547:BPX65548 BPO131083:BPX131084 BPO196619:BPX196620 BPO262155:BPX262156 BPO327691:BPX327692 BPO393227:BPX393228 BPO458763:BPX458764 BPO524299:BPX524300 BPO589835:BPX589836 BPO655371:BPX655372 BPO720907:BPX720908 BPO786443:BPX786444 BPO851979:BPX851980 BPO917515:BPX917516 BPO983051:BPX983052 BQC10:BQL12 BQB65547:BQK65548 BQB131083:BQK131084 BQB196619:BQK196620 BQB262155:BQK262156 BQB327691:BQK327692 BQB393227:BQK393228 BQB458763:BQK458764 BQB524299:BQK524300 BQB589835:BQK589836 BQB655371:BQK655372 BQB720907:BQK720908 BQB786443:BQK786444 BQB851979:BQK851980 BQB917515:BQK917516 BQB983051:BQK983052 BZL10:BZU12 BZK65547:BZT65548 BZK131083:BZT131084 BZK196619:BZT196620 BZK262155:BZT262156 BZK327691:BZT327692 BZK393227:BZT393228 BZK458763:BZT458764 BZK524299:BZT524300 BZK589835:BZT589836 BZK655371:BZT655372 BZK720907:BZT720908 BZK786443:BZT786444 BZK851979:BZT851980 BZK917515:BZT917516 BZK983051:BZT983052 BZY10:CAH12 BZX65547:CAG65548 BZX131083:CAG131084 BZX196619:CAG196620 BZX262155:CAG262156 BZX327691:CAG327692 BZX393227:CAG393228 BZX458763:CAG458764 BZX524299:CAG524300 BZX589835:CAG589836 BZX655371:CAG655372 BZX720907:CAG720908 BZX786443:CAG786444 BZX851979:CAG851980 BZX917515:CAG917516 BZX983051:CAG983052 CJH10:CJQ12 CJG65547:CJP65548 CJG131083:CJP131084 CJG196619:CJP196620 CJG262155:CJP262156 CJG327691:CJP327692 CJG393227:CJP393228 CJG458763:CJP458764 CJG524299:CJP524300 CJG589835:CJP589836 CJG655371:CJP655372 CJG720907:CJP720908 CJG786443:CJP786444 CJG851979:CJP851980 CJG917515:CJP917516 CJG983051:CJP983052 CJU10:CKD12 CJT65547:CKC65548 CJT131083:CKC131084 CJT196619:CKC196620 CJT262155:CKC262156 CJT327691:CKC327692 CJT393227:CKC393228 CJT458763:CKC458764 CJT524299:CKC524300 CJT589835:CKC589836 CJT655371:CKC655372 CJT720907:CKC720908 CJT786443:CKC786444 CJT851979:CKC851980 CJT917515:CKC917516 CJT983051:CKC983052 CTD10:CTM12 CTC65547:CTL65548 CTC131083:CTL131084 CTC196619:CTL196620 CTC262155:CTL262156 CTC327691:CTL327692 CTC393227:CTL393228 CTC458763:CTL458764 CTC524299:CTL524300 CTC589835:CTL589836 CTC655371:CTL655372 CTC720907:CTL720908 CTC786443:CTL786444 CTC851979:CTL851980 CTC917515:CTL917516 CTC983051:CTL983052 CTQ10:CTZ12 CTP65547:CTY65548 CTP131083:CTY131084 CTP196619:CTY196620 CTP262155:CTY262156 CTP327691:CTY327692 CTP393227:CTY393228 CTP458763:CTY458764 CTP524299:CTY524300 CTP589835:CTY589836 CTP655371:CTY655372 CTP720907:CTY720908 CTP786443:CTY786444 CTP851979:CTY851980 CTP917515:CTY917516 CTP983051:CTY983052 DCZ10:DDI12 DCY65547:DDH65548 DCY131083:DDH131084 DCY196619:DDH196620 DCY262155:DDH262156 DCY327691:DDH327692 DCY393227:DDH393228 DCY458763:DDH458764 DCY524299:DDH524300 DCY589835:DDH589836 DCY655371:DDH655372 DCY720907:DDH720908 DCY786443:DDH786444 DCY851979:DDH851980 DCY917515:DDH917516 DCY983051:DDH983052 DDM10:DDV12 DDL65547:DDU65548 DDL131083:DDU131084 DDL196619:DDU196620 DDL262155:DDU262156 DDL327691:DDU327692 DDL393227:DDU393228 DDL458763:DDU458764 DDL524299:DDU524300 DDL589835:DDU589836 DDL655371:DDU655372 DDL720907:DDU720908 DDL786443:DDU786444 DDL851979:DDU851980 DDL917515:DDU917516 DDL983051:DDU983052 DMV10:DNE12 DMU65547:DND65548 DMU131083:DND131084 DMU196619:DND196620 DMU262155:DND262156 DMU327691:DND327692 DMU393227:DND393228 DMU458763:DND458764 DMU524299:DND524300 DMU589835:DND589836 DMU655371:DND655372 DMU720907:DND720908 DMU786443:DND786444 DMU851979:DND851980 DMU917515:DND917516 DMU983051:DND983052 DNI10:DNR12 DNH65547:DNQ65548 DNH131083:DNQ131084 DNH196619:DNQ196620 DNH262155:DNQ262156 DNH327691:DNQ327692 DNH393227:DNQ393228 DNH458763:DNQ458764 DNH524299:DNQ524300 DNH589835:DNQ589836 DNH655371:DNQ655372 DNH720907:DNQ720908 DNH786443:DNQ786444 DNH851979:DNQ851980 DNH917515:DNQ917516 DNH983051:DNQ983052 DWR10:DXA12 DWQ65547:DWZ65548 DWQ131083:DWZ131084 DWQ196619:DWZ196620 DWQ262155:DWZ262156 DWQ327691:DWZ327692 DWQ393227:DWZ393228 DWQ458763:DWZ458764 DWQ524299:DWZ524300 DWQ589835:DWZ589836 DWQ655371:DWZ655372 DWQ720907:DWZ720908 DWQ786443:DWZ786444 DWQ851979:DWZ851980 DWQ917515:DWZ917516 DWQ983051:DWZ983052 DXE10:DXN12 DXD65547:DXM65548 DXD131083:DXM131084 DXD196619:DXM196620 DXD262155:DXM262156 DXD327691:DXM327692 DXD393227:DXM393228 DXD458763:DXM458764 DXD524299:DXM524300 DXD589835:DXM589836 DXD655371:DXM655372 DXD720907:DXM720908 DXD786443:DXM786444 DXD851979:DXM851980 DXD917515:DXM917516 DXD983051:DXM983052 EGN10:EGW12 EGM65547:EGV65548 EGM131083:EGV131084 EGM196619:EGV196620 EGM262155:EGV262156 EGM327691:EGV327692 EGM393227:EGV393228 EGM458763:EGV458764 EGM524299:EGV524300 EGM589835:EGV589836 EGM655371:EGV655372 EGM720907:EGV720908 EGM786443:EGV786444 EGM851979:EGV851980 EGM917515:EGV917516 EGM983051:EGV983052 EHA10:EHJ12 EGZ65547:EHI65548 EGZ131083:EHI131084 EGZ196619:EHI196620 EGZ262155:EHI262156 EGZ327691:EHI327692 EGZ393227:EHI393228 EGZ458763:EHI458764 EGZ524299:EHI524300 EGZ589835:EHI589836 EGZ655371:EHI655372 EGZ720907:EHI720908 EGZ786443:EHI786444 EGZ851979:EHI851980 EGZ917515:EHI917516 EGZ983051:EHI983052 EQJ10:EQS12 EQI65547:EQR65548 EQI131083:EQR131084 EQI196619:EQR196620 EQI262155:EQR262156 EQI327691:EQR327692 EQI393227:EQR393228 EQI458763:EQR458764 EQI524299:EQR524300 EQI589835:EQR589836 EQI655371:EQR655372 EQI720907:EQR720908 EQI786443:EQR786444 EQI851979:EQR851980 EQI917515:EQR917516 EQI983051:EQR983052 EQW10:ERF12 EQV65547:ERE65548 EQV131083:ERE131084 EQV196619:ERE196620 EQV262155:ERE262156 EQV327691:ERE327692 EQV393227:ERE393228 EQV458763:ERE458764 EQV524299:ERE524300 EQV589835:ERE589836 EQV655371:ERE655372 EQV720907:ERE720908 EQV786443:ERE786444 EQV851979:ERE851980 EQV917515:ERE917516 EQV983051:ERE983052 FAF10:FAO12 FAE65547:FAN65548 FAE131083:FAN131084 FAE196619:FAN196620 FAE262155:FAN262156 FAE327691:FAN327692 FAE393227:FAN393228 FAE458763:FAN458764 FAE524299:FAN524300 FAE589835:FAN589836 FAE655371:FAN655372 FAE720907:FAN720908 FAE786443:FAN786444 FAE851979:FAN851980 FAE917515:FAN917516 FAE983051:FAN983052 FAS10:FBB12 FAR65547:FBA65548 FAR131083:FBA131084 FAR196619:FBA196620 FAR262155:FBA262156 FAR327691:FBA327692 FAR393227:FBA393228 FAR458763:FBA458764 FAR524299:FBA524300 FAR589835:FBA589836 FAR655371:FBA655372 FAR720907:FBA720908 FAR786443:FBA786444 FAR851979:FBA851980 FAR917515:FBA917516 FAR983051:FBA983052 FKB10:FKK12 FKA65547:FKJ65548 FKA131083:FKJ131084 FKA196619:FKJ196620 FKA262155:FKJ262156 FKA327691:FKJ327692 FKA393227:FKJ393228 FKA458763:FKJ458764 FKA524299:FKJ524300 FKA589835:FKJ589836 FKA655371:FKJ655372 FKA720907:FKJ720908 FKA786443:FKJ786444 FKA851979:FKJ851980 FKA917515:FKJ917516 FKA983051:FKJ983052 FKO10:FKX12 FKN65547:FKW65548 FKN131083:FKW131084 FKN196619:FKW196620 FKN262155:FKW262156 FKN327691:FKW327692 FKN393227:FKW393228 FKN458763:FKW458764 FKN524299:FKW524300 FKN589835:FKW589836 FKN655371:FKW655372 FKN720907:FKW720908 FKN786443:FKW786444 FKN851979:FKW851980 FKN917515:FKW917516 FKN983051:FKW983052 FTX10:FUG12 FTW65547:FUF65548 FTW131083:FUF131084 FTW196619:FUF196620 FTW262155:FUF262156 FTW327691:FUF327692 FTW393227:FUF393228 FTW458763:FUF458764 FTW524299:FUF524300 FTW589835:FUF589836 FTW655371:FUF655372 FTW720907:FUF720908 FTW786443:FUF786444 FTW851979:FUF851980 FTW917515:FUF917516 FTW983051:FUF983052 FUK10:FUT12 FUJ65547:FUS65548 FUJ131083:FUS131084 FUJ196619:FUS196620 FUJ262155:FUS262156 FUJ327691:FUS327692 FUJ393227:FUS393228 FUJ458763:FUS458764 FUJ524299:FUS524300 FUJ589835:FUS589836 FUJ655371:FUS655372 FUJ720907:FUS720908 FUJ786443:FUS786444 FUJ851979:FUS851980 FUJ917515:FUS917516 FUJ983051:FUS983052 GDT10:GEC12 GDS65547:GEB65548 GDS131083:GEB131084 GDS196619:GEB196620 GDS262155:GEB262156 GDS327691:GEB327692 GDS393227:GEB393228 GDS458763:GEB458764 GDS524299:GEB524300 GDS589835:GEB589836 GDS655371:GEB655372 GDS720907:GEB720908 GDS786443:GEB786444 GDS851979:GEB851980 GDS917515:GEB917516 GDS983051:GEB983052 GEG10:GEP12 GEF65547:GEO65548 GEF131083:GEO131084 GEF196619:GEO196620 GEF262155:GEO262156 GEF327691:GEO327692 GEF393227:GEO393228 GEF458763:GEO458764 GEF524299:GEO524300 GEF589835:GEO589836 GEF655371:GEO655372 GEF720907:GEO720908 GEF786443:GEO786444 GEF851979:GEO851980 GEF917515:GEO917516 GEF983051:GEO983052 GNP10:GNY12 GNO65547:GNX65548 GNO131083:GNX131084 GNO196619:GNX196620 GNO262155:GNX262156 GNO327691:GNX327692 GNO393227:GNX393228 GNO458763:GNX458764 GNO524299:GNX524300 GNO589835:GNX589836 GNO655371:GNX655372 GNO720907:GNX720908 GNO786443:GNX786444 GNO851979:GNX851980 GNO917515:GNX917516 GNO983051:GNX983052 GOC10:GOL12 GOB65547:GOK65548 GOB131083:GOK131084 GOB196619:GOK196620 GOB262155:GOK262156 GOB327691:GOK327692 GOB393227:GOK393228 GOB458763:GOK458764 GOB524299:GOK524300 GOB589835:GOK589836 GOB655371:GOK655372 GOB720907:GOK720908 GOB786443:GOK786444 GOB851979:GOK851980 GOB917515:GOK917516 GOB983051:GOK983052 GXL10:GXU12 GXK65547:GXT65548 GXK131083:GXT131084 GXK196619:GXT196620 GXK262155:GXT262156 GXK327691:GXT327692 GXK393227:GXT393228 GXK458763:GXT458764 GXK524299:GXT524300 GXK589835:GXT589836 GXK655371:GXT655372 GXK720907:GXT720908 GXK786443:GXT786444 GXK851979:GXT851980 GXK917515:GXT917516 GXK983051:GXT983052 GXY10:GYH12 GXX65547:GYG65548 GXX131083:GYG131084 GXX196619:GYG196620 GXX262155:GYG262156 GXX327691:GYG327692 GXX393227:GYG393228 GXX458763:GYG458764 GXX524299:GYG524300 GXX589835:GYG589836 GXX655371:GYG655372 GXX720907:GYG720908 GXX786443:GYG786444 GXX851979:GYG851980 GXX917515:GYG917516 GXX983051:GYG983052 HHH10:HHQ12 HHG65547:HHP65548 HHG131083:HHP131084 HHG196619:HHP196620 HHG262155:HHP262156 HHG327691:HHP327692 HHG393227:HHP393228 HHG458763:HHP458764 HHG524299:HHP524300 HHG589835:HHP589836 HHG655371:HHP655372 HHG720907:HHP720908 HHG786443:HHP786444 HHG851979:HHP851980 HHG917515:HHP917516 HHG983051:HHP983052 HHU10:HID12 HHT65547:HIC65548 HHT131083:HIC131084 HHT196619:HIC196620 HHT262155:HIC262156 HHT327691:HIC327692 HHT393227:HIC393228 HHT458763:HIC458764 HHT524299:HIC524300 HHT589835:HIC589836 HHT655371:HIC655372 HHT720907:HIC720908 HHT786443:HIC786444 HHT851979:HIC851980 HHT917515:HIC917516 HHT983051:HIC983052 HRD10:HRM12 HRC65547:HRL65548 HRC131083:HRL131084 HRC196619:HRL196620 HRC262155:HRL262156 HRC327691:HRL327692 HRC393227:HRL393228 HRC458763:HRL458764 HRC524299:HRL524300 HRC589835:HRL589836 HRC655371:HRL655372 HRC720907:HRL720908 HRC786443:HRL786444 HRC851979:HRL851980 HRC917515:HRL917516 HRC983051:HRL983052 HRQ10:HRZ12 HRP65547:HRY65548 HRP131083:HRY131084 HRP196619:HRY196620 HRP262155:HRY262156 HRP327691:HRY327692 HRP393227:HRY393228 HRP458763:HRY458764 HRP524299:HRY524300 HRP589835:HRY589836 HRP655371:HRY655372 HRP720907:HRY720908 HRP786443:HRY786444 HRP851979:HRY851980 HRP917515:HRY917516 HRP983051:HRY983052 IAZ10:IBI12 IAY65547:IBH65548 IAY131083:IBH131084 IAY196619:IBH196620 IAY262155:IBH262156 IAY327691:IBH327692 IAY393227:IBH393228 IAY458763:IBH458764 IAY524299:IBH524300 IAY589835:IBH589836 IAY655371:IBH655372 IAY720907:IBH720908 IAY786443:IBH786444 IAY851979:IBH851980 IAY917515:IBH917516 IAY983051:IBH983052 IBM10:IBV12 IBL65547:IBU65548 IBL131083:IBU131084 IBL196619:IBU196620 IBL262155:IBU262156 IBL327691:IBU327692 IBL393227:IBU393228 IBL458763:IBU458764 IBL524299:IBU524300 IBL589835:IBU589836 IBL655371:IBU655372 IBL720907:IBU720908 IBL786443:IBU786444 IBL851979:IBU851980 IBL917515:IBU917516 IBL983051:IBU983052 IKV10:ILE12 IKU65547:ILD65548 IKU131083:ILD131084 IKU196619:ILD196620 IKU262155:ILD262156 IKU327691:ILD327692 IKU393227:ILD393228 IKU458763:ILD458764 IKU524299:ILD524300 IKU589835:ILD589836 IKU655371:ILD655372 IKU720907:ILD720908 IKU786443:ILD786444 IKU851979:ILD851980 IKU917515:ILD917516 IKU983051:ILD983052 ILI10:ILR12 ILH65547:ILQ65548 ILH131083:ILQ131084 ILH196619:ILQ196620 ILH262155:ILQ262156 ILH327691:ILQ327692 ILH393227:ILQ393228 ILH458763:ILQ458764 ILH524299:ILQ524300 ILH589835:ILQ589836 ILH655371:ILQ655372 ILH720907:ILQ720908 ILH786443:ILQ786444 ILH851979:ILQ851980 ILH917515:ILQ917516 ILH983051:ILQ983052 IUR10:IVA12 IUQ65547:IUZ65548 IUQ131083:IUZ131084 IUQ196619:IUZ196620 IUQ262155:IUZ262156 IUQ327691:IUZ327692 IUQ393227:IUZ393228 IUQ458763:IUZ458764 IUQ524299:IUZ524300 IUQ589835:IUZ589836 IUQ655371:IUZ655372 IUQ720907:IUZ720908 IUQ786443:IUZ786444 IUQ851979:IUZ851980 IUQ917515:IUZ917516 IUQ983051:IUZ983052 IVE10:IVN12 IVD65547:IVM65548 IVD131083:IVM131084 IVD196619:IVM196620 IVD262155:IVM262156 IVD327691:IVM327692 IVD393227:IVM393228 IVD458763:IVM458764 IVD524299:IVM524300 IVD589835:IVM589836 IVD655371:IVM655372 IVD720907:IVM720908 IVD786443:IVM786444 IVD851979:IVM851980 IVD917515:IVM917516 IVD983051:IVM983052 JEN10:JEW12 JEM65547:JEV65548 JEM131083:JEV131084 JEM196619:JEV196620 JEM262155:JEV262156 JEM327691:JEV327692 JEM393227:JEV393228 JEM458763:JEV458764 JEM524299:JEV524300 JEM589835:JEV589836 JEM655371:JEV655372 JEM720907:JEV720908 JEM786443:JEV786444 JEM851979:JEV851980 JEM917515:JEV917516 JEM983051:JEV983052 JFA10:JFJ12 JEZ65547:JFI65548 JEZ131083:JFI131084 JEZ196619:JFI196620 JEZ262155:JFI262156 JEZ327691:JFI327692 JEZ393227:JFI393228 JEZ458763:JFI458764 JEZ524299:JFI524300 JEZ589835:JFI589836 JEZ655371:JFI655372 JEZ720907:JFI720908 JEZ786443:JFI786444 JEZ851979:JFI851980 JEZ917515:JFI917516 JEZ983051:JFI983052 JOJ10:JOS12 JOI65547:JOR65548 JOI131083:JOR131084 JOI196619:JOR196620 JOI262155:JOR262156 JOI327691:JOR327692 JOI393227:JOR393228 JOI458763:JOR458764 JOI524299:JOR524300 JOI589835:JOR589836 JOI655371:JOR655372 JOI720907:JOR720908 JOI786443:JOR786444 JOI851979:JOR851980 JOI917515:JOR917516 JOI983051:JOR983052 JOW10:JPF12 JOV65547:JPE65548 JOV131083:JPE131084 JOV196619:JPE196620 JOV262155:JPE262156 JOV327691:JPE327692 JOV393227:JPE393228 JOV458763:JPE458764 JOV524299:JPE524300 JOV589835:JPE589836 JOV655371:JPE655372 JOV720907:JPE720908 JOV786443:JPE786444 JOV851979:JPE851980 JOV917515:JPE917516 JOV983051:JPE983052 JYF10:JYO12 JYE65547:JYN65548 JYE131083:JYN131084 JYE196619:JYN196620 JYE262155:JYN262156 JYE327691:JYN327692 JYE393227:JYN393228 JYE458763:JYN458764 JYE524299:JYN524300 JYE589835:JYN589836 JYE655371:JYN655372 JYE720907:JYN720908 JYE786443:JYN786444 JYE851979:JYN851980 JYE917515:JYN917516 JYE983051:JYN983052 JYS10:JZB12 JYR65547:JZA65548 JYR131083:JZA131084 JYR196619:JZA196620 JYR262155:JZA262156 JYR327691:JZA327692 JYR393227:JZA393228 JYR458763:JZA458764 JYR524299:JZA524300 JYR589835:JZA589836 JYR655371:JZA655372 JYR720907:JZA720908 JYR786443:JZA786444 JYR851979:JZA851980 JYR917515:JZA917516 JYR983051:JZA983052 KIB10:KIK12 KIA65547:KIJ65548 KIA131083:KIJ131084 KIA196619:KIJ196620 KIA262155:KIJ262156 KIA327691:KIJ327692 KIA393227:KIJ393228 KIA458763:KIJ458764 KIA524299:KIJ524300 KIA589835:KIJ589836 KIA655371:KIJ655372 KIA720907:KIJ720908 KIA786443:KIJ786444 KIA851979:KIJ851980 KIA917515:KIJ917516 KIA983051:KIJ983052 KIO10:KIX12 KIN65547:KIW65548 KIN131083:KIW131084 KIN196619:KIW196620 KIN262155:KIW262156 KIN327691:KIW327692 KIN393227:KIW393228 KIN458763:KIW458764 KIN524299:KIW524300 KIN589835:KIW589836 KIN655371:KIW655372 KIN720907:KIW720908 KIN786443:KIW786444 KIN851979:KIW851980 KIN917515:KIW917516 KIN983051:KIW983052 KRX10:KSG12 KRW65547:KSF65548 KRW131083:KSF131084 KRW196619:KSF196620 KRW262155:KSF262156 KRW327691:KSF327692 KRW393227:KSF393228 KRW458763:KSF458764 KRW524299:KSF524300 KRW589835:KSF589836 KRW655371:KSF655372 KRW720907:KSF720908 KRW786443:KSF786444 KRW851979:KSF851980 KRW917515:KSF917516 KRW983051:KSF983052 KSK10:KST12 KSJ65547:KSS65548 KSJ131083:KSS131084 KSJ196619:KSS196620 KSJ262155:KSS262156 KSJ327691:KSS327692 KSJ393227:KSS393228 KSJ458763:KSS458764 KSJ524299:KSS524300 KSJ589835:KSS589836 KSJ655371:KSS655372 KSJ720907:KSS720908 KSJ786443:KSS786444 KSJ851979:KSS851980 KSJ917515:KSS917516 KSJ983051:KSS983052 LBT10:LCC12 LBS65547:LCB65548 LBS131083:LCB131084 LBS196619:LCB196620 LBS262155:LCB262156 LBS327691:LCB327692 LBS393227:LCB393228 LBS458763:LCB458764 LBS524299:LCB524300 LBS589835:LCB589836 LBS655371:LCB655372 LBS720907:LCB720908 LBS786443:LCB786444 LBS851979:LCB851980 LBS917515:LCB917516 LBS983051:LCB983052 LCG10:LCP12 LCF65547:LCO65548 LCF131083:LCO131084 LCF196619:LCO196620 LCF262155:LCO262156 LCF327691:LCO327692 LCF393227:LCO393228 LCF458763:LCO458764 LCF524299:LCO524300 LCF589835:LCO589836 LCF655371:LCO655372 LCF720907:LCO720908 LCF786443:LCO786444 LCF851979:LCO851980 LCF917515:LCO917516 LCF983051:LCO983052 LLP10:LLY12 LLO65547:LLX65548 LLO131083:LLX131084 LLO196619:LLX196620 LLO262155:LLX262156 LLO327691:LLX327692 LLO393227:LLX393228 LLO458763:LLX458764 LLO524299:LLX524300 LLO589835:LLX589836 LLO655371:LLX655372 LLO720907:LLX720908 LLO786443:LLX786444 LLO851979:LLX851980 LLO917515:LLX917516 LLO983051:LLX983052 LMC10:LML12 LMB65547:LMK65548 LMB131083:LMK131084 LMB196619:LMK196620 LMB262155:LMK262156 LMB327691:LMK327692 LMB393227:LMK393228 LMB458763:LMK458764 LMB524299:LMK524300 LMB589835:LMK589836 LMB655371:LMK655372 LMB720907:LMK720908 LMB786443:LMK786444 LMB851979:LMK851980 LMB917515:LMK917516 LMB983051:LMK983052 LVL10:LVU12 LVK65547:LVT65548 LVK131083:LVT131084 LVK196619:LVT196620 LVK262155:LVT262156 LVK327691:LVT327692 LVK393227:LVT393228 LVK458763:LVT458764 LVK524299:LVT524300 LVK589835:LVT589836 LVK655371:LVT655372 LVK720907:LVT720908 LVK786443:LVT786444 LVK851979:LVT851980 LVK917515:LVT917516 LVK983051:LVT983052 LVY10:LWH12 LVX65547:LWG65548 LVX131083:LWG131084 LVX196619:LWG196620 LVX262155:LWG262156 LVX327691:LWG327692 LVX393227:LWG393228 LVX458763:LWG458764 LVX524299:LWG524300 LVX589835:LWG589836 LVX655371:LWG655372 LVX720907:LWG720908 LVX786443:LWG786444 LVX851979:LWG851980 LVX917515:LWG917516 LVX983051:LWG983052 MFH10:MFQ12 MFG65547:MFP65548 MFG131083:MFP131084 MFG196619:MFP196620 MFG262155:MFP262156 MFG327691:MFP327692 MFG393227:MFP393228 MFG458763:MFP458764 MFG524299:MFP524300 MFG589835:MFP589836 MFG655371:MFP655372 MFG720907:MFP720908 MFG786443:MFP786444 MFG851979:MFP851980 MFG917515:MFP917516 MFG983051:MFP983052 MFU10:MGD12 MFT65547:MGC65548 MFT131083:MGC131084 MFT196619:MGC196620 MFT262155:MGC262156 MFT327691:MGC327692 MFT393227:MGC393228 MFT458763:MGC458764 MFT524299:MGC524300 MFT589835:MGC589836 MFT655371:MGC655372 MFT720907:MGC720908 MFT786443:MGC786444 MFT851979:MGC851980 MFT917515:MGC917516 MFT983051:MGC983052 MPD10:MPM12 MPC65547:MPL65548 MPC131083:MPL131084 MPC196619:MPL196620 MPC262155:MPL262156 MPC327691:MPL327692 MPC393227:MPL393228 MPC458763:MPL458764 MPC524299:MPL524300 MPC589835:MPL589836 MPC655371:MPL655372 MPC720907:MPL720908 MPC786443:MPL786444 MPC851979:MPL851980 MPC917515:MPL917516 MPC983051:MPL983052 MPQ10:MPZ12 MPP65547:MPY65548 MPP131083:MPY131084 MPP196619:MPY196620 MPP262155:MPY262156 MPP327691:MPY327692 MPP393227:MPY393228 MPP458763:MPY458764 MPP524299:MPY524300 MPP589835:MPY589836 MPP655371:MPY655372 MPP720907:MPY720908 MPP786443:MPY786444 MPP851979:MPY851980 MPP917515:MPY917516 MPP983051:MPY983052 MYZ10:MZI12 MYY65547:MZH65548 MYY131083:MZH131084 MYY196619:MZH196620 MYY262155:MZH262156 MYY327691:MZH327692 MYY393227:MZH393228 MYY458763:MZH458764 MYY524299:MZH524300 MYY589835:MZH589836 MYY655371:MZH655372 MYY720907:MZH720908 MYY786443:MZH786444 MYY851979:MZH851980 MYY917515:MZH917516 MYY983051:MZH983052 MZM10:MZV12 MZL65547:MZU65548 MZL131083:MZU131084 MZL196619:MZU196620 MZL262155:MZU262156 MZL327691:MZU327692 MZL393227:MZU393228 MZL458763:MZU458764 MZL524299:MZU524300 MZL589835:MZU589836 MZL655371:MZU655372 MZL720907:MZU720908 MZL786443:MZU786444 MZL851979:MZU851980 MZL917515:MZU917516 MZL983051:MZU983052 NIV10:NJE12 NIU65547:NJD65548 NIU131083:NJD131084 NIU196619:NJD196620 NIU262155:NJD262156 NIU327691:NJD327692 NIU393227:NJD393228 NIU458763:NJD458764 NIU524299:NJD524300 NIU589835:NJD589836 NIU655371:NJD655372 NIU720907:NJD720908 NIU786443:NJD786444 NIU851979:NJD851980 NIU917515:NJD917516 NIU983051:NJD983052 NJI10:NJR12 NJH65547:NJQ65548 NJH131083:NJQ131084 NJH196619:NJQ196620 NJH262155:NJQ262156 NJH327691:NJQ327692 NJH393227:NJQ393228 NJH458763:NJQ458764 NJH524299:NJQ524300 NJH589835:NJQ589836 NJH655371:NJQ655372 NJH720907:NJQ720908 NJH786443:NJQ786444 NJH851979:NJQ851980 NJH917515:NJQ917516 NJH983051:NJQ983052 NSR10:NTA12 NSQ65547:NSZ65548 NSQ131083:NSZ131084 NSQ196619:NSZ196620 NSQ262155:NSZ262156 NSQ327691:NSZ327692 NSQ393227:NSZ393228 NSQ458763:NSZ458764 NSQ524299:NSZ524300 NSQ589835:NSZ589836 NSQ655371:NSZ655372 NSQ720907:NSZ720908 NSQ786443:NSZ786444 NSQ851979:NSZ851980 NSQ917515:NSZ917516 NSQ983051:NSZ983052 NTE10:NTN12 NTD65547:NTM65548 NTD131083:NTM131084 NTD196619:NTM196620 NTD262155:NTM262156 NTD327691:NTM327692 NTD393227:NTM393228 NTD458763:NTM458764 NTD524299:NTM524300 NTD589835:NTM589836 NTD655371:NTM655372 NTD720907:NTM720908 NTD786443:NTM786444 NTD851979:NTM851980 NTD917515:NTM917516 NTD983051:NTM983052 OCN10:OCW12 OCM65547:OCV65548 OCM131083:OCV131084 OCM196619:OCV196620 OCM262155:OCV262156 OCM327691:OCV327692 OCM393227:OCV393228 OCM458763:OCV458764 OCM524299:OCV524300 OCM589835:OCV589836 OCM655371:OCV655372 OCM720907:OCV720908 OCM786443:OCV786444 OCM851979:OCV851980 OCM917515:OCV917516 OCM983051:OCV983052 ODA10:ODJ12 OCZ65547:ODI65548 OCZ131083:ODI131084 OCZ196619:ODI196620 OCZ262155:ODI262156 OCZ327691:ODI327692 OCZ393227:ODI393228 OCZ458763:ODI458764 OCZ524299:ODI524300 OCZ589835:ODI589836 OCZ655371:ODI655372 OCZ720907:ODI720908 OCZ786443:ODI786444 OCZ851979:ODI851980 OCZ917515:ODI917516 OCZ983051:ODI983052 OMJ10:OMS12 OMI65547:OMR65548 OMI131083:OMR131084 OMI196619:OMR196620 OMI262155:OMR262156 OMI327691:OMR327692 OMI393227:OMR393228 OMI458763:OMR458764 OMI524299:OMR524300 OMI589835:OMR589836 OMI655371:OMR655372 OMI720907:OMR720908 OMI786443:OMR786444 OMI851979:OMR851980 OMI917515:OMR917516 OMI983051:OMR983052 OMW10:ONF12 OMV65547:ONE65548 OMV131083:ONE131084 OMV196619:ONE196620 OMV262155:ONE262156 OMV327691:ONE327692 OMV393227:ONE393228 OMV458763:ONE458764 OMV524299:ONE524300 OMV589835:ONE589836 OMV655371:ONE655372 OMV720907:ONE720908 OMV786443:ONE786444 OMV851979:ONE851980 OMV917515:ONE917516 OMV983051:ONE983052 OWF10:OWO12 OWE65547:OWN65548 OWE131083:OWN131084 OWE196619:OWN196620 OWE262155:OWN262156 OWE327691:OWN327692 OWE393227:OWN393228 OWE458763:OWN458764 OWE524299:OWN524300 OWE589835:OWN589836 OWE655371:OWN655372 OWE720907:OWN720908 OWE786443:OWN786444 OWE851979:OWN851980 OWE917515:OWN917516 OWE983051:OWN983052 OWS10:OXB12 OWR65547:OXA65548 OWR131083:OXA131084 OWR196619:OXA196620 OWR262155:OXA262156 OWR327691:OXA327692 OWR393227:OXA393228 OWR458763:OXA458764 OWR524299:OXA524300 OWR589835:OXA589836 OWR655371:OXA655372 OWR720907:OXA720908 OWR786443:OXA786444 OWR851979:OXA851980 OWR917515:OXA917516 OWR983051:OXA983052 PGB10:PGK12 PGA65547:PGJ65548 PGA131083:PGJ131084 PGA196619:PGJ196620 PGA262155:PGJ262156 PGA327691:PGJ327692 PGA393227:PGJ393228 PGA458763:PGJ458764 PGA524299:PGJ524300 PGA589835:PGJ589836 PGA655371:PGJ655372 PGA720907:PGJ720908 PGA786443:PGJ786444 PGA851979:PGJ851980 PGA917515:PGJ917516 PGA983051:PGJ983052 PGO10:PGX12 PGN65547:PGW65548 PGN131083:PGW131084 PGN196619:PGW196620 PGN262155:PGW262156 PGN327691:PGW327692 PGN393227:PGW393228 PGN458763:PGW458764 PGN524299:PGW524300 PGN589835:PGW589836 PGN655371:PGW655372 PGN720907:PGW720908 PGN786443:PGW786444 PGN851979:PGW851980 PGN917515:PGW917516 PGN983051:PGW983052 PPX10:PQG12 PPW65547:PQF65548 PPW131083:PQF131084 PPW196619:PQF196620 PPW262155:PQF262156 PPW327691:PQF327692 PPW393227:PQF393228 PPW458763:PQF458764 PPW524299:PQF524300 PPW589835:PQF589836 PPW655371:PQF655372 PPW720907:PQF720908 PPW786443:PQF786444 PPW851979:PQF851980 PPW917515:PQF917516 PPW983051:PQF983052 PQK10:PQT12 PQJ65547:PQS65548 PQJ131083:PQS131084 PQJ196619:PQS196620 PQJ262155:PQS262156 PQJ327691:PQS327692 PQJ393227:PQS393228 PQJ458763:PQS458764 PQJ524299:PQS524300 PQJ589835:PQS589836 PQJ655371:PQS655372 PQJ720907:PQS720908 PQJ786443:PQS786444 PQJ851979:PQS851980 PQJ917515:PQS917516 PQJ983051:PQS983052 PZT10:QAC12 PZS65547:QAB65548 PZS131083:QAB131084 PZS196619:QAB196620 PZS262155:QAB262156 PZS327691:QAB327692 PZS393227:QAB393228 PZS458763:QAB458764 PZS524299:QAB524300 PZS589835:QAB589836 PZS655371:QAB655372 PZS720907:QAB720908 PZS786443:QAB786444 PZS851979:QAB851980 PZS917515:QAB917516 PZS983051:QAB983052 QAG10:QAP12 QAF65547:QAO65548 QAF131083:QAO131084 QAF196619:QAO196620 QAF262155:QAO262156 QAF327691:QAO327692 QAF393227:QAO393228 QAF458763:QAO458764 QAF524299:QAO524300 QAF589835:QAO589836 QAF655371:QAO655372 QAF720907:QAO720908 QAF786443:QAO786444 QAF851979:QAO851980 QAF917515:QAO917516 QAF983051:QAO983052 QJP10:QJY12 QJO65547:QJX65548 QJO131083:QJX131084 QJO196619:QJX196620 QJO262155:QJX262156 QJO327691:QJX327692 QJO393227:QJX393228 QJO458763:QJX458764 QJO524299:QJX524300 QJO589835:QJX589836 QJO655371:QJX655372 QJO720907:QJX720908 QJO786443:QJX786444 QJO851979:QJX851980 QJO917515:QJX917516 QJO983051:QJX983052 QKC10:QKL12 QKB65547:QKK65548 QKB131083:QKK131084 QKB196619:QKK196620 QKB262155:QKK262156 QKB327691:QKK327692 QKB393227:QKK393228 QKB458763:QKK458764 QKB524299:QKK524300 QKB589835:QKK589836 QKB655371:QKK655372 QKB720907:QKK720908 QKB786443:QKK786444 QKB851979:QKK851980 QKB917515:QKK917516 QKB983051:QKK983052 QTL10:QTU12 QTK65547:QTT65548 QTK131083:QTT131084 QTK196619:QTT196620 QTK262155:QTT262156 QTK327691:QTT327692 QTK393227:QTT393228 QTK458763:QTT458764 QTK524299:QTT524300 QTK589835:QTT589836 QTK655371:QTT655372 QTK720907:QTT720908 QTK786443:QTT786444 QTK851979:QTT851980 QTK917515:QTT917516 QTK983051:QTT983052 QTY10:QUH12 QTX65547:QUG65548 QTX131083:QUG131084 QTX196619:QUG196620 QTX262155:QUG262156 QTX327691:QUG327692 QTX393227:QUG393228 QTX458763:QUG458764 QTX524299:QUG524300 QTX589835:QUG589836 QTX655371:QUG655372 QTX720907:QUG720908 QTX786443:QUG786444 QTX851979:QUG851980 QTX917515:QUG917516 QTX983051:QUG983052 RDH10:RDQ12 RDG65547:RDP65548 RDG131083:RDP131084 RDG196619:RDP196620 RDG262155:RDP262156 RDG327691:RDP327692 RDG393227:RDP393228 RDG458763:RDP458764 RDG524299:RDP524300 RDG589835:RDP589836 RDG655371:RDP655372 RDG720907:RDP720908 RDG786443:RDP786444 RDG851979:RDP851980 RDG917515:RDP917516 RDG983051:RDP983052 RDU10:RED12 RDT65547:REC65548 RDT131083:REC131084 RDT196619:REC196620 RDT262155:REC262156 RDT327691:REC327692 RDT393227:REC393228 RDT458763:REC458764 RDT524299:REC524300 RDT589835:REC589836 RDT655371:REC655372 RDT720907:REC720908 RDT786443:REC786444 RDT851979:REC851980 RDT917515:REC917516 RDT983051:REC983052 RND10:RNM12 RNC65547:RNL65548 RNC131083:RNL131084 RNC196619:RNL196620 RNC262155:RNL262156 RNC327691:RNL327692 RNC393227:RNL393228 RNC458763:RNL458764 RNC524299:RNL524300 RNC589835:RNL589836 RNC655371:RNL655372 RNC720907:RNL720908 RNC786443:RNL786444 RNC851979:RNL851980 RNC917515:RNL917516 RNC983051:RNL983052 RNQ10:RNZ12 RNP65547:RNY65548 RNP131083:RNY131084 RNP196619:RNY196620 RNP262155:RNY262156 RNP327691:RNY327692 RNP393227:RNY393228 RNP458763:RNY458764 RNP524299:RNY524300 RNP589835:RNY589836 RNP655371:RNY655372 RNP720907:RNY720908 RNP786443:RNY786444 RNP851979:RNY851980 RNP917515:RNY917516 RNP983051:RNY983052 RWZ10:RXI12 RWY65547:RXH65548 RWY131083:RXH131084 RWY196619:RXH196620 RWY262155:RXH262156 RWY327691:RXH327692 RWY393227:RXH393228 RWY458763:RXH458764 RWY524299:RXH524300 RWY589835:RXH589836 RWY655371:RXH655372 RWY720907:RXH720908 RWY786443:RXH786444 RWY851979:RXH851980 RWY917515:RXH917516 RWY983051:RXH983052 RXM10:RXV12 RXL65547:RXU65548 RXL131083:RXU131084 RXL196619:RXU196620 RXL262155:RXU262156 RXL327691:RXU327692 RXL393227:RXU393228 RXL458763:RXU458764 RXL524299:RXU524300 RXL589835:RXU589836 RXL655371:RXU655372 RXL720907:RXU720908 RXL786443:RXU786444 RXL851979:RXU851980 RXL917515:RXU917516 RXL983051:RXU983052 SGV10:SHE12 SGU65547:SHD65548 SGU131083:SHD131084 SGU196619:SHD196620 SGU262155:SHD262156 SGU327691:SHD327692 SGU393227:SHD393228 SGU458763:SHD458764 SGU524299:SHD524300 SGU589835:SHD589836 SGU655371:SHD655372 SGU720907:SHD720908 SGU786443:SHD786444 SGU851979:SHD851980 SGU917515:SHD917516 SGU983051:SHD983052 SHI10:SHR12 SHH65547:SHQ65548 SHH131083:SHQ131084 SHH196619:SHQ196620 SHH262155:SHQ262156 SHH327691:SHQ327692 SHH393227:SHQ393228 SHH458763:SHQ458764 SHH524299:SHQ524300 SHH589835:SHQ589836 SHH655371:SHQ655372 SHH720907:SHQ720908 SHH786443:SHQ786444 SHH851979:SHQ851980 SHH917515:SHQ917516 SHH983051:SHQ983052 SQR10:SRA12 SQQ65547:SQZ65548 SQQ131083:SQZ131084 SQQ196619:SQZ196620 SQQ262155:SQZ262156 SQQ327691:SQZ327692 SQQ393227:SQZ393228 SQQ458763:SQZ458764 SQQ524299:SQZ524300 SQQ589835:SQZ589836 SQQ655371:SQZ655372 SQQ720907:SQZ720908 SQQ786443:SQZ786444 SQQ851979:SQZ851980 SQQ917515:SQZ917516 SQQ983051:SQZ983052 SRE10:SRN12 SRD65547:SRM65548 SRD131083:SRM131084 SRD196619:SRM196620 SRD262155:SRM262156 SRD327691:SRM327692 SRD393227:SRM393228 SRD458763:SRM458764 SRD524299:SRM524300 SRD589835:SRM589836 SRD655371:SRM655372 SRD720907:SRM720908 SRD786443:SRM786444 SRD851979:SRM851980 SRD917515:SRM917516 SRD983051:SRM983052 TAN10:TAW12 TAM65547:TAV65548 TAM131083:TAV131084 TAM196619:TAV196620 TAM262155:TAV262156 TAM327691:TAV327692 TAM393227:TAV393228 TAM458763:TAV458764 TAM524299:TAV524300 TAM589835:TAV589836 TAM655371:TAV655372 TAM720907:TAV720908 TAM786443:TAV786444 TAM851979:TAV851980 TAM917515:TAV917516 TAM983051:TAV983052 TBA10:TBJ12 TAZ65547:TBI65548 TAZ131083:TBI131084 TAZ196619:TBI196620 TAZ262155:TBI262156 TAZ327691:TBI327692 TAZ393227:TBI393228 TAZ458763:TBI458764 TAZ524299:TBI524300 TAZ589835:TBI589836 TAZ655371:TBI655372 TAZ720907:TBI720908 TAZ786443:TBI786444 TAZ851979:TBI851980 TAZ917515:TBI917516 TAZ983051:TBI983052 TKJ10:TKS12 TKI65547:TKR65548 TKI131083:TKR131084 TKI196619:TKR196620 TKI262155:TKR262156 TKI327691:TKR327692 TKI393227:TKR393228 TKI458763:TKR458764 TKI524299:TKR524300 TKI589835:TKR589836 TKI655371:TKR655372 TKI720907:TKR720908 TKI786443:TKR786444 TKI851979:TKR851980 TKI917515:TKR917516 TKI983051:TKR983052 TKW10:TLF12 TKV65547:TLE65548 TKV131083:TLE131084 TKV196619:TLE196620 TKV262155:TLE262156 TKV327691:TLE327692 TKV393227:TLE393228 TKV458763:TLE458764 TKV524299:TLE524300 TKV589835:TLE589836 TKV655371:TLE655372 TKV720907:TLE720908 TKV786443:TLE786444 TKV851979:TLE851980 TKV917515:TLE917516 TKV983051:TLE983052 TUF10:TUO12 TUE65547:TUN65548 TUE131083:TUN131084 TUE196619:TUN196620 TUE262155:TUN262156 TUE327691:TUN327692 TUE393227:TUN393228 TUE458763:TUN458764 TUE524299:TUN524300 TUE589835:TUN589836 TUE655371:TUN655372 TUE720907:TUN720908 TUE786443:TUN786444 TUE851979:TUN851980 TUE917515:TUN917516 TUE983051:TUN983052 TUS10:TVB12 TUR65547:TVA65548 TUR131083:TVA131084 TUR196619:TVA196620 TUR262155:TVA262156 TUR327691:TVA327692 TUR393227:TVA393228 TUR458763:TVA458764 TUR524299:TVA524300 TUR589835:TVA589836 TUR655371:TVA655372 TUR720907:TVA720908 TUR786443:TVA786444 TUR851979:TVA851980 TUR917515:TVA917516 TUR983051:TVA983052 UEB10:UEK12 UEA65547:UEJ65548 UEA131083:UEJ131084 UEA196619:UEJ196620 UEA262155:UEJ262156 UEA327691:UEJ327692 UEA393227:UEJ393228 UEA458763:UEJ458764 UEA524299:UEJ524300 UEA589835:UEJ589836 UEA655371:UEJ655372 UEA720907:UEJ720908 UEA786443:UEJ786444 UEA851979:UEJ851980 UEA917515:UEJ917516 UEA983051:UEJ983052 UEO10:UEX12 UEN65547:UEW65548 UEN131083:UEW131084 UEN196619:UEW196620 UEN262155:UEW262156 UEN327691:UEW327692 UEN393227:UEW393228 UEN458763:UEW458764 UEN524299:UEW524300 UEN589835:UEW589836 UEN655371:UEW655372 UEN720907:UEW720908 UEN786443:UEW786444 UEN851979:UEW851980 UEN917515:UEW917516 UEN983051:UEW983052 UNX10:UOG12 UNW65547:UOF65548 UNW131083:UOF131084 UNW196619:UOF196620 UNW262155:UOF262156 UNW327691:UOF327692 UNW393227:UOF393228 UNW458763:UOF458764 UNW524299:UOF524300 UNW589835:UOF589836 UNW655371:UOF655372 UNW720907:UOF720908 UNW786443:UOF786444 UNW851979:UOF851980 UNW917515:UOF917516 UNW983051:UOF983052 UOK10:UOT12 UOJ65547:UOS65548 UOJ131083:UOS131084 UOJ196619:UOS196620 UOJ262155:UOS262156 UOJ327691:UOS327692 UOJ393227:UOS393228 UOJ458763:UOS458764 UOJ524299:UOS524300 UOJ589835:UOS589836 UOJ655371:UOS655372 UOJ720907:UOS720908 UOJ786443:UOS786444 UOJ851979:UOS851980 UOJ917515:UOS917516 UOJ983051:UOS983052 UXT10:UYC12 UXS65547:UYB65548 UXS131083:UYB131084 UXS196619:UYB196620 UXS262155:UYB262156 UXS327691:UYB327692 UXS393227:UYB393228 UXS458763:UYB458764 UXS524299:UYB524300 UXS589835:UYB589836 UXS655371:UYB655372 UXS720907:UYB720908 UXS786443:UYB786444 UXS851979:UYB851980 UXS917515:UYB917516 UXS983051:UYB983052 UYG10:UYP12 UYF65547:UYO65548 UYF131083:UYO131084 UYF196619:UYO196620 UYF262155:UYO262156 UYF327691:UYO327692 UYF393227:UYO393228 UYF458763:UYO458764 UYF524299:UYO524300 UYF589835:UYO589836 UYF655371:UYO655372 UYF720907:UYO720908 UYF786443:UYO786444 UYF851979:UYO851980 UYF917515:UYO917516 UYF983051:UYO983052 VHP10:VHY12 VHO65547:VHX65548 VHO131083:VHX131084 VHO196619:VHX196620 VHO262155:VHX262156 VHO327691:VHX327692 VHO393227:VHX393228 VHO458763:VHX458764 VHO524299:VHX524300 VHO589835:VHX589836 VHO655371:VHX655372 VHO720907:VHX720908 VHO786443:VHX786444 VHO851979:VHX851980 VHO917515:VHX917516 VHO983051:VHX983052 VIC10:VIL12 VIB65547:VIK65548 VIB131083:VIK131084 VIB196619:VIK196620 VIB262155:VIK262156 VIB327691:VIK327692 VIB393227:VIK393228 VIB458763:VIK458764 VIB524299:VIK524300 VIB589835:VIK589836 VIB655371:VIK655372 VIB720907:VIK720908 VIB786443:VIK786444 VIB851979:VIK851980 VIB917515:VIK917516 VIB983051:VIK983052 VRL10:VRU12 VRK65547:VRT65548 VRK131083:VRT131084 VRK196619:VRT196620 VRK262155:VRT262156 VRK327691:VRT327692 VRK393227:VRT393228 VRK458763:VRT458764 VRK524299:VRT524300 VRK589835:VRT589836 VRK655371:VRT655372 VRK720907:VRT720908 VRK786443:VRT786444 VRK851979:VRT851980 VRK917515:VRT917516 VRK983051:VRT983052 VRY10:VSH12 VRX65547:VSG65548 VRX131083:VSG131084 VRX196619:VSG196620 VRX262155:VSG262156 VRX327691:VSG327692 VRX393227:VSG393228 VRX458763:VSG458764 VRX524299:VSG524300 VRX589835:VSG589836 VRX655371:VSG655372 VRX720907:VSG720908 VRX786443:VSG786444 VRX851979:VSG851980 VRX917515:VSG917516 VRX983051:VSG983052 WBH10:WBQ12 WBG65547:WBP65548 WBG131083:WBP131084 WBG196619:WBP196620 WBG262155:WBP262156 WBG327691:WBP327692 WBG393227:WBP393228 WBG458763:WBP458764 WBG524299:WBP524300 WBG589835:WBP589836 WBG655371:WBP655372 WBG720907:WBP720908 WBG786443:WBP786444 WBG851979:WBP851980 WBG917515:WBP917516 WBG983051:WBP983052 WBU10:WCD12 WBT65547:WCC65548 WBT131083:WCC131084 WBT196619:WCC196620 WBT262155:WCC262156 WBT327691:WCC327692 WBT393227:WCC393228 WBT458763:WCC458764 WBT524299:WCC524300 WBT589835:WCC589836 WBT655371:WCC655372 WBT720907:WCC720908 WBT786443:WCC786444 WBT851979:WCC851980 WBT917515:WCC917516 WBT983051:WCC983052 WLD10:WLM12 WLC65547:WLL65548 WLC131083:WLL131084 WLC196619:WLL196620 WLC262155:WLL262156 WLC327691:WLL327692 WLC393227:WLL393228 WLC458763:WLL458764 WLC524299:WLL524300 WLC589835:WLL589836 WLC655371:WLL655372 WLC720907:WLL720908 WLC786443:WLL786444 WLC851979:WLL851980 WLC917515:WLL917516 WLC983051:WLL983052 WLQ10:WLZ12 WLP65547:WLY65548 WLP131083:WLY131084 WLP196619:WLY196620 WLP262155:WLY262156 WLP327691:WLY327692 WLP393227:WLY393228 WLP458763:WLY458764 WLP524299:WLY524300 WLP589835:WLY589836 WLP655371:WLY655372 WLP720907:WLY720908 WLP786443:WLY786444 WLP851979:WLY851980 WLP917515:WLY917516 WLP983051:WLY983052 WUZ10:WVI12 WUY65547:WVH65548 WUY131083:WVH131084 WUY196619:WVH196620 WUY262155:WVH262156 WUY327691:WVH327692 WUY393227:WVH393228 WUY458763:WVH458764 WUY524299:WVH524300 WUY589835:WVH589836 WUY655371:WVH655372 WUY720907:WVH720908 WUY786443:WVH786444 WUY851979:WVH851980 WUY917515:WVH917516 WUY983051:WVH983052 WVM10:WVV12 WVL65547:WVU65548 WVL131083:WVU131084 WVL196619:WVU196620 WVL262155:WVU262156 WVL327691:WVU327692 WVL393227:WVU393228 WVL458763:WVU458764 WVL524299:WVU524300 WVL589835:WVU589836 WVL655371:WVU655372 WVL720907:WVU720908 WVL786443:WVU786444 WVL851979:WVU851980 WVL917515:WVU917516 WVL983051:WVU983052 D983051:G983052 D917515:G917516 D851979:G851980 D786443:G786444 D720907:G720908 D655371:G655372 D589835:G589836 D524299:G524300 D458763:G458764 D393227:G393228 D327691:G327692 D262155:G262156 D196619:G196620 D131083:G131084 D65547:G65548" xr:uid="{2823B3AA-1C20-4212-8F0D-FB12F4596DE2}"/>
    <dataValidation allowBlank="1" showInputMessage="1" showErrorMessage="1" prompt="Written work total raw score" sqref="H65549:H65649 H131085:H131185 H196621:H196721 H262157:H262257 H327693:H327793 H393229:H393329 H458765:H458865 H524301:H524401 H589837:H589937 H655373:H655473 H720909:H721009 H786445:H786545 H851981:H852081 H917517:H917617 H983053:H983153 ST13:ST63 IW65549:IW65649 IW131085:IW131185 IW196621:IW196721 IW262157:IW262257 IW327693:IW327793 IW393229:IW393329 IW458765:IW458865 IW524301:IW524401 IW589837:IW589937 IW655373:IW655473 IW720909:IW721009 IW786445:IW786545 IW851981:IW852081 IW917517:IW917617 IW983053:IW983153 ACP13:ACP63 SS65549:SS65649 SS131085:SS131185 SS196621:SS196721 SS262157:SS262257 SS327693:SS327793 SS393229:SS393329 SS458765:SS458865 SS524301:SS524401 SS589837:SS589937 SS655373:SS655473 SS720909:SS721009 SS786445:SS786545 SS851981:SS852081 SS917517:SS917617 SS983053:SS983153 AML13:AML63 ACO65549:ACO65649 ACO131085:ACO131185 ACO196621:ACO196721 ACO262157:ACO262257 ACO327693:ACO327793 ACO393229:ACO393329 ACO458765:ACO458865 ACO524301:ACO524401 ACO589837:ACO589937 ACO655373:ACO655473 ACO720909:ACO721009 ACO786445:ACO786545 ACO851981:ACO852081 ACO917517:ACO917617 ACO983053:ACO983153 AWH13:AWH63 AMK65549:AMK65649 AMK131085:AMK131185 AMK196621:AMK196721 AMK262157:AMK262257 AMK327693:AMK327793 AMK393229:AMK393329 AMK458765:AMK458865 AMK524301:AMK524401 AMK589837:AMK589937 AMK655373:AMK655473 AMK720909:AMK721009 AMK786445:AMK786545 AMK851981:AMK852081 AMK917517:AMK917617 AMK983053:AMK983153 BGD13:BGD63 AWG65549:AWG65649 AWG131085:AWG131185 AWG196621:AWG196721 AWG262157:AWG262257 AWG327693:AWG327793 AWG393229:AWG393329 AWG458765:AWG458865 AWG524301:AWG524401 AWG589837:AWG589937 AWG655373:AWG655473 AWG720909:AWG721009 AWG786445:AWG786545 AWG851981:AWG852081 AWG917517:AWG917617 AWG983053:AWG983153 BPZ13:BPZ63 BGC65549:BGC65649 BGC131085:BGC131185 BGC196621:BGC196721 BGC262157:BGC262257 BGC327693:BGC327793 BGC393229:BGC393329 BGC458765:BGC458865 BGC524301:BGC524401 BGC589837:BGC589937 BGC655373:BGC655473 BGC720909:BGC721009 BGC786445:BGC786545 BGC851981:BGC852081 BGC917517:BGC917617 BGC983053:BGC983153 BZV13:BZV63 BPY65549:BPY65649 BPY131085:BPY131185 BPY196621:BPY196721 BPY262157:BPY262257 BPY327693:BPY327793 BPY393229:BPY393329 BPY458765:BPY458865 BPY524301:BPY524401 BPY589837:BPY589937 BPY655373:BPY655473 BPY720909:BPY721009 BPY786445:BPY786545 BPY851981:BPY852081 BPY917517:BPY917617 BPY983053:BPY983153 CJR13:CJR63 BZU65549:BZU65649 BZU131085:BZU131185 BZU196621:BZU196721 BZU262157:BZU262257 BZU327693:BZU327793 BZU393229:BZU393329 BZU458765:BZU458865 BZU524301:BZU524401 BZU589837:BZU589937 BZU655373:BZU655473 BZU720909:BZU721009 BZU786445:BZU786545 BZU851981:BZU852081 BZU917517:BZU917617 BZU983053:BZU983153 CTN13:CTN63 CJQ65549:CJQ65649 CJQ131085:CJQ131185 CJQ196621:CJQ196721 CJQ262157:CJQ262257 CJQ327693:CJQ327793 CJQ393229:CJQ393329 CJQ458765:CJQ458865 CJQ524301:CJQ524401 CJQ589837:CJQ589937 CJQ655373:CJQ655473 CJQ720909:CJQ721009 CJQ786445:CJQ786545 CJQ851981:CJQ852081 CJQ917517:CJQ917617 CJQ983053:CJQ983153 DDJ13:DDJ63 CTM65549:CTM65649 CTM131085:CTM131185 CTM196621:CTM196721 CTM262157:CTM262257 CTM327693:CTM327793 CTM393229:CTM393329 CTM458765:CTM458865 CTM524301:CTM524401 CTM589837:CTM589937 CTM655373:CTM655473 CTM720909:CTM721009 CTM786445:CTM786545 CTM851981:CTM852081 CTM917517:CTM917617 CTM983053:CTM983153 DNF13:DNF63 DDI65549:DDI65649 DDI131085:DDI131185 DDI196621:DDI196721 DDI262157:DDI262257 DDI327693:DDI327793 DDI393229:DDI393329 DDI458765:DDI458865 DDI524301:DDI524401 DDI589837:DDI589937 DDI655373:DDI655473 DDI720909:DDI721009 DDI786445:DDI786545 DDI851981:DDI852081 DDI917517:DDI917617 DDI983053:DDI983153 DXB13:DXB63 DNE65549:DNE65649 DNE131085:DNE131185 DNE196621:DNE196721 DNE262157:DNE262257 DNE327693:DNE327793 DNE393229:DNE393329 DNE458765:DNE458865 DNE524301:DNE524401 DNE589837:DNE589937 DNE655373:DNE655473 DNE720909:DNE721009 DNE786445:DNE786545 DNE851981:DNE852081 DNE917517:DNE917617 DNE983053:DNE983153 EGX13:EGX63 DXA65549:DXA65649 DXA131085:DXA131185 DXA196621:DXA196721 DXA262157:DXA262257 DXA327693:DXA327793 DXA393229:DXA393329 DXA458765:DXA458865 DXA524301:DXA524401 DXA589837:DXA589937 DXA655373:DXA655473 DXA720909:DXA721009 DXA786445:DXA786545 DXA851981:DXA852081 DXA917517:DXA917617 DXA983053:DXA983153 EQT13:EQT63 EGW65549:EGW65649 EGW131085:EGW131185 EGW196621:EGW196721 EGW262157:EGW262257 EGW327693:EGW327793 EGW393229:EGW393329 EGW458765:EGW458865 EGW524301:EGW524401 EGW589837:EGW589937 EGW655373:EGW655473 EGW720909:EGW721009 EGW786445:EGW786545 EGW851981:EGW852081 EGW917517:EGW917617 EGW983053:EGW983153 FAP13:FAP63 EQS65549:EQS65649 EQS131085:EQS131185 EQS196621:EQS196721 EQS262157:EQS262257 EQS327693:EQS327793 EQS393229:EQS393329 EQS458765:EQS458865 EQS524301:EQS524401 EQS589837:EQS589937 EQS655373:EQS655473 EQS720909:EQS721009 EQS786445:EQS786545 EQS851981:EQS852081 EQS917517:EQS917617 EQS983053:EQS983153 FKL13:FKL63 FAO65549:FAO65649 FAO131085:FAO131185 FAO196621:FAO196721 FAO262157:FAO262257 FAO327693:FAO327793 FAO393229:FAO393329 FAO458765:FAO458865 FAO524301:FAO524401 FAO589837:FAO589937 FAO655373:FAO655473 FAO720909:FAO721009 FAO786445:FAO786545 FAO851981:FAO852081 FAO917517:FAO917617 FAO983053:FAO983153 FUH13:FUH63 FKK65549:FKK65649 FKK131085:FKK131185 FKK196621:FKK196721 FKK262157:FKK262257 FKK327693:FKK327793 FKK393229:FKK393329 FKK458765:FKK458865 FKK524301:FKK524401 FKK589837:FKK589937 FKK655373:FKK655473 FKK720909:FKK721009 FKK786445:FKK786545 FKK851981:FKK852081 FKK917517:FKK917617 FKK983053:FKK983153 GED13:GED63 FUG65549:FUG65649 FUG131085:FUG131185 FUG196621:FUG196721 FUG262157:FUG262257 FUG327693:FUG327793 FUG393229:FUG393329 FUG458765:FUG458865 FUG524301:FUG524401 FUG589837:FUG589937 FUG655373:FUG655473 FUG720909:FUG721009 FUG786445:FUG786545 FUG851981:FUG852081 FUG917517:FUG917617 FUG983053:FUG983153 GNZ13:GNZ63 GEC65549:GEC65649 GEC131085:GEC131185 GEC196621:GEC196721 GEC262157:GEC262257 GEC327693:GEC327793 GEC393229:GEC393329 GEC458765:GEC458865 GEC524301:GEC524401 GEC589837:GEC589937 GEC655373:GEC655473 GEC720909:GEC721009 GEC786445:GEC786545 GEC851981:GEC852081 GEC917517:GEC917617 GEC983053:GEC983153 GXV13:GXV63 GNY65549:GNY65649 GNY131085:GNY131185 GNY196621:GNY196721 GNY262157:GNY262257 GNY327693:GNY327793 GNY393229:GNY393329 GNY458765:GNY458865 GNY524301:GNY524401 GNY589837:GNY589937 GNY655373:GNY655473 GNY720909:GNY721009 GNY786445:GNY786545 GNY851981:GNY852081 GNY917517:GNY917617 GNY983053:GNY983153 HHR13:HHR63 GXU65549:GXU65649 GXU131085:GXU131185 GXU196621:GXU196721 GXU262157:GXU262257 GXU327693:GXU327793 GXU393229:GXU393329 GXU458765:GXU458865 GXU524301:GXU524401 GXU589837:GXU589937 GXU655373:GXU655473 GXU720909:GXU721009 GXU786445:GXU786545 GXU851981:GXU852081 GXU917517:GXU917617 GXU983053:GXU983153 HRN13:HRN63 HHQ65549:HHQ65649 HHQ131085:HHQ131185 HHQ196621:HHQ196721 HHQ262157:HHQ262257 HHQ327693:HHQ327793 HHQ393229:HHQ393329 HHQ458765:HHQ458865 HHQ524301:HHQ524401 HHQ589837:HHQ589937 HHQ655373:HHQ655473 HHQ720909:HHQ721009 HHQ786445:HHQ786545 HHQ851981:HHQ852081 HHQ917517:HHQ917617 HHQ983053:HHQ983153 IBJ13:IBJ63 HRM65549:HRM65649 HRM131085:HRM131185 HRM196621:HRM196721 HRM262157:HRM262257 HRM327693:HRM327793 HRM393229:HRM393329 HRM458765:HRM458865 HRM524301:HRM524401 HRM589837:HRM589937 HRM655373:HRM655473 HRM720909:HRM721009 HRM786445:HRM786545 HRM851981:HRM852081 HRM917517:HRM917617 HRM983053:HRM983153 ILF13:ILF63 IBI65549:IBI65649 IBI131085:IBI131185 IBI196621:IBI196721 IBI262157:IBI262257 IBI327693:IBI327793 IBI393229:IBI393329 IBI458765:IBI458865 IBI524301:IBI524401 IBI589837:IBI589937 IBI655373:IBI655473 IBI720909:IBI721009 IBI786445:IBI786545 IBI851981:IBI852081 IBI917517:IBI917617 IBI983053:IBI983153 IVB13:IVB63 ILE65549:ILE65649 ILE131085:ILE131185 ILE196621:ILE196721 ILE262157:ILE262257 ILE327693:ILE327793 ILE393229:ILE393329 ILE458765:ILE458865 ILE524301:ILE524401 ILE589837:ILE589937 ILE655373:ILE655473 ILE720909:ILE721009 ILE786445:ILE786545 ILE851981:ILE852081 ILE917517:ILE917617 ILE983053:ILE983153 JEX13:JEX63 IVA65549:IVA65649 IVA131085:IVA131185 IVA196621:IVA196721 IVA262157:IVA262257 IVA327693:IVA327793 IVA393229:IVA393329 IVA458765:IVA458865 IVA524301:IVA524401 IVA589837:IVA589937 IVA655373:IVA655473 IVA720909:IVA721009 IVA786445:IVA786545 IVA851981:IVA852081 IVA917517:IVA917617 IVA983053:IVA983153 JOT13:JOT63 JEW65549:JEW65649 JEW131085:JEW131185 JEW196621:JEW196721 JEW262157:JEW262257 JEW327693:JEW327793 JEW393229:JEW393329 JEW458765:JEW458865 JEW524301:JEW524401 JEW589837:JEW589937 JEW655373:JEW655473 JEW720909:JEW721009 JEW786445:JEW786545 JEW851981:JEW852081 JEW917517:JEW917617 JEW983053:JEW983153 JYP13:JYP63 JOS65549:JOS65649 JOS131085:JOS131185 JOS196621:JOS196721 JOS262157:JOS262257 JOS327693:JOS327793 JOS393229:JOS393329 JOS458765:JOS458865 JOS524301:JOS524401 JOS589837:JOS589937 JOS655373:JOS655473 JOS720909:JOS721009 JOS786445:JOS786545 JOS851981:JOS852081 JOS917517:JOS917617 JOS983053:JOS983153 KIL13:KIL63 JYO65549:JYO65649 JYO131085:JYO131185 JYO196621:JYO196721 JYO262157:JYO262257 JYO327693:JYO327793 JYO393229:JYO393329 JYO458765:JYO458865 JYO524301:JYO524401 JYO589837:JYO589937 JYO655373:JYO655473 JYO720909:JYO721009 JYO786445:JYO786545 JYO851981:JYO852081 JYO917517:JYO917617 JYO983053:JYO983153 KSH13:KSH63 KIK65549:KIK65649 KIK131085:KIK131185 KIK196621:KIK196721 KIK262157:KIK262257 KIK327693:KIK327793 KIK393229:KIK393329 KIK458765:KIK458865 KIK524301:KIK524401 KIK589837:KIK589937 KIK655373:KIK655473 KIK720909:KIK721009 KIK786445:KIK786545 KIK851981:KIK852081 KIK917517:KIK917617 KIK983053:KIK983153 LCD13:LCD63 KSG65549:KSG65649 KSG131085:KSG131185 KSG196621:KSG196721 KSG262157:KSG262257 KSG327693:KSG327793 KSG393229:KSG393329 KSG458765:KSG458865 KSG524301:KSG524401 KSG589837:KSG589937 KSG655373:KSG655473 KSG720909:KSG721009 KSG786445:KSG786545 KSG851981:KSG852081 KSG917517:KSG917617 KSG983053:KSG983153 LLZ13:LLZ63 LCC65549:LCC65649 LCC131085:LCC131185 LCC196621:LCC196721 LCC262157:LCC262257 LCC327693:LCC327793 LCC393229:LCC393329 LCC458765:LCC458865 LCC524301:LCC524401 LCC589837:LCC589937 LCC655373:LCC655473 LCC720909:LCC721009 LCC786445:LCC786545 LCC851981:LCC852081 LCC917517:LCC917617 LCC983053:LCC983153 LVV13:LVV63 LLY65549:LLY65649 LLY131085:LLY131185 LLY196621:LLY196721 LLY262157:LLY262257 LLY327693:LLY327793 LLY393229:LLY393329 LLY458765:LLY458865 LLY524301:LLY524401 LLY589837:LLY589937 LLY655373:LLY655473 LLY720909:LLY721009 LLY786445:LLY786545 LLY851981:LLY852081 LLY917517:LLY917617 LLY983053:LLY983153 MFR13:MFR63 LVU65549:LVU65649 LVU131085:LVU131185 LVU196621:LVU196721 LVU262157:LVU262257 LVU327693:LVU327793 LVU393229:LVU393329 LVU458765:LVU458865 LVU524301:LVU524401 LVU589837:LVU589937 LVU655373:LVU655473 LVU720909:LVU721009 LVU786445:LVU786545 LVU851981:LVU852081 LVU917517:LVU917617 LVU983053:LVU983153 MPN13:MPN63 MFQ65549:MFQ65649 MFQ131085:MFQ131185 MFQ196621:MFQ196721 MFQ262157:MFQ262257 MFQ327693:MFQ327793 MFQ393229:MFQ393329 MFQ458765:MFQ458865 MFQ524301:MFQ524401 MFQ589837:MFQ589937 MFQ655373:MFQ655473 MFQ720909:MFQ721009 MFQ786445:MFQ786545 MFQ851981:MFQ852081 MFQ917517:MFQ917617 MFQ983053:MFQ983153 MZJ13:MZJ63 MPM65549:MPM65649 MPM131085:MPM131185 MPM196621:MPM196721 MPM262157:MPM262257 MPM327693:MPM327793 MPM393229:MPM393329 MPM458765:MPM458865 MPM524301:MPM524401 MPM589837:MPM589937 MPM655373:MPM655473 MPM720909:MPM721009 MPM786445:MPM786545 MPM851981:MPM852081 MPM917517:MPM917617 MPM983053:MPM983153 NJF13:NJF63 MZI65549:MZI65649 MZI131085:MZI131185 MZI196621:MZI196721 MZI262157:MZI262257 MZI327693:MZI327793 MZI393229:MZI393329 MZI458765:MZI458865 MZI524301:MZI524401 MZI589837:MZI589937 MZI655373:MZI655473 MZI720909:MZI721009 MZI786445:MZI786545 MZI851981:MZI852081 MZI917517:MZI917617 MZI983053:MZI983153 NTB13:NTB63 NJE65549:NJE65649 NJE131085:NJE131185 NJE196621:NJE196721 NJE262157:NJE262257 NJE327693:NJE327793 NJE393229:NJE393329 NJE458765:NJE458865 NJE524301:NJE524401 NJE589837:NJE589937 NJE655373:NJE655473 NJE720909:NJE721009 NJE786445:NJE786545 NJE851981:NJE852081 NJE917517:NJE917617 NJE983053:NJE983153 OCX13:OCX63 NTA65549:NTA65649 NTA131085:NTA131185 NTA196621:NTA196721 NTA262157:NTA262257 NTA327693:NTA327793 NTA393229:NTA393329 NTA458765:NTA458865 NTA524301:NTA524401 NTA589837:NTA589937 NTA655373:NTA655473 NTA720909:NTA721009 NTA786445:NTA786545 NTA851981:NTA852081 NTA917517:NTA917617 NTA983053:NTA983153 OMT13:OMT63 OCW65549:OCW65649 OCW131085:OCW131185 OCW196621:OCW196721 OCW262157:OCW262257 OCW327693:OCW327793 OCW393229:OCW393329 OCW458765:OCW458865 OCW524301:OCW524401 OCW589837:OCW589937 OCW655373:OCW655473 OCW720909:OCW721009 OCW786445:OCW786545 OCW851981:OCW852081 OCW917517:OCW917617 OCW983053:OCW983153 OWP13:OWP63 OMS65549:OMS65649 OMS131085:OMS131185 OMS196621:OMS196721 OMS262157:OMS262257 OMS327693:OMS327793 OMS393229:OMS393329 OMS458765:OMS458865 OMS524301:OMS524401 OMS589837:OMS589937 OMS655373:OMS655473 OMS720909:OMS721009 OMS786445:OMS786545 OMS851981:OMS852081 OMS917517:OMS917617 OMS983053:OMS983153 PGL13:PGL63 OWO65549:OWO65649 OWO131085:OWO131185 OWO196621:OWO196721 OWO262157:OWO262257 OWO327693:OWO327793 OWO393229:OWO393329 OWO458765:OWO458865 OWO524301:OWO524401 OWO589837:OWO589937 OWO655373:OWO655473 OWO720909:OWO721009 OWO786445:OWO786545 OWO851981:OWO852081 OWO917517:OWO917617 OWO983053:OWO983153 PQH13:PQH63 PGK65549:PGK65649 PGK131085:PGK131185 PGK196621:PGK196721 PGK262157:PGK262257 PGK327693:PGK327793 PGK393229:PGK393329 PGK458765:PGK458865 PGK524301:PGK524401 PGK589837:PGK589937 PGK655373:PGK655473 PGK720909:PGK721009 PGK786445:PGK786545 PGK851981:PGK852081 PGK917517:PGK917617 PGK983053:PGK983153 QAD13:QAD63 PQG65549:PQG65649 PQG131085:PQG131185 PQG196621:PQG196721 PQG262157:PQG262257 PQG327693:PQG327793 PQG393229:PQG393329 PQG458765:PQG458865 PQG524301:PQG524401 PQG589837:PQG589937 PQG655373:PQG655473 PQG720909:PQG721009 PQG786445:PQG786545 PQG851981:PQG852081 PQG917517:PQG917617 PQG983053:PQG983153 QJZ13:QJZ63 QAC65549:QAC65649 QAC131085:QAC131185 QAC196621:QAC196721 QAC262157:QAC262257 QAC327693:QAC327793 QAC393229:QAC393329 QAC458765:QAC458865 QAC524301:QAC524401 QAC589837:QAC589937 QAC655373:QAC655473 QAC720909:QAC721009 QAC786445:QAC786545 QAC851981:QAC852081 QAC917517:QAC917617 QAC983053:QAC983153 QTV13:QTV63 QJY65549:QJY65649 QJY131085:QJY131185 QJY196621:QJY196721 QJY262157:QJY262257 QJY327693:QJY327793 QJY393229:QJY393329 QJY458765:QJY458865 QJY524301:QJY524401 QJY589837:QJY589937 QJY655373:QJY655473 QJY720909:QJY721009 QJY786445:QJY786545 QJY851981:QJY852081 QJY917517:QJY917617 QJY983053:QJY983153 RDR13:RDR63 QTU65549:QTU65649 QTU131085:QTU131185 QTU196621:QTU196721 QTU262157:QTU262257 QTU327693:QTU327793 QTU393229:QTU393329 QTU458765:QTU458865 QTU524301:QTU524401 QTU589837:QTU589937 QTU655373:QTU655473 QTU720909:QTU721009 QTU786445:QTU786545 QTU851981:QTU852081 QTU917517:QTU917617 QTU983053:QTU983153 RNN13:RNN63 RDQ65549:RDQ65649 RDQ131085:RDQ131185 RDQ196621:RDQ196721 RDQ262157:RDQ262257 RDQ327693:RDQ327793 RDQ393229:RDQ393329 RDQ458765:RDQ458865 RDQ524301:RDQ524401 RDQ589837:RDQ589937 RDQ655373:RDQ655473 RDQ720909:RDQ721009 RDQ786445:RDQ786545 RDQ851981:RDQ852081 RDQ917517:RDQ917617 RDQ983053:RDQ983153 RXJ13:RXJ63 RNM65549:RNM65649 RNM131085:RNM131185 RNM196621:RNM196721 RNM262157:RNM262257 RNM327693:RNM327793 RNM393229:RNM393329 RNM458765:RNM458865 RNM524301:RNM524401 RNM589837:RNM589937 RNM655373:RNM655473 RNM720909:RNM721009 RNM786445:RNM786545 RNM851981:RNM852081 RNM917517:RNM917617 RNM983053:RNM983153 SHF13:SHF63 RXI65549:RXI65649 RXI131085:RXI131185 RXI196621:RXI196721 RXI262157:RXI262257 RXI327693:RXI327793 RXI393229:RXI393329 RXI458765:RXI458865 RXI524301:RXI524401 RXI589837:RXI589937 RXI655373:RXI655473 RXI720909:RXI721009 RXI786445:RXI786545 RXI851981:RXI852081 RXI917517:RXI917617 RXI983053:RXI983153 SRB13:SRB63 SHE65549:SHE65649 SHE131085:SHE131185 SHE196621:SHE196721 SHE262157:SHE262257 SHE327693:SHE327793 SHE393229:SHE393329 SHE458765:SHE458865 SHE524301:SHE524401 SHE589837:SHE589937 SHE655373:SHE655473 SHE720909:SHE721009 SHE786445:SHE786545 SHE851981:SHE852081 SHE917517:SHE917617 SHE983053:SHE983153 TAX13:TAX63 SRA65549:SRA65649 SRA131085:SRA131185 SRA196621:SRA196721 SRA262157:SRA262257 SRA327693:SRA327793 SRA393229:SRA393329 SRA458765:SRA458865 SRA524301:SRA524401 SRA589837:SRA589937 SRA655373:SRA655473 SRA720909:SRA721009 SRA786445:SRA786545 SRA851981:SRA852081 SRA917517:SRA917617 SRA983053:SRA983153 TKT13:TKT63 TAW65549:TAW65649 TAW131085:TAW131185 TAW196621:TAW196721 TAW262157:TAW262257 TAW327693:TAW327793 TAW393229:TAW393329 TAW458765:TAW458865 TAW524301:TAW524401 TAW589837:TAW589937 TAW655373:TAW655473 TAW720909:TAW721009 TAW786445:TAW786545 TAW851981:TAW852081 TAW917517:TAW917617 TAW983053:TAW983153 TUP13:TUP63 TKS65549:TKS65649 TKS131085:TKS131185 TKS196621:TKS196721 TKS262157:TKS262257 TKS327693:TKS327793 TKS393229:TKS393329 TKS458765:TKS458865 TKS524301:TKS524401 TKS589837:TKS589937 TKS655373:TKS655473 TKS720909:TKS721009 TKS786445:TKS786545 TKS851981:TKS852081 TKS917517:TKS917617 TKS983053:TKS983153 UEL13:UEL63 TUO65549:TUO65649 TUO131085:TUO131185 TUO196621:TUO196721 TUO262157:TUO262257 TUO327693:TUO327793 TUO393229:TUO393329 TUO458765:TUO458865 TUO524301:TUO524401 TUO589837:TUO589937 TUO655373:TUO655473 TUO720909:TUO721009 TUO786445:TUO786545 TUO851981:TUO852081 TUO917517:TUO917617 TUO983053:TUO983153 UOH13:UOH63 UEK65549:UEK65649 UEK131085:UEK131185 UEK196621:UEK196721 UEK262157:UEK262257 UEK327693:UEK327793 UEK393229:UEK393329 UEK458765:UEK458865 UEK524301:UEK524401 UEK589837:UEK589937 UEK655373:UEK655473 UEK720909:UEK721009 UEK786445:UEK786545 UEK851981:UEK852081 UEK917517:UEK917617 UEK983053:UEK983153 UYD13:UYD63 UOG65549:UOG65649 UOG131085:UOG131185 UOG196621:UOG196721 UOG262157:UOG262257 UOG327693:UOG327793 UOG393229:UOG393329 UOG458765:UOG458865 UOG524301:UOG524401 UOG589837:UOG589937 UOG655373:UOG655473 UOG720909:UOG721009 UOG786445:UOG786545 UOG851981:UOG852081 UOG917517:UOG917617 UOG983053:UOG983153 VHZ13:VHZ63 UYC65549:UYC65649 UYC131085:UYC131185 UYC196621:UYC196721 UYC262157:UYC262257 UYC327693:UYC327793 UYC393229:UYC393329 UYC458765:UYC458865 UYC524301:UYC524401 UYC589837:UYC589937 UYC655373:UYC655473 UYC720909:UYC721009 UYC786445:UYC786545 UYC851981:UYC852081 UYC917517:UYC917617 UYC983053:UYC983153 VRV13:VRV63 VHY65549:VHY65649 VHY131085:VHY131185 VHY196621:VHY196721 VHY262157:VHY262257 VHY327693:VHY327793 VHY393229:VHY393329 VHY458765:VHY458865 VHY524301:VHY524401 VHY589837:VHY589937 VHY655373:VHY655473 VHY720909:VHY721009 VHY786445:VHY786545 VHY851981:VHY852081 VHY917517:VHY917617 VHY983053:VHY983153 WBR13:WBR63 VRU65549:VRU65649 VRU131085:VRU131185 VRU196621:VRU196721 VRU262157:VRU262257 VRU327693:VRU327793 VRU393229:VRU393329 VRU458765:VRU458865 VRU524301:VRU524401 VRU589837:VRU589937 VRU655373:VRU655473 VRU720909:VRU721009 VRU786445:VRU786545 VRU851981:VRU852081 VRU917517:VRU917617 VRU983053:VRU983153 WLN13:WLN63 WBQ65549:WBQ65649 WBQ131085:WBQ131185 WBQ196621:WBQ196721 WBQ262157:WBQ262257 WBQ327693:WBQ327793 WBQ393229:WBQ393329 WBQ458765:WBQ458865 WBQ524301:WBQ524401 WBQ589837:WBQ589937 WBQ655373:WBQ655473 WBQ720909:WBQ721009 WBQ786445:WBQ786545 WBQ851981:WBQ852081 WBQ917517:WBQ917617 WBQ983053:WBQ983153 WVJ13:WVJ63 WLM65549:WLM65649 WLM131085:WLM131185 WLM196621:WLM196721 WLM262157:WLM262257 WLM327693:WLM327793 WLM393229:WLM393329 WLM458765:WLM458865 WLM524301:WLM524401 WLM589837:WLM589937 WLM655373:WLM655473 WLM720909:WLM721009 WLM786445:WLM786545 WLM851981:WLM852081 WLM917517:WLM917617 WLM983053:WLM983153 WVI983053:WVI983153 WVI65549:WVI65649 WVI131085:WVI131185 WVI196621:WVI196721 WVI262157:WVI262257 WVI327693:WVI327793 WVI393229:WVI393329 WVI458765:WVI458865 WVI524301:WVI524401 WVI589837:WVI589937 WVI655373:WVI655473 WVI720909:WVI721009 WVI786445:WVI786545 WVI851981:WVI852081 WVI917517:WVI917617 IX13:IX63 WVJ66:WVJ114 WLN66:WLN114 WBR66:WBR114 VRV66:VRV114 VHZ66:VHZ114 UYD66:UYD114 UOH66:UOH114 UEL66:UEL114 TUP66:TUP114 TKT66:TKT114 TAX66:TAX114 SRB66:SRB114 SHF66:SHF114 RXJ66:RXJ114 RNN66:RNN114 RDR66:RDR114 QTV66:QTV114 QJZ66:QJZ114 QAD66:QAD114 PQH66:PQH114 PGL66:PGL114 OWP66:OWP114 OMT66:OMT114 OCX66:OCX114 NTB66:NTB114 NJF66:NJF114 MZJ66:MZJ114 MPN66:MPN114 MFR66:MFR114 LVV66:LVV114 LLZ66:LLZ114 LCD66:LCD114 KSH66:KSH114 KIL66:KIL114 JYP66:JYP114 JOT66:JOT114 JEX66:JEX114 IVB66:IVB114 ILF66:ILF114 IBJ66:IBJ114 HRN66:HRN114 HHR66:HHR114 GXV66:GXV114 GNZ66:GNZ114 GED66:GED114 FUH66:FUH114 FKL66:FKL114 FAP66:FAP114 EQT66:EQT114 EGX66:EGX114 DXB66:DXB114 DNF66:DNF114 DDJ66:DDJ114 CTN66:CTN114 CJR66:CJR114 BZV66:BZV114 BPZ66:BPZ114 BGD66:BGD114 AWH66:AWH114 AML66:AML114 ACP66:ACP114 ST66:ST114 IX66:IX114" xr:uid="{357BC975-A0BF-44D7-95D4-1AE5366D5407}"/>
    <dataValidation allowBlank="1" showInputMessage="1" showErrorMessage="1" prompt="Written Work TOTAL Highest Possible Score" sqref="H65547:H65548 H131083:H131084 H196619:H196620 H262155:H262156 H327691:H327692 H393227:H393228 H458763:H458764 H524299:H524300 H589835:H589836 H655371:H655372 H720907:H720908 H786443:H786444 H851979:H851980 H917515:H917516 H983051:H983052 IX10:IX12 IW65547:IW65548 IW131083:IW131084 IW196619:IW196620 IW262155:IW262156 IW327691:IW327692 IW393227:IW393228 IW458763:IW458764 IW524299:IW524300 IW589835:IW589836 IW655371:IW655372 IW720907:IW720908 IW786443:IW786444 IW851979:IW851980 IW917515:IW917516 IW983051:IW983052 ST10:ST12 SS65547:SS65548 SS131083:SS131084 SS196619:SS196620 SS262155:SS262156 SS327691:SS327692 SS393227:SS393228 SS458763:SS458764 SS524299:SS524300 SS589835:SS589836 SS655371:SS655372 SS720907:SS720908 SS786443:SS786444 SS851979:SS851980 SS917515:SS917516 SS983051:SS983052 ACP10:ACP12 ACO65547:ACO65548 ACO131083:ACO131084 ACO196619:ACO196620 ACO262155:ACO262156 ACO327691:ACO327692 ACO393227:ACO393228 ACO458763:ACO458764 ACO524299:ACO524300 ACO589835:ACO589836 ACO655371:ACO655372 ACO720907:ACO720908 ACO786443:ACO786444 ACO851979:ACO851980 ACO917515:ACO917516 ACO983051:ACO983052 AML10:AML12 AMK65547:AMK65548 AMK131083:AMK131084 AMK196619:AMK196620 AMK262155:AMK262156 AMK327691:AMK327692 AMK393227:AMK393228 AMK458763:AMK458764 AMK524299:AMK524300 AMK589835:AMK589836 AMK655371:AMK655372 AMK720907:AMK720908 AMK786443:AMK786444 AMK851979:AMK851980 AMK917515:AMK917516 AMK983051:AMK983052 AWH10:AWH12 AWG65547:AWG65548 AWG131083:AWG131084 AWG196619:AWG196620 AWG262155:AWG262156 AWG327691:AWG327692 AWG393227:AWG393228 AWG458763:AWG458764 AWG524299:AWG524300 AWG589835:AWG589836 AWG655371:AWG655372 AWG720907:AWG720908 AWG786443:AWG786444 AWG851979:AWG851980 AWG917515:AWG917516 AWG983051:AWG983052 BGD10:BGD12 BGC65547:BGC65548 BGC131083:BGC131084 BGC196619:BGC196620 BGC262155:BGC262156 BGC327691:BGC327692 BGC393227:BGC393228 BGC458763:BGC458764 BGC524299:BGC524300 BGC589835:BGC589836 BGC655371:BGC655372 BGC720907:BGC720908 BGC786443:BGC786444 BGC851979:BGC851980 BGC917515:BGC917516 BGC983051:BGC983052 BPZ10:BPZ12 BPY65547:BPY65548 BPY131083:BPY131084 BPY196619:BPY196620 BPY262155:BPY262156 BPY327691:BPY327692 BPY393227:BPY393228 BPY458763:BPY458764 BPY524299:BPY524300 BPY589835:BPY589836 BPY655371:BPY655372 BPY720907:BPY720908 BPY786443:BPY786444 BPY851979:BPY851980 BPY917515:BPY917516 BPY983051:BPY983052 BZV10:BZV12 BZU65547:BZU65548 BZU131083:BZU131084 BZU196619:BZU196620 BZU262155:BZU262156 BZU327691:BZU327692 BZU393227:BZU393228 BZU458763:BZU458764 BZU524299:BZU524300 BZU589835:BZU589836 BZU655371:BZU655372 BZU720907:BZU720908 BZU786443:BZU786444 BZU851979:BZU851980 BZU917515:BZU917516 BZU983051:BZU983052 CJR10:CJR12 CJQ65547:CJQ65548 CJQ131083:CJQ131084 CJQ196619:CJQ196620 CJQ262155:CJQ262156 CJQ327691:CJQ327692 CJQ393227:CJQ393228 CJQ458763:CJQ458764 CJQ524299:CJQ524300 CJQ589835:CJQ589836 CJQ655371:CJQ655372 CJQ720907:CJQ720908 CJQ786443:CJQ786444 CJQ851979:CJQ851980 CJQ917515:CJQ917516 CJQ983051:CJQ983052 CTN10:CTN12 CTM65547:CTM65548 CTM131083:CTM131084 CTM196619:CTM196620 CTM262155:CTM262156 CTM327691:CTM327692 CTM393227:CTM393228 CTM458763:CTM458764 CTM524299:CTM524300 CTM589835:CTM589836 CTM655371:CTM655372 CTM720907:CTM720908 CTM786443:CTM786444 CTM851979:CTM851980 CTM917515:CTM917516 CTM983051:CTM983052 DDJ10:DDJ12 DDI65547:DDI65548 DDI131083:DDI131084 DDI196619:DDI196620 DDI262155:DDI262156 DDI327691:DDI327692 DDI393227:DDI393228 DDI458763:DDI458764 DDI524299:DDI524300 DDI589835:DDI589836 DDI655371:DDI655372 DDI720907:DDI720908 DDI786443:DDI786444 DDI851979:DDI851980 DDI917515:DDI917516 DDI983051:DDI983052 DNF10:DNF12 DNE65547:DNE65548 DNE131083:DNE131084 DNE196619:DNE196620 DNE262155:DNE262156 DNE327691:DNE327692 DNE393227:DNE393228 DNE458763:DNE458764 DNE524299:DNE524300 DNE589835:DNE589836 DNE655371:DNE655372 DNE720907:DNE720908 DNE786443:DNE786444 DNE851979:DNE851980 DNE917515:DNE917516 DNE983051:DNE983052 DXB10:DXB12 DXA65547:DXA65548 DXA131083:DXA131084 DXA196619:DXA196620 DXA262155:DXA262156 DXA327691:DXA327692 DXA393227:DXA393228 DXA458763:DXA458764 DXA524299:DXA524300 DXA589835:DXA589836 DXA655371:DXA655372 DXA720907:DXA720908 DXA786443:DXA786444 DXA851979:DXA851980 DXA917515:DXA917516 DXA983051:DXA983052 EGX10:EGX12 EGW65547:EGW65548 EGW131083:EGW131084 EGW196619:EGW196620 EGW262155:EGW262156 EGW327691:EGW327692 EGW393227:EGW393228 EGW458763:EGW458764 EGW524299:EGW524300 EGW589835:EGW589836 EGW655371:EGW655372 EGW720907:EGW720908 EGW786443:EGW786444 EGW851979:EGW851980 EGW917515:EGW917516 EGW983051:EGW983052 EQT10:EQT12 EQS65547:EQS65548 EQS131083:EQS131084 EQS196619:EQS196620 EQS262155:EQS262156 EQS327691:EQS327692 EQS393227:EQS393228 EQS458763:EQS458764 EQS524299:EQS524300 EQS589835:EQS589836 EQS655371:EQS655372 EQS720907:EQS720908 EQS786443:EQS786444 EQS851979:EQS851980 EQS917515:EQS917516 EQS983051:EQS983052 FAP10:FAP12 FAO65547:FAO65548 FAO131083:FAO131084 FAO196619:FAO196620 FAO262155:FAO262156 FAO327691:FAO327692 FAO393227:FAO393228 FAO458763:FAO458764 FAO524299:FAO524300 FAO589835:FAO589836 FAO655371:FAO655372 FAO720907:FAO720908 FAO786443:FAO786444 FAO851979:FAO851980 FAO917515:FAO917516 FAO983051:FAO983052 FKL10:FKL12 FKK65547:FKK65548 FKK131083:FKK131084 FKK196619:FKK196620 FKK262155:FKK262156 FKK327691:FKK327692 FKK393227:FKK393228 FKK458763:FKK458764 FKK524299:FKK524300 FKK589835:FKK589836 FKK655371:FKK655372 FKK720907:FKK720908 FKK786443:FKK786444 FKK851979:FKK851980 FKK917515:FKK917516 FKK983051:FKK983052 FUH10:FUH12 FUG65547:FUG65548 FUG131083:FUG131084 FUG196619:FUG196620 FUG262155:FUG262156 FUG327691:FUG327692 FUG393227:FUG393228 FUG458763:FUG458764 FUG524299:FUG524300 FUG589835:FUG589836 FUG655371:FUG655372 FUG720907:FUG720908 FUG786443:FUG786444 FUG851979:FUG851980 FUG917515:FUG917516 FUG983051:FUG983052 GED10:GED12 GEC65547:GEC65548 GEC131083:GEC131084 GEC196619:GEC196620 GEC262155:GEC262156 GEC327691:GEC327692 GEC393227:GEC393228 GEC458763:GEC458764 GEC524299:GEC524300 GEC589835:GEC589836 GEC655371:GEC655372 GEC720907:GEC720908 GEC786443:GEC786444 GEC851979:GEC851980 GEC917515:GEC917516 GEC983051:GEC983052 GNZ10:GNZ12 GNY65547:GNY65548 GNY131083:GNY131084 GNY196619:GNY196620 GNY262155:GNY262156 GNY327691:GNY327692 GNY393227:GNY393228 GNY458763:GNY458764 GNY524299:GNY524300 GNY589835:GNY589836 GNY655371:GNY655372 GNY720907:GNY720908 GNY786443:GNY786444 GNY851979:GNY851980 GNY917515:GNY917516 GNY983051:GNY983052 GXV10:GXV12 GXU65547:GXU65548 GXU131083:GXU131084 GXU196619:GXU196620 GXU262155:GXU262156 GXU327691:GXU327692 GXU393227:GXU393228 GXU458763:GXU458764 GXU524299:GXU524300 GXU589835:GXU589836 GXU655371:GXU655372 GXU720907:GXU720908 GXU786443:GXU786444 GXU851979:GXU851980 GXU917515:GXU917516 GXU983051:GXU983052 HHR10:HHR12 HHQ65547:HHQ65548 HHQ131083:HHQ131084 HHQ196619:HHQ196620 HHQ262155:HHQ262156 HHQ327691:HHQ327692 HHQ393227:HHQ393228 HHQ458763:HHQ458764 HHQ524299:HHQ524300 HHQ589835:HHQ589836 HHQ655371:HHQ655372 HHQ720907:HHQ720908 HHQ786443:HHQ786444 HHQ851979:HHQ851980 HHQ917515:HHQ917516 HHQ983051:HHQ983052 HRN10:HRN12 HRM65547:HRM65548 HRM131083:HRM131084 HRM196619:HRM196620 HRM262155:HRM262156 HRM327691:HRM327692 HRM393227:HRM393228 HRM458763:HRM458764 HRM524299:HRM524300 HRM589835:HRM589836 HRM655371:HRM655372 HRM720907:HRM720908 HRM786443:HRM786444 HRM851979:HRM851980 HRM917515:HRM917516 HRM983051:HRM983052 IBJ10:IBJ12 IBI65547:IBI65548 IBI131083:IBI131084 IBI196619:IBI196620 IBI262155:IBI262156 IBI327691:IBI327692 IBI393227:IBI393228 IBI458763:IBI458764 IBI524299:IBI524300 IBI589835:IBI589836 IBI655371:IBI655372 IBI720907:IBI720908 IBI786443:IBI786444 IBI851979:IBI851980 IBI917515:IBI917516 IBI983051:IBI983052 ILF10:ILF12 ILE65547:ILE65548 ILE131083:ILE131084 ILE196619:ILE196620 ILE262155:ILE262156 ILE327691:ILE327692 ILE393227:ILE393228 ILE458763:ILE458764 ILE524299:ILE524300 ILE589835:ILE589836 ILE655371:ILE655372 ILE720907:ILE720908 ILE786443:ILE786444 ILE851979:ILE851980 ILE917515:ILE917516 ILE983051:ILE983052 IVB10:IVB12 IVA65547:IVA65548 IVA131083:IVA131084 IVA196619:IVA196620 IVA262155:IVA262156 IVA327691:IVA327692 IVA393227:IVA393228 IVA458763:IVA458764 IVA524299:IVA524300 IVA589835:IVA589836 IVA655371:IVA655372 IVA720907:IVA720908 IVA786443:IVA786444 IVA851979:IVA851980 IVA917515:IVA917516 IVA983051:IVA983052 JEX10:JEX12 JEW65547:JEW65548 JEW131083:JEW131084 JEW196619:JEW196620 JEW262155:JEW262156 JEW327691:JEW327692 JEW393227:JEW393228 JEW458763:JEW458764 JEW524299:JEW524300 JEW589835:JEW589836 JEW655371:JEW655372 JEW720907:JEW720908 JEW786443:JEW786444 JEW851979:JEW851980 JEW917515:JEW917516 JEW983051:JEW983052 JOT10:JOT12 JOS65547:JOS65548 JOS131083:JOS131084 JOS196619:JOS196620 JOS262155:JOS262156 JOS327691:JOS327692 JOS393227:JOS393228 JOS458763:JOS458764 JOS524299:JOS524300 JOS589835:JOS589836 JOS655371:JOS655372 JOS720907:JOS720908 JOS786443:JOS786444 JOS851979:JOS851980 JOS917515:JOS917516 JOS983051:JOS983052 JYP10:JYP12 JYO65547:JYO65548 JYO131083:JYO131084 JYO196619:JYO196620 JYO262155:JYO262156 JYO327691:JYO327692 JYO393227:JYO393228 JYO458763:JYO458764 JYO524299:JYO524300 JYO589835:JYO589836 JYO655371:JYO655372 JYO720907:JYO720908 JYO786443:JYO786444 JYO851979:JYO851980 JYO917515:JYO917516 JYO983051:JYO983052 KIL10:KIL12 KIK65547:KIK65548 KIK131083:KIK131084 KIK196619:KIK196620 KIK262155:KIK262156 KIK327691:KIK327692 KIK393227:KIK393228 KIK458763:KIK458764 KIK524299:KIK524300 KIK589835:KIK589836 KIK655371:KIK655372 KIK720907:KIK720908 KIK786443:KIK786444 KIK851979:KIK851980 KIK917515:KIK917516 KIK983051:KIK983052 KSH10:KSH12 KSG65547:KSG65548 KSG131083:KSG131084 KSG196619:KSG196620 KSG262155:KSG262156 KSG327691:KSG327692 KSG393227:KSG393228 KSG458763:KSG458764 KSG524299:KSG524300 KSG589835:KSG589836 KSG655371:KSG655372 KSG720907:KSG720908 KSG786443:KSG786444 KSG851979:KSG851980 KSG917515:KSG917516 KSG983051:KSG983052 LCD10:LCD12 LCC65547:LCC65548 LCC131083:LCC131084 LCC196619:LCC196620 LCC262155:LCC262156 LCC327691:LCC327692 LCC393227:LCC393228 LCC458763:LCC458764 LCC524299:LCC524300 LCC589835:LCC589836 LCC655371:LCC655372 LCC720907:LCC720908 LCC786443:LCC786444 LCC851979:LCC851980 LCC917515:LCC917516 LCC983051:LCC983052 LLZ10:LLZ12 LLY65547:LLY65548 LLY131083:LLY131084 LLY196619:LLY196620 LLY262155:LLY262156 LLY327691:LLY327692 LLY393227:LLY393228 LLY458763:LLY458764 LLY524299:LLY524300 LLY589835:LLY589836 LLY655371:LLY655372 LLY720907:LLY720908 LLY786443:LLY786444 LLY851979:LLY851980 LLY917515:LLY917516 LLY983051:LLY983052 LVV10:LVV12 LVU65547:LVU65548 LVU131083:LVU131084 LVU196619:LVU196620 LVU262155:LVU262156 LVU327691:LVU327692 LVU393227:LVU393228 LVU458763:LVU458764 LVU524299:LVU524300 LVU589835:LVU589836 LVU655371:LVU655372 LVU720907:LVU720908 LVU786443:LVU786444 LVU851979:LVU851980 LVU917515:LVU917516 LVU983051:LVU983052 MFR10:MFR12 MFQ65547:MFQ65548 MFQ131083:MFQ131084 MFQ196619:MFQ196620 MFQ262155:MFQ262156 MFQ327691:MFQ327692 MFQ393227:MFQ393228 MFQ458763:MFQ458764 MFQ524299:MFQ524300 MFQ589835:MFQ589836 MFQ655371:MFQ655372 MFQ720907:MFQ720908 MFQ786443:MFQ786444 MFQ851979:MFQ851980 MFQ917515:MFQ917516 MFQ983051:MFQ983052 MPN10:MPN12 MPM65547:MPM65548 MPM131083:MPM131084 MPM196619:MPM196620 MPM262155:MPM262156 MPM327691:MPM327692 MPM393227:MPM393228 MPM458763:MPM458764 MPM524299:MPM524300 MPM589835:MPM589836 MPM655371:MPM655372 MPM720907:MPM720908 MPM786443:MPM786444 MPM851979:MPM851980 MPM917515:MPM917516 MPM983051:MPM983052 MZJ10:MZJ12 MZI65547:MZI65548 MZI131083:MZI131084 MZI196619:MZI196620 MZI262155:MZI262156 MZI327691:MZI327692 MZI393227:MZI393228 MZI458763:MZI458764 MZI524299:MZI524300 MZI589835:MZI589836 MZI655371:MZI655372 MZI720907:MZI720908 MZI786443:MZI786444 MZI851979:MZI851980 MZI917515:MZI917516 MZI983051:MZI983052 NJF10:NJF12 NJE65547:NJE65548 NJE131083:NJE131084 NJE196619:NJE196620 NJE262155:NJE262156 NJE327691:NJE327692 NJE393227:NJE393228 NJE458763:NJE458764 NJE524299:NJE524300 NJE589835:NJE589836 NJE655371:NJE655372 NJE720907:NJE720908 NJE786443:NJE786444 NJE851979:NJE851980 NJE917515:NJE917516 NJE983051:NJE983052 NTB10:NTB12 NTA65547:NTA65548 NTA131083:NTA131084 NTA196619:NTA196620 NTA262155:NTA262156 NTA327691:NTA327692 NTA393227:NTA393228 NTA458763:NTA458764 NTA524299:NTA524300 NTA589835:NTA589836 NTA655371:NTA655372 NTA720907:NTA720908 NTA786443:NTA786444 NTA851979:NTA851980 NTA917515:NTA917516 NTA983051:NTA983052 OCX10:OCX12 OCW65547:OCW65548 OCW131083:OCW131084 OCW196619:OCW196620 OCW262155:OCW262156 OCW327691:OCW327692 OCW393227:OCW393228 OCW458763:OCW458764 OCW524299:OCW524300 OCW589835:OCW589836 OCW655371:OCW655372 OCW720907:OCW720908 OCW786443:OCW786444 OCW851979:OCW851980 OCW917515:OCW917516 OCW983051:OCW983052 OMT10:OMT12 OMS65547:OMS65548 OMS131083:OMS131084 OMS196619:OMS196620 OMS262155:OMS262156 OMS327691:OMS327692 OMS393227:OMS393228 OMS458763:OMS458764 OMS524299:OMS524300 OMS589835:OMS589836 OMS655371:OMS655372 OMS720907:OMS720908 OMS786443:OMS786444 OMS851979:OMS851980 OMS917515:OMS917516 OMS983051:OMS983052 OWP10:OWP12 OWO65547:OWO65548 OWO131083:OWO131084 OWO196619:OWO196620 OWO262155:OWO262156 OWO327691:OWO327692 OWO393227:OWO393228 OWO458763:OWO458764 OWO524299:OWO524300 OWO589835:OWO589836 OWO655371:OWO655372 OWO720907:OWO720908 OWO786443:OWO786444 OWO851979:OWO851980 OWO917515:OWO917516 OWO983051:OWO983052 PGL10:PGL12 PGK65547:PGK65548 PGK131083:PGK131084 PGK196619:PGK196620 PGK262155:PGK262156 PGK327691:PGK327692 PGK393227:PGK393228 PGK458763:PGK458764 PGK524299:PGK524300 PGK589835:PGK589836 PGK655371:PGK655372 PGK720907:PGK720908 PGK786443:PGK786444 PGK851979:PGK851980 PGK917515:PGK917516 PGK983051:PGK983052 PQH10:PQH12 PQG65547:PQG65548 PQG131083:PQG131084 PQG196619:PQG196620 PQG262155:PQG262156 PQG327691:PQG327692 PQG393227:PQG393228 PQG458763:PQG458764 PQG524299:PQG524300 PQG589835:PQG589836 PQG655371:PQG655372 PQG720907:PQG720908 PQG786443:PQG786444 PQG851979:PQG851980 PQG917515:PQG917516 PQG983051:PQG983052 QAD10:QAD12 QAC65547:QAC65548 QAC131083:QAC131084 QAC196619:QAC196620 QAC262155:QAC262156 QAC327691:QAC327692 QAC393227:QAC393228 QAC458763:QAC458764 QAC524299:QAC524300 QAC589835:QAC589836 QAC655371:QAC655372 QAC720907:QAC720908 QAC786443:QAC786444 QAC851979:QAC851980 QAC917515:QAC917516 QAC983051:QAC983052 QJZ10:QJZ12 QJY65547:QJY65548 QJY131083:QJY131084 QJY196619:QJY196620 QJY262155:QJY262156 QJY327691:QJY327692 QJY393227:QJY393228 QJY458763:QJY458764 QJY524299:QJY524300 QJY589835:QJY589836 QJY655371:QJY655372 QJY720907:QJY720908 QJY786443:QJY786444 QJY851979:QJY851980 QJY917515:QJY917516 QJY983051:QJY983052 QTV10:QTV12 QTU65547:QTU65548 QTU131083:QTU131084 QTU196619:QTU196620 QTU262155:QTU262156 QTU327691:QTU327692 QTU393227:QTU393228 QTU458763:QTU458764 QTU524299:QTU524300 QTU589835:QTU589836 QTU655371:QTU655372 QTU720907:QTU720908 QTU786443:QTU786444 QTU851979:QTU851980 QTU917515:QTU917516 QTU983051:QTU983052 RDR10:RDR12 RDQ65547:RDQ65548 RDQ131083:RDQ131084 RDQ196619:RDQ196620 RDQ262155:RDQ262156 RDQ327691:RDQ327692 RDQ393227:RDQ393228 RDQ458763:RDQ458764 RDQ524299:RDQ524300 RDQ589835:RDQ589836 RDQ655371:RDQ655372 RDQ720907:RDQ720908 RDQ786443:RDQ786444 RDQ851979:RDQ851980 RDQ917515:RDQ917516 RDQ983051:RDQ983052 RNN10:RNN12 RNM65547:RNM65548 RNM131083:RNM131084 RNM196619:RNM196620 RNM262155:RNM262156 RNM327691:RNM327692 RNM393227:RNM393228 RNM458763:RNM458764 RNM524299:RNM524300 RNM589835:RNM589836 RNM655371:RNM655372 RNM720907:RNM720908 RNM786443:RNM786444 RNM851979:RNM851980 RNM917515:RNM917516 RNM983051:RNM983052 RXJ10:RXJ12 RXI65547:RXI65548 RXI131083:RXI131084 RXI196619:RXI196620 RXI262155:RXI262156 RXI327691:RXI327692 RXI393227:RXI393228 RXI458763:RXI458764 RXI524299:RXI524300 RXI589835:RXI589836 RXI655371:RXI655372 RXI720907:RXI720908 RXI786443:RXI786444 RXI851979:RXI851980 RXI917515:RXI917516 RXI983051:RXI983052 SHF10:SHF12 SHE65547:SHE65548 SHE131083:SHE131084 SHE196619:SHE196620 SHE262155:SHE262156 SHE327691:SHE327692 SHE393227:SHE393228 SHE458763:SHE458764 SHE524299:SHE524300 SHE589835:SHE589836 SHE655371:SHE655372 SHE720907:SHE720908 SHE786443:SHE786444 SHE851979:SHE851980 SHE917515:SHE917516 SHE983051:SHE983052 SRB10:SRB12 SRA65547:SRA65548 SRA131083:SRA131084 SRA196619:SRA196620 SRA262155:SRA262156 SRA327691:SRA327692 SRA393227:SRA393228 SRA458763:SRA458764 SRA524299:SRA524300 SRA589835:SRA589836 SRA655371:SRA655372 SRA720907:SRA720908 SRA786443:SRA786444 SRA851979:SRA851980 SRA917515:SRA917516 SRA983051:SRA983052 TAX10:TAX12 TAW65547:TAW65548 TAW131083:TAW131084 TAW196619:TAW196620 TAW262155:TAW262156 TAW327691:TAW327692 TAW393227:TAW393228 TAW458763:TAW458764 TAW524299:TAW524300 TAW589835:TAW589836 TAW655371:TAW655372 TAW720907:TAW720908 TAW786443:TAW786444 TAW851979:TAW851980 TAW917515:TAW917516 TAW983051:TAW983052 TKT10:TKT12 TKS65547:TKS65548 TKS131083:TKS131084 TKS196619:TKS196620 TKS262155:TKS262156 TKS327691:TKS327692 TKS393227:TKS393228 TKS458763:TKS458764 TKS524299:TKS524300 TKS589835:TKS589836 TKS655371:TKS655372 TKS720907:TKS720908 TKS786443:TKS786444 TKS851979:TKS851980 TKS917515:TKS917516 TKS983051:TKS983052 TUP10:TUP12 TUO65547:TUO65548 TUO131083:TUO131084 TUO196619:TUO196620 TUO262155:TUO262156 TUO327691:TUO327692 TUO393227:TUO393228 TUO458763:TUO458764 TUO524299:TUO524300 TUO589835:TUO589836 TUO655371:TUO655372 TUO720907:TUO720908 TUO786443:TUO786444 TUO851979:TUO851980 TUO917515:TUO917516 TUO983051:TUO983052 UEL10:UEL12 UEK65547:UEK65548 UEK131083:UEK131084 UEK196619:UEK196620 UEK262155:UEK262156 UEK327691:UEK327692 UEK393227:UEK393228 UEK458763:UEK458764 UEK524299:UEK524300 UEK589835:UEK589836 UEK655371:UEK655372 UEK720907:UEK720908 UEK786443:UEK786444 UEK851979:UEK851980 UEK917515:UEK917516 UEK983051:UEK983052 UOH10:UOH12 UOG65547:UOG65548 UOG131083:UOG131084 UOG196619:UOG196620 UOG262155:UOG262156 UOG327691:UOG327692 UOG393227:UOG393228 UOG458763:UOG458764 UOG524299:UOG524300 UOG589835:UOG589836 UOG655371:UOG655372 UOG720907:UOG720908 UOG786443:UOG786444 UOG851979:UOG851980 UOG917515:UOG917516 UOG983051:UOG983052 UYD10:UYD12 UYC65547:UYC65548 UYC131083:UYC131084 UYC196619:UYC196620 UYC262155:UYC262156 UYC327691:UYC327692 UYC393227:UYC393228 UYC458763:UYC458764 UYC524299:UYC524300 UYC589835:UYC589836 UYC655371:UYC655372 UYC720907:UYC720908 UYC786443:UYC786444 UYC851979:UYC851980 UYC917515:UYC917516 UYC983051:UYC983052 VHZ10:VHZ12 VHY65547:VHY65548 VHY131083:VHY131084 VHY196619:VHY196620 VHY262155:VHY262156 VHY327691:VHY327692 VHY393227:VHY393228 VHY458763:VHY458764 VHY524299:VHY524300 VHY589835:VHY589836 VHY655371:VHY655372 VHY720907:VHY720908 VHY786443:VHY786444 VHY851979:VHY851980 VHY917515:VHY917516 VHY983051:VHY983052 VRV10:VRV12 VRU65547:VRU65548 VRU131083:VRU131084 VRU196619:VRU196620 VRU262155:VRU262156 VRU327691:VRU327692 VRU393227:VRU393228 VRU458763:VRU458764 VRU524299:VRU524300 VRU589835:VRU589836 VRU655371:VRU655372 VRU720907:VRU720908 VRU786443:VRU786444 VRU851979:VRU851980 VRU917515:VRU917516 VRU983051:VRU983052 WBR10:WBR12 WBQ65547:WBQ65548 WBQ131083:WBQ131084 WBQ196619:WBQ196620 WBQ262155:WBQ262156 WBQ327691:WBQ327692 WBQ393227:WBQ393228 WBQ458763:WBQ458764 WBQ524299:WBQ524300 WBQ589835:WBQ589836 WBQ655371:WBQ655372 WBQ720907:WBQ720908 WBQ786443:WBQ786444 WBQ851979:WBQ851980 WBQ917515:WBQ917516 WBQ983051:WBQ983052 WLN10:WLN12 WLM65547:WLM65548 WLM131083:WLM131084 WLM196619:WLM196620 WLM262155:WLM262156 WLM327691:WLM327692 WLM393227:WLM393228 WLM458763:WLM458764 WLM524299:WLM524300 WLM589835:WLM589836 WLM655371:WLM655372 WLM720907:WLM720908 WLM786443:WLM786444 WLM851979:WLM851980 WLM917515:WLM917516 WLM983051:WLM983052 WVJ10:WVJ12 WVI65547:WVI65548 WVI131083:WVI131084 WVI196619:WVI196620 WVI262155:WVI262156 WVI327691:WVI327692 WVI393227:WVI393228 WVI458763:WVI458764 WVI524299:WVI524300 WVI589835:WVI589836 WVI655371:WVI655372 WVI720907:WVI720908 WVI786443:WVI786444 WVI851979:WVI851980 WVI917515:WVI917516 WVI983051:WVI983052" xr:uid="{19F2EA93-9A13-4E7E-B6AD-B43C5B03924C}"/>
    <dataValidation allowBlank="1" showInputMessage="1" showErrorMessage="1" prompt="Written Work Percentage Score" sqref="I65547:I65649 I131083:I131185 I196619:I196721 I262155:I262257 I327691:I327793 I393227:I393329 I458763:I458865 I524299:I524401 I589835:I589937 I655371:I655473 I720907:I721009 I786443:I786545 I851979:I852081 I917515:I917617 I983051:I983153 IX65547:IX65649 IX131083:IX131185 IX196619:IX196721 IX262155:IX262257 IX327691:IX327793 IX393227:IX393329 IX458763:IX458865 IX524299:IX524401 IX589835:IX589937 IX655371:IX655473 IX720907:IX721009 IX786443:IX786545 IX851979:IX852081 IX917515:IX917617 IX983051:IX983153 SU10:SU63 ST65547:ST65649 ST131083:ST131185 ST196619:ST196721 ST262155:ST262257 ST327691:ST327793 ST393227:ST393329 ST458763:ST458865 ST524299:ST524401 ST589835:ST589937 ST655371:ST655473 ST720907:ST721009 ST786443:ST786545 ST851979:ST852081 ST917515:ST917617 ST983051:ST983153 ACQ10:ACQ63 ACP65547:ACP65649 ACP131083:ACP131185 ACP196619:ACP196721 ACP262155:ACP262257 ACP327691:ACP327793 ACP393227:ACP393329 ACP458763:ACP458865 ACP524299:ACP524401 ACP589835:ACP589937 ACP655371:ACP655473 ACP720907:ACP721009 ACP786443:ACP786545 ACP851979:ACP852081 ACP917515:ACP917617 ACP983051:ACP983153 AMM10:AMM63 AML65547:AML65649 AML131083:AML131185 AML196619:AML196721 AML262155:AML262257 AML327691:AML327793 AML393227:AML393329 AML458763:AML458865 AML524299:AML524401 AML589835:AML589937 AML655371:AML655473 AML720907:AML721009 AML786443:AML786545 AML851979:AML852081 AML917515:AML917617 AML983051:AML983153 AWI10:AWI63 AWH65547:AWH65649 AWH131083:AWH131185 AWH196619:AWH196721 AWH262155:AWH262257 AWH327691:AWH327793 AWH393227:AWH393329 AWH458763:AWH458865 AWH524299:AWH524401 AWH589835:AWH589937 AWH655371:AWH655473 AWH720907:AWH721009 AWH786443:AWH786545 AWH851979:AWH852081 AWH917515:AWH917617 AWH983051:AWH983153 BGE10:BGE63 BGD65547:BGD65649 BGD131083:BGD131185 BGD196619:BGD196721 BGD262155:BGD262257 BGD327691:BGD327793 BGD393227:BGD393329 BGD458763:BGD458865 BGD524299:BGD524401 BGD589835:BGD589937 BGD655371:BGD655473 BGD720907:BGD721009 BGD786443:BGD786545 BGD851979:BGD852081 BGD917515:BGD917617 BGD983051:BGD983153 BQA10:BQA63 BPZ65547:BPZ65649 BPZ131083:BPZ131185 BPZ196619:BPZ196721 BPZ262155:BPZ262257 BPZ327691:BPZ327793 BPZ393227:BPZ393329 BPZ458763:BPZ458865 BPZ524299:BPZ524401 BPZ589835:BPZ589937 BPZ655371:BPZ655473 BPZ720907:BPZ721009 BPZ786443:BPZ786545 BPZ851979:BPZ852081 BPZ917515:BPZ917617 BPZ983051:BPZ983153 BZW10:BZW63 BZV65547:BZV65649 BZV131083:BZV131185 BZV196619:BZV196721 BZV262155:BZV262257 BZV327691:BZV327793 BZV393227:BZV393329 BZV458763:BZV458865 BZV524299:BZV524401 BZV589835:BZV589937 BZV655371:BZV655473 BZV720907:BZV721009 BZV786443:BZV786545 BZV851979:BZV852081 BZV917515:BZV917617 BZV983051:BZV983153 CJS10:CJS63 CJR65547:CJR65649 CJR131083:CJR131185 CJR196619:CJR196721 CJR262155:CJR262257 CJR327691:CJR327793 CJR393227:CJR393329 CJR458763:CJR458865 CJR524299:CJR524401 CJR589835:CJR589937 CJR655371:CJR655473 CJR720907:CJR721009 CJR786443:CJR786545 CJR851979:CJR852081 CJR917515:CJR917617 CJR983051:CJR983153 CTO10:CTO63 CTN65547:CTN65649 CTN131083:CTN131185 CTN196619:CTN196721 CTN262155:CTN262257 CTN327691:CTN327793 CTN393227:CTN393329 CTN458763:CTN458865 CTN524299:CTN524401 CTN589835:CTN589937 CTN655371:CTN655473 CTN720907:CTN721009 CTN786443:CTN786545 CTN851979:CTN852081 CTN917515:CTN917617 CTN983051:CTN983153 DDK10:DDK63 DDJ65547:DDJ65649 DDJ131083:DDJ131185 DDJ196619:DDJ196721 DDJ262155:DDJ262257 DDJ327691:DDJ327793 DDJ393227:DDJ393329 DDJ458763:DDJ458865 DDJ524299:DDJ524401 DDJ589835:DDJ589937 DDJ655371:DDJ655473 DDJ720907:DDJ721009 DDJ786443:DDJ786545 DDJ851979:DDJ852081 DDJ917515:DDJ917617 DDJ983051:DDJ983153 DNG10:DNG63 DNF65547:DNF65649 DNF131083:DNF131185 DNF196619:DNF196721 DNF262155:DNF262257 DNF327691:DNF327793 DNF393227:DNF393329 DNF458763:DNF458865 DNF524299:DNF524401 DNF589835:DNF589937 DNF655371:DNF655473 DNF720907:DNF721009 DNF786443:DNF786545 DNF851979:DNF852081 DNF917515:DNF917617 DNF983051:DNF983153 DXC10:DXC63 DXB65547:DXB65649 DXB131083:DXB131185 DXB196619:DXB196721 DXB262155:DXB262257 DXB327691:DXB327793 DXB393227:DXB393329 DXB458763:DXB458865 DXB524299:DXB524401 DXB589835:DXB589937 DXB655371:DXB655473 DXB720907:DXB721009 DXB786443:DXB786545 DXB851979:DXB852081 DXB917515:DXB917617 DXB983051:DXB983153 EGY10:EGY63 EGX65547:EGX65649 EGX131083:EGX131185 EGX196619:EGX196721 EGX262155:EGX262257 EGX327691:EGX327793 EGX393227:EGX393329 EGX458763:EGX458865 EGX524299:EGX524401 EGX589835:EGX589937 EGX655371:EGX655473 EGX720907:EGX721009 EGX786443:EGX786545 EGX851979:EGX852081 EGX917515:EGX917617 EGX983051:EGX983153 EQU10:EQU63 EQT65547:EQT65649 EQT131083:EQT131185 EQT196619:EQT196721 EQT262155:EQT262257 EQT327691:EQT327793 EQT393227:EQT393329 EQT458763:EQT458865 EQT524299:EQT524401 EQT589835:EQT589937 EQT655371:EQT655473 EQT720907:EQT721009 EQT786443:EQT786545 EQT851979:EQT852081 EQT917515:EQT917617 EQT983051:EQT983153 FAQ10:FAQ63 FAP65547:FAP65649 FAP131083:FAP131185 FAP196619:FAP196721 FAP262155:FAP262257 FAP327691:FAP327793 FAP393227:FAP393329 FAP458763:FAP458865 FAP524299:FAP524401 FAP589835:FAP589937 FAP655371:FAP655473 FAP720907:FAP721009 FAP786443:FAP786545 FAP851979:FAP852081 FAP917515:FAP917617 FAP983051:FAP983153 FKM10:FKM63 FKL65547:FKL65649 FKL131083:FKL131185 FKL196619:FKL196721 FKL262155:FKL262257 FKL327691:FKL327793 FKL393227:FKL393329 FKL458763:FKL458865 FKL524299:FKL524401 FKL589835:FKL589937 FKL655371:FKL655473 FKL720907:FKL721009 FKL786443:FKL786545 FKL851979:FKL852081 FKL917515:FKL917617 FKL983051:FKL983153 FUI10:FUI63 FUH65547:FUH65649 FUH131083:FUH131185 FUH196619:FUH196721 FUH262155:FUH262257 FUH327691:FUH327793 FUH393227:FUH393329 FUH458763:FUH458865 FUH524299:FUH524401 FUH589835:FUH589937 FUH655371:FUH655473 FUH720907:FUH721009 FUH786443:FUH786545 FUH851979:FUH852081 FUH917515:FUH917617 FUH983051:FUH983153 GEE10:GEE63 GED65547:GED65649 GED131083:GED131185 GED196619:GED196721 GED262155:GED262257 GED327691:GED327793 GED393227:GED393329 GED458763:GED458865 GED524299:GED524401 GED589835:GED589937 GED655371:GED655473 GED720907:GED721009 GED786443:GED786545 GED851979:GED852081 GED917515:GED917617 GED983051:GED983153 GOA10:GOA63 GNZ65547:GNZ65649 GNZ131083:GNZ131185 GNZ196619:GNZ196721 GNZ262155:GNZ262257 GNZ327691:GNZ327793 GNZ393227:GNZ393329 GNZ458763:GNZ458865 GNZ524299:GNZ524401 GNZ589835:GNZ589937 GNZ655371:GNZ655473 GNZ720907:GNZ721009 GNZ786443:GNZ786545 GNZ851979:GNZ852081 GNZ917515:GNZ917617 GNZ983051:GNZ983153 GXW10:GXW63 GXV65547:GXV65649 GXV131083:GXV131185 GXV196619:GXV196721 GXV262155:GXV262257 GXV327691:GXV327793 GXV393227:GXV393329 GXV458763:GXV458865 GXV524299:GXV524401 GXV589835:GXV589937 GXV655371:GXV655473 GXV720907:GXV721009 GXV786443:GXV786545 GXV851979:GXV852081 GXV917515:GXV917617 GXV983051:GXV983153 HHS10:HHS63 HHR65547:HHR65649 HHR131083:HHR131185 HHR196619:HHR196721 HHR262155:HHR262257 HHR327691:HHR327793 HHR393227:HHR393329 HHR458763:HHR458865 HHR524299:HHR524401 HHR589835:HHR589937 HHR655371:HHR655473 HHR720907:HHR721009 HHR786443:HHR786545 HHR851979:HHR852081 HHR917515:HHR917617 HHR983051:HHR983153 HRO10:HRO63 HRN65547:HRN65649 HRN131083:HRN131185 HRN196619:HRN196721 HRN262155:HRN262257 HRN327691:HRN327793 HRN393227:HRN393329 HRN458763:HRN458865 HRN524299:HRN524401 HRN589835:HRN589937 HRN655371:HRN655473 HRN720907:HRN721009 HRN786443:HRN786545 HRN851979:HRN852081 HRN917515:HRN917617 HRN983051:HRN983153 IBK10:IBK63 IBJ65547:IBJ65649 IBJ131083:IBJ131185 IBJ196619:IBJ196721 IBJ262155:IBJ262257 IBJ327691:IBJ327793 IBJ393227:IBJ393329 IBJ458763:IBJ458865 IBJ524299:IBJ524401 IBJ589835:IBJ589937 IBJ655371:IBJ655473 IBJ720907:IBJ721009 IBJ786443:IBJ786545 IBJ851979:IBJ852081 IBJ917515:IBJ917617 IBJ983051:IBJ983153 ILG10:ILG63 ILF65547:ILF65649 ILF131083:ILF131185 ILF196619:ILF196721 ILF262155:ILF262257 ILF327691:ILF327793 ILF393227:ILF393329 ILF458763:ILF458865 ILF524299:ILF524401 ILF589835:ILF589937 ILF655371:ILF655473 ILF720907:ILF721009 ILF786443:ILF786545 ILF851979:ILF852081 ILF917515:ILF917617 ILF983051:ILF983153 IVC10:IVC63 IVB65547:IVB65649 IVB131083:IVB131185 IVB196619:IVB196721 IVB262155:IVB262257 IVB327691:IVB327793 IVB393227:IVB393329 IVB458763:IVB458865 IVB524299:IVB524401 IVB589835:IVB589937 IVB655371:IVB655473 IVB720907:IVB721009 IVB786443:IVB786545 IVB851979:IVB852081 IVB917515:IVB917617 IVB983051:IVB983153 JEY10:JEY63 JEX65547:JEX65649 JEX131083:JEX131185 JEX196619:JEX196721 JEX262155:JEX262257 JEX327691:JEX327793 JEX393227:JEX393329 JEX458763:JEX458865 JEX524299:JEX524401 JEX589835:JEX589937 JEX655371:JEX655473 JEX720907:JEX721009 JEX786443:JEX786545 JEX851979:JEX852081 JEX917515:JEX917617 JEX983051:JEX983153 JOU10:JOU63 JOT65547:JOT65649 JOT131083:JOT131185 JOT196619:JOT196721 JOT262155:JOT262257 JOT327691:JOT327793 JOT393227:JOT393329 JOT458763:JOT458865 JOT524299:JOT524401 JOT589835:JOT589937 JOT655371:JOT655473 JOT720907:JOT721009 JOT786443:JOT786545 JOT851979:JOT852081 JOT917515:JOT917617 JOT983051:JOT983153 JYQ10:JYQ63 JYP65547:JYP65649 JYP131083:JYP131185 JYP196619:JYP196721 JYP262155:JYP262257 JYP327691:JYP327793 JYP393227:JYP393329 JYP458763:JYP458865 JYP524299:JYP524401 JYP589835:JYP589937 JYP655371:JYP655473 JYP720907:JYP721009 JYP786443:JYP786545 JYP851979:JYP852081 JYP917515:JYP917617 JYP983051:JYP983153 KIM10:KIM63 KIL65547:KIL65649 KIL131083:KIL131185 KIL196619:KIL196721 KIL262155:KIL262257 KIL327691:KIL327793 KIL393227:KIL393329 KIL458763:KIL458865 KIL524299:KIL524401 KIL589835:KIL589937 KIL655371:KIL655473 KIL720907:KIL721009 KIL786443:KIL786545 KIL851979:KIL852081 KIL917515:KIL917617 KIL983051:KIL983153 KSI10:KSI63 KSH65547:KSH65649 KSH131083:KSH131185 KSH196619:KSH196721 KSH262155:KSH262257 KSH327691:KSH327793 KSH393227:KSH393329 KSH458763:KSH458865 KSH524299:KSH524401 KSH589835:KSH589937 KSH655371:KSH655473 KSH720907:KSH721009 KSH786443:KSH786545 KSH851979:KSH852081 KSH917515:KSH917617 KSH983051:KSH983153 LCE10:LCE63 LCD65547:LCD65649 LCD131083:LCD131185 LCD196619:LCD196721 LCD262155:LCD262257 LCD327691:LCD327793 LCD393227:LCD393329 LCD458763:LCD458865 LCD524299:LCD524401 LCD589835:LCD589937 LCD655371:LCD655473 LCD720907:LCD721009 LCD786443:LCD786545 LCD851979:LCD852081 LCD917515:LCD917617 LCD983051:LCD983153 LMA10:LMA63 LLZ65547:LLZ65649 LLZ131083:LLZ131185 LLZ196619:LLZ196721 LLZ262155:LLZ262257 LLZ327691:LLZ327793 LLZ393227:LLZ393329 LLZ458763:LLZ458865 LLZ524299:LLZ524401 LLZ589835:LLZ589937 LLZ655371:LLZ655473 LLZ720907:LLZ721009 LLZ786443:LLZ786545 LLZ851979:LLZ852081 LLZ917515:LLZ917617 LLZ983051:LLZ983153 LVW10:LVW63 LVV65547:LVV65649 LVV131083:LVV131185 LVV196619:LVV196721 LVV262155:LVV262257 LVV327691:LVV327793 LVV393227:LVV393329 LVV458763:LVV458865 LVV524299:LVV524401 LVV589835:LVV589937 LVV655371:LVV655473 LVV720907:LVV721009 LVV786443:LVV786545 LVV851979:LVV852081 LVV917515:LVV917617 LVV983051:LVV983153 MFS10:MFS63 MFR65547:MFR65649 MFR131083:MFR131185 MFR196619:MFR196721 MFR262155:MFR262257 MFR327691:MFR327793 MFR393227:MFR393329 MFR458763:MFR458865 MFR524299:MFR524401 MFR589835:MFR589937 MFR655371:MFR655473 MFR720907:MFR721009 MFR786443:MFR786545 MFR851979:MFR852081 MFR917515:MFR917617 MFR983051:MFR983153 MPO10:MPO63 MPN65547:MPN65649 MPN131083:MPN131185 MPN196619:MPN196721 MPN262155:MPN262257 MPN327691:MPN327793 MPN393227:MPN393329 MPN458763:MPN458865 MPN524299:MPN524401 MPN589835:MPN589937 MPN655371:MPN655473 MPN720907:MPN721009 MPN786443:MPN786545 MPN851979:MPN852081 MPN917515:MPN917617 MPN983051:MPN983153 MZK10:MZK63 MZJ65547:MZJ65649 MZJ131083:MZJ131185 MZJ196619:MZJ196721 MZJ262155:MZJ262257 MZJ327691:MZJ327793 MZJ393227:MZJ393329 MZJ458763:MZJ458865 MZJ524299:MZJ524401 MZJ589835:MZJ589937 MZJ655371:MZJ655473 MZJ720907:MZJ721009 MZJ786443:MZJ786545 MZJ851979:MZJ852081 MZJ917515:MZJ917617 MZJ983051:MZJ983153 NJG10:NJG63 NJF65547:NJF65649 NJF131083:NJF131185 NJF196619:NJF196721 NJF262155:NJF262257 NJF327691:NJF327793 NJF393227:NJF393329 NJF458763:NJF458865 NJF524299:NJF524401 NJF589835:NJF589937 NJF655371:NJF655473 NJF720907:NJF721009 NJF786443:NJF786545 NJF851979:NJF852081 NJF917515:NJF917617 NJF983051:NJF983153 NTC10:NTC63 NTB65547:NTB65649 NTB131083:NTB131185 NTB196619:NTB196721 NTB262155:NTB262257 NTB327691:NTB327793 NTB393227:NTB393329 NTB458763:NTB458865 NTB524299:NTB524401 NTB589835:NTB589937 NTB655371:NTB655473 NTB720907:NTB721009 NTB786443:NTB786545 NTB851979:NTB852081 NTB917515:NTB917617 NTB983051:NTB983153 OCY10:OCY63 OCX65547:OCX65649 OCX131083:OCX131185 OCX196619:OCX196721 OCX262155:OCX262257 OCX327691:OCX327793 OCX393227:OCX393329 OCX458763:OCX458865 OCX524299:OCX524401 OCX589835:OCX589937 OCX655371:OCX655473 OCX720907:OCX721009 OCX786443:OCX786545 OCX851979:OCX852081 OCX917515:OCX917617 OCX983051:OCX983153 OMU10:OMU63 OMT65547:OMT65649 OMT131083:OMT131185 OMT196619:OMT196721 OMT262155:OMT262257 OMT327691:OMT327793 OMT393227:OMT393329 OMT458763:OMT458865 OMT524299:OMT524401 OMT589835:OMT589937 OMT655371:OMT655473 OMT720907:OMT721009 OMT786443:OMT786545 OMT851979:OMT852081 OMT917515:OMT917617 OMT983051:OMT983153 OWQ10:OWQ63 OWP65547:OWP65649 OWP131083:OWP131185 OWP196619:OWP196721 OWP262155:OWP262257 OWP327691:OWP327793 OWP393227:OWP393329 OWP458763:OWP458865 OWP524299:OWP524401 OWP589835:OWP589937 OWP655371:OWP655473 OWP720907:OWP721009 OWP786443:OWP786545 OWP851979:OWP852081 OWP917515:OWP917617 OWP983051:OWP983153 PGM10:PGM63 PGL65547:PGL65649 PGL131083:PGL131185 PGL196619:PGL196721 PGL262155:PGL262257 PGL327691:PGL327793 PGL393227:PGL393329 PGL458763:PGL458865 PGL524299:PGL524401 PGL589835:PGL589937 PGL655371:PGL655473 PGL720907:PGL721009 PGL786443:PGL786545 PGL851979:PGL852081 PGL917515:PGL917617 PGL983051:PGL983153 PQI10:PQI63 PQH65547:PQH65649 PQH131083:PQH131185 PQH196619:PQH196721 PQH262155:PQH262257 PQH327691:PQH327793 PQH393227:PQH393329 PQH458763:PQH458865 PQH524299:PQH524401 PQH589835:PQH589937 PQH655371:PQH655473 PQH720907:PQH721009 PQH786443:PQH786545 PQH851979:PQH852081 PQH917515:PQH917617 PQH983051:PQH983153 QAE10:QAE63 QAD65547:QAD65649 QAD131083:QAD131185 QAD196619:QAD196721 QAD262155:QAD262257 QAD327691:QAD327793 QAD393227:QAD393329 QAD458763:QAD458865 QAD524299:QAD524401 QAD589835:QAD589937 QAD655371:QAD655473 QAD720907:QAD721009 QAD786443:QAD786545 QAD851979:QAD852081 QAD917515:QAD917617 QAD983051:QAD983153 QKA10:QKA63 QJZ65547:QJZ65649 QJZ131083:QJZ131185 QJZ196619:QJZ196721 QJZ262155:QJZ262257 QJZ327691:QJZ327793 QJZ393227:QJZ393329 QJZ458763:QJZ458865 QJZ524299:QJZ524401 QJZ589835:QJZ589937 QJZ655371:QJZ655473 QJZ720907:QJZ721009 QJZ786443:QJZ786545 QJZ851979:QJZ852081 QJZ917515:QJZ917617 QJZ983051:QJZ983153 QTW10:QTW63 QTV65547:QTV65649 QTV131083:QTV131185 QTV196619:QTV196721 QTV262155:QTV262257 QTV327691:QTV327793 QTV393227:QTV393329 QTV458763:QTV458865 QTV524299:QTV524401 QTV589835:QTV589937 QTV655371:QTV655473 QTV720907:QTV721009 QTV786443:QTV786545 QTV851979:QTV852081 QTV917515:QTV917617 QTV983051:QTV983153 RDS10:RDS63 RDR65547:RDR65649 RDR131083:RDR131185 RDR196619:RDR196721 RDR262155:RDR262257 RDR327691:RDR327793 RDR393227:RDR393329 RDR458763:RDR458865 RDR524299:RDR524401 RDR589835:RDR589937 RDR655371:RDR655473 RDR720907:RDR721009 RDR786443:RDR786545 RDR851979:RDR852081 RDR917515:RDR917617 RDR983051:RDR983153 RNO10:RNO63 RNN65547:RNN65649 RNN131083:RNN131185 RNN196619:RNN196721 RNN262155:RNN262257 RNN327691:RNN327793 RNN393227:RNN393329 RNN458763:RNN458865 RNN524299:RNN524401 RNN589835:RNN589937 RNN655371:RNN655473 RNN720907:RNN721009 RNN786443:RNN786545 RNN851979:RNN852081 RNN917515:RNN917617 RNN983051:RNN983153 RXK10:RXK63 RXJ65547:RXJ65649 RXJ131083:RXJ131185 RXJ196619:RXJ196721 RXJ262155:RXJ262257 RXJ327691:RXJ327793 RXJ393227:RXJ393329 RXJ458763:RXJ458865 RXJ524299:RXJ524401 RXJ589835:RXJ589937 RXJ655371:RXJ655473 RXJ720907:RXJ721009 RXJ786443:RXJ786545 RXJ851979:RXJ852081 RXJ917515:RXJ917617 RXJ983051:RXJ983153 SHG10:SHG63 SHF65547:SHF65649 SHF131083:SHF131185 SHF196619:SHF196721 SHF262155:SHF262257 SHF327691:SHF327793 SHF393227:SHF393329 SHF458763:SHF458865 SHF524299:SHF524401 SHF589835:SHF589937 SHF655371:SHF655473 SHF720907:SHF721009 SHF786443:SHF786545 SHF851979:SHF852081 SHF917515:SHF917617 SHF983051:SHF983153 SRC10:SRC63 SRB65547:SRB65649 SRB131083:SRB131185 SRB196619:SRB196721 SRB262155:SRB262257 SRB327691:SRB327793 SRB393227:SRB393329 SRB458763:SRB458865 SRB524299:SRB524401 SRB589835:SRB589937 SRB655371:SRB655473 SRB720907:SRB721009 SRB786443:SRB786545 SRB851979:SRB852081 SRB917515:SRB917617 SRB983051:SRB983153 TAY10:TAY63 TAX65547:TAX65649 TAX131083:TAX131185 TAX196619:TAX196721 TAX262155:TAX262257 TAX327691:TAX327793 TAX393227:TAX393329 TAX458763:TAX458865 TAX524299:TAX524401 TAX589835:TAX589937 TAX655371:TAX655473 TAX720907:TAX721009 TAX786443:TAX786545 TAX851979:TAX852081 TAX917515:TAX917617 TAX983051:TAX983153 TKU10:TKU63 TKT65547:TKT65649 TKT131083:TKT131185 TKT196619:TKT196721 TKT262155:TKT262257 TKT327691:TKT327793 TKT393227:TKT393329 TKT458763:TKT458865 TKT524299:TKT524401 TKT589835:TKT589937 TKT655371:TKT655473 TKT720907:TKT721009 TKT786443:TKT786545 TKT851979:TKT852081 TKT917515:TKT917617 TKT983051:TKT983153 TUQ10:TUQ63 TUP65547:TUP65649 TUP131083:TUP131185 TUP196619:TUP196721 TUP262155:TUP262257 TUP327691:TUP327793 TUP393227:TUP393329 TUP458763:TUP458865 TUP524299:TUP524401 TUP589835:TUP589937 TUP655371:TUP655473 TUP720907:TUP721009 TUP786443:TUP786545 TUP851979:TUP852081 TUP917515:TUP917617 TUP983051:TUP983153 UEM10:UEM63 UEL65547:UEL65649 UEL131083:UEL131185 UEL196619:UEL196721 UEL262155:UEL262257 UEL327691:UEL327793 UEL393227:UEL393329 UEL458763:UEL458865 UEL524299:UEL524401 UEL589835:UEL589937 UEL655371:UEL655473 UEL720907:UEL721009 UEL786443:UEL786545 UEL851979:UEL852081 UEL917515:UEL917617 UEL983051:UEL983153 UOI10:UOI63 UOH65547:UOH65649 UOH131083:UOH131185 UOH196619:UOH196721 UOH262155:UOH262257 UOH327691:UOH327793 UOH393227:UOH393329 UOH458763:UOH458865 UOH524299:UOH524401 UOH589835:UOH589937 UOH655371:UOH655473 UOH720907:UOH721009 UOH786443:UOH786545 UOH851979:UOH852081 UOH917515:UOH917617 UOH983051:UOH983153 UYE10:UYE63 UYD65547:UYD65649 UYD131083:UYD131185 UYD196619:UYD196721 UYD262155:UYD262257 UYD327691:UYD327793 UYD393227:UYD393329 UYD458763:UYD458865 UYD524299:UYD524401 UYD589835:UYD589937 UYD655371:UYD655473 UYD720907:UYD721009 UYD786443:UYD786545 UYD851979:UYD852081 UYD917515:UYD917617 UYD983051:UYD983153 VIA10:VIA63 VHZ65547:VHZ65649 VHZ131083:VHZ131185 VHZ196619:VHZ196721 VHZ262155:VHZ262257 VHZ327691:VHZ327793 VHZ393227:VHZ393329 VHZ458763:VHZ458865 VHZ524299:VHZ524401 VHZ589835:VHZ589937 VHZ655371:VHZ655473 VHZ720907:VHZ721009 VHZ786443:VHZ786545 VHZ851979:VHZ852081 VHZ917515:VHZ917617 VHZ983051:VHZ983153 VRW10:VRW63 VRV65547:VRV65649 VRV131083:VRV131185 VRV196619:VRV196721 VRV262155:VRV262257 VRV327691:VRV327793 VRV393227:VRV393329 VRV458763:VRV458865 VRV524299:VRV524401 VRV589835:VRV589937 VRV655371:VRV655473 VRV720907:VRV721009 VRV786443:VRV786545 VRV851979:VRV852081 VRV917515:VRV917617 VRV983051:VRV983153 WBS10:WBS63 WBR65547:WBR65649 WBR131083:WBR131185 WBR196619:WBR196721 WBR262155:WBR262257 WBR327691:WBR327793 WBR393227:WBR393329 WBR458763:WBR458865 WBR524299:WBR524401 WBR589835:WBR589937 WBR655371:WBR655473 WBR720907:WBR721009 WBR786443:WBR786545 WBR851979:WBR852081 WBR917515:WBR917617 WBR983051:WBR983153 WLO10:WLO63 WLN65547:WLN65649 WLN131083:WLN131185 WLN196619:WLN196721 WLN262155:WLN262257 WLN327691:WLN327793 WLN393227:WLN393329 WLN458763:WLN458865 WLN524299:WLN524401 WLN589835:WLN589937 WLN655371:WLN655473 WLN720907:WLN721009 WLN786443:WLN786545 WLN851979:WLN852081 WLN917515:WLN917617 WLN983051:WLN983153 WVK10:WVK63 WVJ983051:WVJ983153 WVJ65547:WVJ65649 WVJ131083:WVJ131185 WVJ196619:WVJ196721 WVJ262155:WVJ262257 WVJ327691:WVJ327793 WVJ393227:WVJ393329 WVJ458763:WVJ458865 WVJ524299:WVJ524401 WVJ589835:WVJ589937 WVJ655371:WVJ655473 WVJ720907:WVJ721009 WVJ786443:WVJ786545 WVJ851979:WVJ852081 WVJ917515:WVJ917617 IY10:IY63 WVK66:WVK114 WLO66:WLO114 WBS66:WBS114 VRW66:VRW114 VIA66:VIA114 UYE66:UYE114 UOI66:UOI114 UEM66:UEM114 TUQ66:TUQ114 TKU66:TKU114 TAY66:TAY114 SRC66:SRC114 SHG66:SHG114 RXK66:RXK114 RNO66:RNO114 RDS66:RDS114 QTW66:QTW114 QKA66:QKA114 QAE66:QAE114 PQI66:PQI114 PGM66:PGM114 OWQ66:OWQ114 OMU66:OMU114 OCY66:OCY114 NTC66:NTC114 NJG66:NJG114 MZK66:MZK114 MPO66:MPO114 MFS66:MFS114 LVW66:LVW114 LMA66:LMA114 LCE66:LCE114 KSI66:KSI114 KIM66:KIM114 JYQ66:JYQ114 JOU66:JOU114 JEY66:JEY114 IVC66:IVC114 ILG66:ILG114 IBK66:IBK114 HRO66:HRO114 HHS66:HHS114 GXW66:GXW114 GOA66:GOA114 GEE66:GEE114 FUI66:FUI114 FKM66:FKM114 FAQ66:FAQ114 EQU66:EQU114 EGY66:EGY114 DXC66:DXC114 DNG66:DNG114 DDK66:DDK114 CTO66:CTO114 CJS66:CJS114 BZW66:BZW114 BQA66:BQA114 BGE66:BGE114 AWI66:AWI114 AMM66:AMM114 ACQ66:ACQ114 SU66:SU114 IY66:IY114" xr:uid="{CD2D2AD1-CCC8-4352-902A-F4F67CEC123C}"/>
    <dataValidation allowBlank="1" showInputMessage="1" showErrorMessage="1" prompt="Written Work Weighted Score" sqref="J65547:J65649 J131083:J131185 J196619:J196721 J262155:J262257 J327691:J327793 J393227:J393329 J458763:J458865 J524299:J524401 J589835:J589937 J655371:J655473 J720907:J721009 J786443:J786545 J851979:J852081 J917515:J917617 J983051:J983153 IY65547:IY65649 IY131083:IY131185 IY196619:IY196721 IY262155:IY262257 IY327691:IY327793 IY393227:IY393329 IY458763:IY458865 IY524299:IY524401 IY589835:IY589937 IY655371:IY655473 IY720907:IY721009 IY786443:IY786545 IY851979:IY852081 IY917515:IY917617 IY983051:IY983153 SV10:SV63 SU65547:SU65649 SU131083:SU131185 SU196619:SU196721 SU262155:SU262257 SU327691:SU327793 SU393227:SU393329 SU458763:SU458865 SU524299:SU524401 SU589835:SU589937 SU655371:SU655473 SU720907:SU721009 SU786443:SU786545 SU851979:SU852081 SU917515:SU917617 SU983051:SU983153 ACR10:ACR63 ACQ65547:ACQ65649 ACQ131083:ACQ131185 ACQ196619:ACQ196721 ACQ262155:ACQ262257 ACQ327691:ACQ327793 ACQ393227:ACQ393329 ACQ458763:ACQ458865 ACQ524299:ACQ524401 ACQ589835:ACQ589937 ACQ655371:ACQ655473 ACQ720907:ACQ721009 ACQ786443:ACQ786545 ACQ851979:ACQ852081 ACQ917515:ACQ917617 ACQ983051:ACQ983153 AMN10:AMN63 AMM65547:AMM65649 AMM131083:AMM131185 AMM196619:AMM196721 AMM262155:AMM262257 AMM327691:AMM327793 AMM393227:AMM393329 AMM458763:AMM458865 AMM524299:AMM524401 AMM589835:AMM589937 AMM655371:AMM655473 AMM720907:AMM721009 AMM786443:AMM786545 AMM851979:AMM852081 AMM917515:AMM917617 AMM983051:AMM983153 AWJ10:AWJ63 AWI65547:AWI65649 AWI131083:AWI131185 AWI196619:AWI196721 AWI262155:AWI262257 AWI327691:AWI327793 AWI393227:AWI393329 AWI458763:AWI458865 AWI524299:AWI524401 AWI589835:AWI589937 AWI655371:AWI655473 AWI720907:AWI721009 AWI786443:AWI786545 AWI851979:AWI852081 AWI917515:AWI917617 AWI983051:AWI983153 BGF10:BGF63 BGE65547:BGE65649 BGE131083:BGE131185 BGE196619:BGE196721 BGE262155:BGE262257 BGE327691:BGE327793 BGE393227:BGE393329 BGE458763:BGE458865 BGE524299:BGE524401 BGE589835:BGE589937 BGE655371:BGE655473 BGE720907:BGE721009 BGE786443:BGE786545 BGE851979:BGE852081 BGE917515:BGE917617 BGE983051:BGE983153 BQB10:BQB63 BQA65547:BQA65649 BQA131083:BQA131185 BQA196619:BQA196721 BQA262155:BQA262257 BQA327691:BQA327793 BQA393227:BQA393329 BQA458763:BQA458865 BQA524299:BQA524401 BQA589835:BQA589937 BQA655371:BQA655473 BQA720907:BQA721009 BQA786443:BQA786545 BQA851979:BQA852081 BQA917515:BQA917617 BQA983051:BQA983153 BZX10:BZX63 BZW65547:BZW65649 BZW131083:BZW131185 BZW196619:BZW196721 BZW262155:BZW262257 BZW327691:BZW327793 BZW393227:BZW393329 BZW458763:BZW458865 BZW524299:BZW524401 BZW589835:BZW589937 BZW655371:BZW655473 BZW720907:BZW721009 BZW786443:BZW786545 BZW851979:BZW852081 BZW917515:BZW917617 BZW983051:BZW983153 CJT10:CJT63 CJS65547:CJS65649 CJS131083:CJS131185 CJS196619:CJS196721 CJS262155:CJS262257 CJS327691:CJS327793 CJS393227:CJS393329 CJS458763:CJS458865 CJS524299:CJS524401 CJS589835:CJS589937 CJS655371:CJS655473 CJS720907:CJS721009 CJS786443:CJS786545 CJS851979:CJS852081 CJS917515:CJS917617 CJS983051:CJS983153 CTP10:CTP63 CTO65547:CTO65649 CTO131083:CTO131185 CTO196619:CTO196721 CTO262155:CTO262257 CTO327691:CTO327793 CTO393227:CTO393329 CTO458763:CTO458865 CTO524299:CTO524401 CTO589835:CTO589937 CTO655371:CTO655473 CTO720907:CTO721009 CTO786443:CTO786545 CTO851979:CTO852081 CTO917515:CTO917617 CTO983051:CTO983153 DDL10:DDL63 DDK65547:DDK65649 DDK131083:DDK131185 DDK196619:DDK196721 DDK262155:DDK262257 DDK327691:DDK327793 DDK393227:DDK393329 DDK458763:DDK458865 DDK524299:DDK524401 DDK589835:DDK589937 DDK655371:DDK655473 DDK720907:DDK721009 DDK786443:DDK786545 DDK851979:DDK852081 DDK917515:DDK917617 DDK983051:DDK983153 DNH10:DNH63 DNG65547:DNG65649 DNG131083:DNG131185 DNG196619:DNG196721 DNG262155:DNG262257 DNG327691:DNG327793 DNG393227:DNG393329 DNG458763:DNG458865 DNG524299:DNG524401 DNG589835:DNG589937 DNG655371:DNG655473 DNG720907:DNG721009 DNG786443:DNG786545 DNG851979:DNG852081 DNG917515:DNG917617 DNG983051:DNG983153 DXD10:DXD63 DXC65547:DXC65649 DXC131083:DXC131185 DXC196619:DXC196721 DXC262155:DXC262257 DXC327691:DXC327793 DXC393227:DXC393329 DXC458763:DXC458865 DXC524299:DXC524401 DXC589835:DXC589937 DXC655371:DXC655473 DXC720907:DXC721009 DXC786443:DXC786545 DXC851979:DXC852081 DXC917515:DXC917617 DXC983051:DXC983153 EGZ10:EGZ63 EGY65547:EGY65649 EGY131083:EGY131185 EGY196619:EGY196721 EGY262155:EGY262257 EGY327691:EGY327793 EGY393227:EGY393329 EGY458763:EGY458865 EGY524299:EGY524401 EGY589835:EGY589937 EGY655371:EGY655473 EGY720907:EGY721009 EGY786443:EGY786545 EGY851979:EGY852081 EGY917515:EGY917617 EGY983051:EGY983153 EQV10:EQV63 EQU65547:EQU65649 EQU131083:EQU131185 EQU196619:EQU196721 EQU262155:EQU262257 EQU327691:EQU327793 EQU393227:EQU393329 EQU458763:EQU458865 EQU524299:EQU524401 EQU589835:EQU589937 EQU655371:EQU655473 EQU720907:EQU721009 EQU786443:EQU786545 EQU851979:EQU852081 EQU917515:EQU917617 EQU983051:EQU983153 FAR10:FAR63 FAQ65547:FAQ65649 FAQ131083:FAQ131185 FAQ196619:FAQ196721 FAQ262155:FAQ262257 FAQ327691:FAQ327793 FAQ393227:FAQ393329 FAQ458763:FAQ458865 FAQ524299:FAQ524401 FAQ589835:FAQ589937 FAQ655371:FAQ655473 FAQ720907:FAQ721009 FAQ786443:FAQ786545 FAQ851979:FAQ852081 FAQ917515:FAQ917617 FAQ983051:FAQ983153 FKN10:FKN63 FKM65547:FKM65649 FKM131083:FKM131185 FKM196619:FKM196721 FKM262155:FKM262257 FKM327691:FKM327793 FKM393227:FKM393329 FKM458763:FKM458865 FKM524299:FKM524401 FKM589835:FKM589937 FKM655371:FKM655473 FKM720907:FKM721009 FKM786443:FKM786545 FKM851979:FKM852081 FKM917515:FKM917617 FKM983051:FKM983153 FUJ10:FUJ63 FUI65547:FUI65649 FUI131083:FUI131185 FUI196619:FUI196721 FUI262155:FUI262257 FUI327691:FUI327793 FUI393227:FUI393329 FUI458763:FUI458865 FUI524299:FUI524401 FUI589835:FUI589937 FUI655371:FUI655473 FUI720907:FUI721009 FUI786443:FUI786545 FUI851979:FUI852081 FUI917515:FUI917617 FUI983051:FUI983153 GEF10:GEF63 GEE65547:GEE65649 GEE131083:GEE131185 GEE196619:GEE196721 GEE262155:GEE262257 GEE327691:GEE327793 GEE393227:GEE393329 GEE458763:GEE458865 GEE524299:GEE524401 GEE589835:GEE589937 GEE655371:GEE655473 GEE720907:GEE721009 GEE786443:GEE786545 GEE851979:GEE852081 GEE917515:GEE917617 GEE983051:GEE983153 GOB10:GOB63 GOA65547:GOA65649 GOA131083:GOA131185 GOA196619:GOA196721 GOA262155:GOA262257 GOA327691:GOA327793 GOA393227:GOA393329 GOA458763:GOA458865 GOA524299:GOA524401 GOA589835:GOA589937 GOA655371:GOA655473 GOA720907:GOA721009 GOA786443:GOA786545 GOA851979:GOA852081 GOA917515:GOA917617 GOA983051:GOA983153 GXX10:GXX63 GXW65547:GXW65649 GXW131083:GXW131185 GXW196619:GXW196721 GXW262155:GXW262257 GXW327691:GXW327793 GXW393227:GXW393329 GXW458763:GXW458865 GXW524299:GXW524401 GXW589835:GXW589937 GXW655371:GXW655473 GXW720907:GXW721009 GXW786443:GXW786545 GXW851979:GXW852081 GXW917515:GXW917617 GXW983051:GXW983153 HHT10:HHT63 HHS65547:HHS65649 HHS131083:HHS131185 HHS196619:HHS196721 HHS262155:HHS262257 HHS327691:HHS327793 HHS393227:HHS393329 HHS458763:HHS458865 HHS524299:HHS524401 HHS589835:HHS589937 HHS655371:HHS655473 HHS720907:HHS721009 HHS786443:HHS786545 HHS851979:HHS852081 HHS917515:HHS917617 HHS983051:HHS983153 HRP10:HRP63 HRO65547:HRO65649 HRO131083:HRO131185 HRO196619:HRO196721 HRO262155:HRO262257 HRO327691:HRO327793 HRO393227:HRO393329 HRO458763:HRO458865 HRO524299:HRO524401 HRO589835:HRO589937 HRO655371:HRO655473 HRO720907:HRO721009 HRO786443:HRO786545 HRO851979:HRO852081 HRO917515:HRO917617 HRO983051:HRO983153 IBL10:IBL63 IBK65547:IBK65649 IBK131083:IBK131185 IBK196619:IBK196721 IBK262155:IBK262257 IBK327691:IBK327793 IBK393227:IBK393329 IBK458763:IBK458865 IBK524299:IBK524401 IBK589835:IBK589937 IBK655371:IBK655473 IBK720907:IBK721009 IBK786443:IBK786545 IBK851979:IBK852081 IBK917515:IBK917617 IBK983051:IBK983153 ILH10:ILH63 ILG65547:ILG65649 ILG131083:ILG131185 ILG196619:ILG196721 ILG262155:ILG262257 ILG327691:ILG327793 ILG393227:ILG393329 ILG458763:ILG458865 ILG524299:ILG524401 ILG589835:ILG589937 ILG655371:ILG655473 ILG720907:ILG721009 ILG786443:ILG786545 ILG851979:ILG852081 ILG917515:ILG917617 ILG983051:ILG983153 IVD10:IVD63 IVC65547:IVC65649 IVC131083:IVC131185 IVC196619:IVC196721 IVC262155:IVC262257 IVC327691:IVC327793 IVC393227:IVC393329 IVC458763:IVC458865 IVC524299:IVC524401 IVC589835:IVC589937 IVC655371:IVC655473 IVC720907:IVC721009 IVC786443:IVC786545 IVC851979:IVC852081 IVC917515:IVC917617 IVC983051:IVC983153 JEZ10:JEZ63 JEY65547:JEY65649 JEY131083:JEY131185 JEY196619:JEY196721 JEY262155:JEY262257 JEY327691:JEY327793 JEY393227:JEY393329 JEY458763:JEY458865 JEY524299:JEY524401 JEY589835:JEY589937 JEY655371:JEY655473 JEY720907:JEY721009 JEY786443:JEY786545 JEY851979:JEY852081 JEY917515:JEY917617 JEY983051:JEY983153 JOV10:JOV63 JOU65547:JOU65649 JOU131083:JOU131185 JOU196619:JOU196721 JOU262155:JOU262257 JOU327691:JOU327793 JOU393227:JOU393329 JOU458763:JOU458865 JOU524299:JOU524401 JOU589835:JOU589937 JOU655371:JOU655473 JOU720907:JOU721009 JOU786443:JOU786545 JOU851979:JOU852081 JOU917515:JOU917617 JOU983051:JOU983153 JYR10:JYR63 JYQ65547:JYQ65649 JYQ131083:JYQ131185 JYQ196619:JYQ196721 JYQ262155:JYQ262257 JYQ327691:JYQ327793 JYQ393227:JYQ393329 JYQ458763:JYQ458865 JYQ524299:JYQ524401 JYQ589835:JYQ589937 JYQ655371:JYQ655473 JYQ720907:JYQ721009 JYQ786443:JYQ786545 JYQ851979:JYQ852081 JYQ917515:JYQ917617 JYQ983051:JYQ983153 KIN10:KIN63 KIM65547:KIM65649 KIM131083:KIM131185 KIM196619:KIM196721 KIM262155:KIM262257 KIM327691:KIM327793 KIM393227:KIM393329 KIM458763:KIM458865 KIM524299:KIM524401 KIM589835:KIM589937 KIM655371:KIM655473 KIM720907:KIM721009 KIM786443:KIM786545 KIM851979:KIM852081 KIM917515:KIM917617 KIM983051:KIM983153 KSJ10:KSJ63 KSI65547:KSI65649 KSI131083:KSI131185 KSI196619:KSI196721 KSI262155:KSI262257 KSI327691:KSI327793 KSI393227:KSI393329 KSI458763:KSI458865 KSI524299:KSI524401 KSI589835:KSI589937 KSI655371:KSI655473 KSI720907:KSI721009 KSI786443:KSI786545 KSI851979:KSI852081 KSI917515:KSI917617 KSI983051:KSI983153 LCF10:LCF63 LCE65547:LCE65649 LCE131083:LCE131185 LCE196619:LCE196721 LCE262155:LCE262257 LCE327691:LCE327793 LCE393227:LCE393329 LCE458763:LCE458865 LCE524299:LCE524401 LCE589835:LCE589937 LCE655371:LCE655473 LCE720907:LCE721009 LCE786443:LCE786545 LCE851979:LCE852081 LCE917515:LCE917617 LCE983051:LCE983153 LMB10:LMB63 LMA65547:LMA65649 LMA131083:LMA131185 LMA196619:LMA196721 LMA262155:LMA262257 LMA327691:LMA327793 LMA393227:LMA393329 LMA458763:LMA458865 LMA524299:LMA524401 LMA589835:LMA589937 LMA655371:LMA655473 LMA720907:LMA721009 LMA786443:LMA786545 LMA851979:LMA852081 LMA917515:LMA917617 LMA983051:LMA983153 LVX10:LVX63 LVW65547:LVW65649 LVW131083:LVW131185 LVW196619:LVW196721 LVW262155:LVW262257 LVW327691:LVW327793 LVW393227:LVW393329 LVW458763:LVW458865 LVW524299:LVW524401 LVW589835:LVW589937 LVW655371:LVW655473 LVW720907:LVW721009 LVW786443:LVW786545 LVW851979:LVW852081 LVW917515:LVW917617 LVW983051:LVW983153 MFT10:MFT63 MFS65547:MFS65649 MFS131083:MFS131185 MFS196619:MFS196721 MFS262155:MFS262257 MFS327691:MFS327793 MFS393227:MFS393329 MFS458763:MFS458865 MFS524299:MFS524401 MFS589835:MFS589937 MFS655371:MFS655473 MFS720907:MFS721009 MFS786443:MFS786545 MFS851979:MFS852081 MFS917515:MFS917617 MFS983051:MFS983153 MPP10:MPP63 MPO65547:MPO65649 MPO131083:MPO131185 MPO196619:MPO196721 MPO262155:MPO262257 MPO327691:MPO327793 MPO393227:MPO393329 MPO458763:MPO458865 MPO524299:MPO524401 MPO589835:MPO589937 MPO655371:MPO655473 MPO720907:MPO721009 MPO786443:MPO786545 MPO851979:MPO852081 MPO917515:MPO917617 MPO983051:MPO983153 MZL10:MZL63 MZK65547:MZK65649 MZK131083:MZK131185 MZK196619:MZK196721 MZK262155:MZK262257 MZK327691:MZK327793 MZK393227:MZK393329 MZK458763:MZK458865 MZK524299:MZK524401 MZK589835:MZK589937 MZK655371:MZK655473 MZK720907:MZK721009 MZK786443:MZK786545 MZK851979:MZK852081 MZK917515:MZK917617 MZK983051:MZK983153 NJH10:NJH63 NJG65547:NJG65649 NJG131083:NJG131185 NJG196619:NJG196721 NJG262155:NJG262257 NJG327691:NJG327793 NJG393227:NJG393329 NJG458763:NJG458865 NJG524299:NJG524401 NJG589835:NJG589937 NJG655371:NJG655473 NJG720907:NJG721009 NJG786443:NJG786545 NJG851979:NJG852081 NJG917515:NJG917617 NJG983051:NJG983153 NTD10:NTD63 NTC65547:NTC65649 NTC131083:NTC131185 NTC196619:NTC196721 NTC262155:NTC262257 NTC327691:NTC327793 NTC393227:NTC393329 NTC458763:NTC458865 NTC524299:NTC524401 NTC589835:NTC589937 NTC655371:NTC655473 NTC720907:NTC721009 NTC786443:NTC786545 NTC851979:NTC852081 NTC917515:NTC917617 NTC983051:NTC983153 OCZ10:OCZ63 OCY65547:OCY65649 OCY131083:OCY131185 OCY196619:OCY196721 OCY262155:OCY262257 OCY327691:OCY327793 OCY393227:OCY393329 OCY458763:OCY458865 OCY524299:OCY524401 OCY589835:OCY589937 OCY655371:OCY655473 OCY720907:OCY721009 OCY786443:OCY786545 OCY851979:OCY852081 OCY917515:OCY917617 OCY983051:OCY983153 OMV10:OMV63 OMU65547:OMU65649 OMU131083:OMU131185 OMU196619:OMU196721 OMU262155:OMU262257 OMU327691:OMU327793 OMU393227:OMU393329 OMU458763:OMU458865 OMU524299:OMU524401 OMU589835:OMU589937 OMU655371:OMU655473 OMU720907:OMU721009 OMU786443:OMU786545 OMU851979:OMU852081 OMU917515:OMU917617 OMU983051:OMU983153 OWR10:OWR63 OWQ65547:OWQ65649 OWQ131083:OWQ131185 OWQ196619:OWQ196721 OWQ262155:OWQ262257 OWQ327691:OWQ327793 OWQ393227:OWQ393329 OWQ458763:OWQ458865 OWQ524299:OWQ524401 OWQ589835:OWQ589937 OWQ655371:OWQ655473 OWQ720907:OWQ721009 OWQ786443:OWQ786545 OWQ851979:OWQ852081 OWQ917515:OWQ917617 OWQ983051:OWQ983153 PGN10:PGN63 PGM65547:PGM65649 PGM131083:PGM131185 PGM196619:PGM196721 PGM262155:PGM262257 PGM327691:PGM327793 PGM393227:PGM393329 PGM458763:PGM458865 PGM524299:PGM524401 PGM589835:PGM589937 PGM655371:PGM655473 PGM720907:PGM721009 PGM786443:PGM786545 PGM851979:PGM852081 PGM917515:PGM917617 PGM983051:PGM983153 PQJ10:PQJ63 PQI65547:PQI65649 PQI131083:PQI131185 PQI196619:PQI196721 PQI262155:PQI262257 PQI327691:PQI327793 PQI393227:PQI393329 PQI458763:PQI458865 PQI524299:PQI524401 PQI589835:PQI589937 PQI655371:PQI655473 PQI720907:PQI721009 PQI786443:PQI786545 PQI851979:PQI852081 PQI917515:PQI917617 PQI983051:PQI983153 QAF10:QAF63 QAE65547:QAE65649 QAE131083:QAE131185 QAE196619:QAE196721 QAE262155:QAE262257 QAE327691:QAE327793 QAE393227:QAE393329 QAE458763:QAE458865 QAE524299:QAE524401 QAE589835:QAE589937 QAE655371:QAE655473 QAE720907:QAE721009 QAE786443:QAE786545 QAE851979:QAE852081 QAE917515:QAE917617 QAE983051:QAE983153 QKB10:QKB63 QKA65547:QKA65649 QKA131083:QKA131185 QKA196619:QKA196721 QKA262155:QKA262257 QKA327691:QKA327793 QKA393227:QKA393329 QKA458763:QKA458865 QKA524299:QKA524401 QKA589835:QKA589937 QKA655371:QKA655473 QKA720907:QKA721009 QKA786443:QKA786545 QKA851979:QKA852081 QKA917515:QKA917617 QKA983051:QKA983153 QTX10:QTX63 QTW65547:QTW65649 QTW131083:QTW131185 QTW196619:QTW196721 QTW262155:QTW262257 QTW327691:QTW327793 QTW393227:QTW393329 QTW458763:QTW458865 QTW524299:QTW524401 QTW589835:QTW589937 QTW655371:QTW655473 QTW720907:QTW721009 QTW786443:QTW786545 QTW851979:QTW852081 QTW917515:QTW917617 QTW983051:QTW983153 RDT10:RDT63 RDS65547:RDS65649 RDS131083:RDS131185 RDS196619:RDS196721 RDS262155:RDS262257 RDS327691:RDS327793 RDS393227:RDS393329 RDS458763:RDS458865 RDS524299:RDS524401 RDS589835:RDS589937 RDS655371:RDS655473 RDS720907:RDS721009 RDS786443:RDS786545 RDS851979:RDS852081 RDS917515:RDS917617 RDS983051:RDS983153 RNP10:RNP63 RNO65547:RNO65649 RNO131083:RNO131185 RNO196619:RNO196721 RNO262155:RNO262257 RNO327691:RNO327793 RNO393227:RNO393329 RNO458763:RNO458865 RNO524299:RNO524401 RNO589835:RNO589937 RNO655371:RNO655473 RNO720907:RNO721009 RNO786443:RNO786545 RNO851979:RNO852081 RNO917515:RNO917617 RNO983051:RNO983153 RXL10:RXL63 RXK65547:RXK65649 RXK131083:RXK131185 RXK196619:RXK196721 RXK262155:RXK262257 RXK327691:RXK327793 RXK393227:RXK393329 RXK458763:RXK458865 RXK524299:RXK524401 RXK589835:RXK589937 RXK655371:RXK655473 RXK720907:RXK721009 RXK786443:RXK786545 RXK851979:RXK852081 RXK917515:RXK917617 RXK983051:RXK983153 SHH10:SHH63 SHG65547:SHG65649 SHG131083:SHG131185 SHG196619:SHG196721 SHG262155:SHG262257 SHG327691:SHG327793 SHG393227:SHG393329 SHG458763:SHG458865 SHG524299:SHG524401 SHG589835:SHG589937 SHG655371:SHG655473 SHG720907:SHG721009 SHG786443:SHG786545 SHG851979:SHG852081 SHG917515:SHG917617 SHG983051:SHG983153 SRD10:SRD63 SRC65547:SRC65649 SRC131083:SRC131185 SRC196619:SRC196721 SRC262155:SRC262257 SRC327691:SRC327793 SRC393227:SRC393329 SRC458763:SRC458865 SRC524299:SRC524401 SRC589835:SRC589937 SRC655371:SRC655473 SRC720907:SRC721009 SRC786443:SRC786545 SRC851979:SRC852081 SRC917515:SRC917617 SRC983051:SRC983153 TAZ10:TAZ63 TAY65547:TAY65649 TAY131083:TAY131185 TAY196619:TAY196721 TAY262155:TAY262257 TAY327691:TAY327793 TAY393227:TAY393329 TAY458763:TAY458865 TAY524299:TAY524401 TAY589835:TAY589937 TAY655371:TAY655473 TAY720907:TAY721009 TAY786443:TAY786545 TAY851979:TAY852081 TAY917515:TAY917617 TAY983051:TAY983153 TKV10:TKV63 TKU65547:TKU65649 TKU131083:TKU131185 TKU196619:TKU196721 TKU262155:TKU262257 TKU327691:TKU327793 TKU393227:TKU393329 TKU458763:TKU458865 TKU524299:TKU524401 TKU589835:TKU589937 TKU655371:TKU655473 TKU720907:TKU721009 TKU786443:TKU786545 TKU851979:TKU852081 TKU917515:TKU917617 TKU983051:TKU983153 TUR10:TUR63 TUQ65547:TUQ65649 TUQ131083:TUQ131185 TUQ196619:TUQ196721 TUQ262155:TUQ262257 TUQ327691:TUQ327793 TUQ393227:TUQ393329 TUQ458763:TUQ458865 TUQ524299:TUQ524401 TUQ589835:TUQ589937 TUQ655371:TUQ655473 TUQ720907:TUQ721009 TUQ786443:TUQ786545 TUQ851979:TUQ852081 TUQ917515:TUQ917617 TUQ983051:TUQ983153 UEN10:UEN63 UEM65547:UEM65649 UEM131083:UEM131185 UEM196619:UEM196721 UEM262155:UEM262257 UEM327691:UEM327793 UEM393227:UEM393329 UEM458763:UEM458865 UEM524299:UEM524401 UEM589835:UEM589937 UEM655371:UEM655473 UEM720907:UEM721009 UEM786443:UEM786545 UEM851979:UEM852081 UEM917515:UEM917617 UEM983051:UEM983153 UOJ10:UOJ63 UOI65547:UOI65649 UOI131083:UOI131185 UOI196619:UOI196721 UOI262155:UOI262257 UOI327691:UOI327793 UOI393227:UOI393329 UOI458763:UOI458865 UOI524299:UOI524401 UOI589835:UOI589937 UOI655371:UOI655473 UOI720907:UOI721009 UOI786443:UOI786545 UOI851979:UOI852081 UOI917515:UOI917617 UOI983051:UOI983153 UYF10:UYF63 UYE65547:UYE65649 UYE131083:UYE131185 UYE196619:UYE196721 UYE262155:UYE262257 UYE327691:UYE327793 UYE393227:UYE393329 UYE458763:UYE458865 UYE524299:UYE524401 UYE589835:UYE589937 UYE655371:UYE655473 UYE720907:UYE721009 UYE786443:UYE786545 UYE851979:UYE852081 UYE917515:UYE917617 UYE983051:UYE983153 VIB10:VIB63 VIA65547:VIA65649 VIA131083:VIA131185 VIA196619:VIA196721 VIA262155:VIA262257 VIA327691:VIA327793 VIA393227:VIA393329 VIA458763:VIA458865 VIA524299:VIA524401 VIA589835:VIA589937 VIA655371:VIA655473 VIA720907:VIA721009 VIA786443:VIA786545 VIA851979:VIA852081 VIA917515:VIA917617 VIA983051:VIA983153 VRX10:VRX63 VRW65547:VRW65649 VRW131083:VRW131185 VRW196619:VRW196721 VRW262155:VRW262257 VRW327691:VRW327793 VRW393227:VRW393329 VRW458763:VRW458865 VRW524299:VRW524401 VRW589835:VRW589937 VRW655371:VRW655473 VRW720907:VRW721009 VRW786443:VRW786545 VRW851979:VRW852081 VRW917515:VRW917617 VRW983051:VRW983153 WBT10:WBT63 WBS65547:WBS65649 WBS131083:WBS131185 WBS196619:WBS196721 WBS262155:WBS262257 WBS327691:WBS327793 WBS393227:WBS393329 WBS458763:WBS458865 WBS524299:WBS524401 WBS589835:WBS589937 WBS655371:WBS655473 WBS720907:WBS721009 WBS786443:WBS786545 WBS851979:WBS852081 WBS917515:WBS917617 WBS983051:WBS983153 WLP10:WLP63 WLO65547:WLO65649 WLO131083:WLO131185 WLO196619:WLO196721 WLO262155:WLO262257 WLO327691:WLO327793 WLO393227:WLO393329 WLO458763:WLO458865 WLO524299:WLO524401 WLO589835:WLO589937 WLO655371:WLO655473 WLO720907:WLO721009 WLO786443:WLO786545 WLO851979:WLO852081 WLO917515:WLO917617 WLO983051:WLO983153 WVL10:WVL63 WVK983051:WVK983153 WVK65547:WVK65649 WVK131083:WVK131185 WVK196619:WVK196721 WVK262155:WVK262257 WVK327691:WVK327793 WVK393227:WVK393329 WVK458763:WVK458865 WVK524299:WVK524401 WVK589835:WVK589937 WVK655371:WVK655473 WVK720907:WVK721009 WVK786443:WVK786545 WVK851979:WVK852081 WVK917515:WVK917617 IZ10:IZ63 WVL66:WVL114 WLP66:WLP114 WBT66:WBT114 VRX66:VRX114 VIB66:VIB114 UYF66:UYF114 UOJ66:UOJ114 UEN66:UEN114 TUR66:TUR114 TKV66:TKV114 TAZ66:TAZ114 SRD66:SRD114 SHH66:SHH114 RXL66:RXL114 RNP66:RNP114 RDT66:RDT114 QTX66:QTX114 QKB66:QKB114 QAF66:QAF114 PQJ66:PQJ114 PGN66:PGN114 OWR66:OWR114 OMV66:OMV114 OCZ66:OCZ114 NTD66:NTD114 NJH66:NJH114 MZL66:MZL114 MPP66:MPP114 MFT66:MFT114 LVX66:LVX114 LMB66:LMB114 LCF66:LCF114 KSJ66:KSJ114 KIN66:KIN114 JYR66:JYR114 JOV66:JOV114 JEZ66:JEZ114 IVD66:IVD114 ILH66:ILH114 IBL66:IBL114 HRP66:HRP114 HHT66:HHT114 GXX66:GXX114 GOB66:GOB114 GEF66:GEF114 FUJ66:FUJ114 FKN66:FKN114 FAR66:FAR114 EQV66:EQV114 EGZ66:EGZ114 DXD66:DXD114 DNH66:DNH114 DDL66:DDL114 CTP66:CTP114 CJT66:CJT114 BZX66:BZX114 BQB66:BQB114 BGF66:BGF114 AWJ66:AWJ114 AMN66:AMN114 ACR66:ACR114 SV66:SV114 IZ66:IZ114" xr:uid="{D4C26527-F8FD-4717-AA70-C3DD1FA48B7E}"/>
    <dataValidation allowBlank="1" showInputMessage="1" showErrorMessage="1" prompt="Performance Tasks Total Highest Possible Score" sqref="N65547:N65548 N131083:N131084 N196619:N196620 N262155:N262156 N327691:N327692 N393227:N393228 N458763:N458764 N524299:N524300 N589835:N589836 N655371:N655372 N720907:N720908 N786443:N786444 N851979:N851980 N917515:N917516 N983051:N983052 JK10:JK12 JJ65547:JJ65548 JJ131083:JJ131084 JJ196619:JJ196620 JJ262155:JJ262156 JJ327691:JJ327692 JJ393227:JJ393228 JJ458763:JJ458764 JJ524299:JJ524300 JJ589835:JJ589836 JJ655371:JJ655372 JJ720907:JJ720908 JJ786443:JJ786444 JJ851979:JJ851980 JJ917515:JJ917516 JJ983051:JJ983052 TG10:TG12 TF65547:TF65548 TF131083:TF131084 TF196619:TF196620 TF262155:TF262156 TF327691:TF327692 TF393227:TF393228 TF458763:TF458764 TF524299:TF524300 TF589835:TF589836 TF655371:TF655372 TF720907:TF720908 TF786443:TF786444 TF851979:TF851980 TF917515:TF917516 TF983051:TF983052 ADC10:ADC12 ADB65547:ADB65548 ADB131083:ADB131084 ADB196619:ADB196620 ADB262155:ADB262156 ADB327691:ADB327692 ADB393227:ADB393228 ADB458763:ADB458764 ADB524299:ADB524300 ADB589835:ADB589836 ADB655371:ADB655372 ADB720907:ADB720908 ADB786443:ADB786444 ADB851979:ADB851980 ADB917515:ADB917516 ADB983051:ADB983052 AMY10:AMY12 AMX65547:AMX65548 AMX131083:AMX131084 AMX196619:AMX196620 AMX262155:AMX262156 AMX327691:AMX327692 AMX393227:AMX393228 AMX458763:AMX458764 AMX524299:AMX524300 AMX589835:AMX589836 AMX655371:AMX655372 AMX720907:AMX720908 AMX786443:AMX786444 AMX851979:AMX851980 AMX917515:AMX917516 AMX983051:AMX983052 AWU10:AWU12 AWT65547:AWT65548 AWT131083:AWT131084 AWT196619:AWT196620 AWT262155:AWT262156 AWT327691:AWT327692 AWT393227:AWT393228 AWT458763:AWT458764 AWT524299:AWT524300 AWT589835:AWT589836 AWT655371:AWT655372 AWT720907:AWT720908 AWT786443:AWT786444 AWT851979:AWT851980 AWT917515:AWT917516 AWT983051:AWT983052 BGQ10:BGQ12 BGP65547:BGP65548 BGP131083:BGP131084 BGP196619:BGP196620 BGP262155:BGP262156 BGP327691:BGP327692 BGP393227:BGP393228 BGP458763:BGP458764 BGP524299:BGP524300 BGP589835:BGP589836 BGP655371:BGP655372 BGP720907:BGP720908 BGP786443:BGP786444 BGP851979:BGP851980 BGP917515:BGP917516 BGP983051:BGP983052 BQM10:BQM12 BQL65547:BQL65548 BQL131083:BQL131084 BQL196619:BQL196620 BQL262155:BQL262156 BQL327691:BQL327692 BQL393227:BQL393228 BQL458763:BQL458764 BQL524299:BQL524300 BQL589835:BQL589836 BQL655371:BQL655372 BQL720907:BQL720908 BQL786443:BQL786444 BQL851979:BQL851980 BQL917515:BQL917516 BQL983051:BQL983052 CAI10:CAI12 CAH65547:CAH65548 CAH131083:CAH131084 CAH196619:CAH196620 CAH262155:CAH262156 CAH327691:CAH327692 CAH393227:CAH393228 CAH458763:CAH458764 CAH524299:CAH524300 CAH589835:CAH589836 CAH655371:CAH655372 CAH720907:CAH720908 CAH786443:CAH786444 CAH851979:CAH851980 CAH917515:CAH917516 CAH983051:CAH983052 CKE10:CKE12 CKD65547:CKD65548 CKD131083:CKD131084 CKD196619:CKD196620 CKD262155:CKD262156 CKD327691:CKD327692 CKD393227:CKD393228 CKD458763:CKD458764 CKD524299:CKD524300 CKD589835:CKD589836 CKD655371:CKD655372 CKD720907:CKD720908 CKD786443:CKD786444 CKD851979:CKD851980 CKD917515:CKD917516 CKD983051:CKD983052 CUA10:CUA12 CTZ65547:CTZ65548 CTZ131083:CTZ131084 CTZ196619:CTZ196620 CTZ262155:CTZ262156 CTZ327691:CTZ327692 CTZ393227:CTZ393228 CTZ458763:CTZ458764 CTZ524299:CTZ524300 CTZ589835:CTZ589836 CTZ655371:CTZ655372 CTZ720907:CTZ720908 CTZ786443:CTZ786444 CTZ851979:CTZ851980 CTZ917515:CTZ917516 CTZ983051:CTZ983052 DDW10:DDW12 DDV65547:DDV65548 DDV131083:DDV131084 DDV196619:DDV196620 DDV262155:DDV262156 DDV327691:DDV327692 DDV393227:DDV393228 DDV458763:DDV458764 DDV524299:DDV524300 DDV589835:DDV589836 DDV655371:DDV655372 DDV720907:DDV720908 DDV786443:DDV786444 DDV851979:DDV851980 DDV917515:DDV917516 DDV983051:DDV983052 DNS10:DNS12 DNR65547:DNR65548 DNR131083:DNR131084 DNR196619:DNR196620 DNR262155:DNR262156 DNR327691:DNR327692 DNR393227:DNR393228 DNR458763:DNR458764 DNR524299:DNR524300 DNR589835:DNR589836 DNR655371:DNR655372 DNR720907:DNR720908 DNR786443:DNR786444 DNR851979:DNR851980 DNR917515:DNR917516 DNR983051:DNR983052 DXO10:DXO12 DXN65547:DXN65548 DXN131083:DXN131084 DXN196619:DXN196620 DXN262155:DXN262156 DXN327691:DXN327692 DXN393227:DXN393228 DXN458763:DXN458764 DXN524299:DXN524300 DXN589835:DXN589836 DXN655371:DXN655372 DXN720907:DXN720908 DXN786443:DXN786444 DXN851979:DXN851980 DXN917515:DXN917516 DXN983051:DXN983052 EHK10:EHK12 EHJ65547:EHJ65548 EHJ131083:EHJ131084 EHJ196619:EHJ196620 EHJ262155:EHJ262156 EHJ327691:EHJ327692 EHJ393227:EHJ393228 EHJ458763:EHJ458764 EHJ524299:EHJ524300 EHJ589835:EHJ589836 EHJ655371:EHJ655372 EHJ720907:EHJ720908 EHJ786443:EHJ786444 EHJ851979:EHJ851980 EHJ917515:EHJ917516 EHJ983051:EHJ983052 ERG10:ERG12 ERF65547:ERF65548 ERF131083:ERF131084 ERF196619:ERF196620 ERF262155:ERF262156 ERF327691:ERF327692 ERF393227:ERF393228 ERF458763:ERF458764 ERF524299:ERF524300 ERF589835:ERF589836 ERF655371:ERF655372 ERF720907:ERF720908 ERF786443:ERF786444 ERF851979:ERF851980 ERF917515:ERF917516 ERF983051:ERF983052 FBC10:FBC12 FBB65547:FBB65548 FBB131083:FBB131084 FBB196619:FBB196620 FBB262155:FBB262156 FBB327691:FBB327692 FBB393227:FBB393228 FBB458763:FBB458764 FBB524299:FBB524300 FBB589835:FBB589836 FBB655371:FBB655372 FBB720907:FBB720908 FBB786443:FBB786444 FBB851979:FBB851980 FBB917515:FBB917516 FBB983051:FBB983052 FKY10:FKY12 FKX65547:FKX65548 FKX131083:FKX131084 FKX196619:FKX196620 FKX262155:FKX262156 FKX327691:FKX327692 FKX393227:FKX393228 FKX458763:FKX458764 FKX524299:FKX524300 FKX589835:FKX589836 FKX655371:FKX655372 FKX720907:FKX720908 FKX786443:FKX786444 FKX851979:FKX851980 FKX917515:FKX917516 FKX983051:FKX983052 FUU10:FUU12 FUT65547:FUT65548 FUT131083:FUT131084 FUT196619:FUT196620 FUT262155:FUT262156 FUT327691:FUT327692 FUT393227:FUT393228 FUT458763:FUT458764 FUT524299:FUT524300 FUT589835:FUT589836 FUT655371:FUT655372 FUT720907:FUT720908 FUT786443:FUT786444 FUT851979:FUT851980 FUT917515:FUT917516 FUT983051:FUT983052 GEQ10:GEQ12 GEP65547:GEP65548 GEP131083:GEP131084 GEP196619:GEP196620 GEP262155:GEP262156 GEP327691:GEP327692 GEP393227:GEP393228 GEP458763:GEP458764 GEP524299:GEP524300 GEP589835:GEP589836 GEP655371:GEP655372 GEP720907:GEP720908 GEP786443:GEP786444 GEP851979:GEP851980 GEP917515:GEP917516 GEP983051:GEP983052 GOM10:GOM12 GOL65547:GOL65548 GOL131083:GOL131084 GOL196619:GOL196620 GOL262155:GOL262156 GOL327691:GOL327692 GOL393227:GOL393228 GOL458763:GOL458764 GOL524299:GOL524300 GOL589835:GOL589836 GOL655371:GOL655372 GOL720907:GOL720908 GOL786443:GOL786444 GOL851979:GOL851980 GOL917515:GOL917516 GOL983051:GOL983052 GYI10:GYI12 GYH65547:GYH65548 GYH131083:GYH131084 GYH196619:GYH196620 GYH262155:GYH262156 GYH327691:GYH327692 GYH393227:GYH393228 GYH458763:GYH458764 GYH524299:GYH524300 GYH589835:GYH589836 GYH655371:GYH655372 GYH720907:GYH720908 GYH786443:GYH786444 GYH851979:GYH851980 GYH917515:GYH917516 GYH983051:GYH983052 HIE10:HIE12 HID65547:HID65548 HID131083:HID131084 HID196619:HID196620 HID262155:HID262156 HID327691:HID327692 HID393227:HID393228 HID458763:HID458764 HID524299:HID524300 HID589835:HID589836 HID655371:HID655372 HID720907:HID720908 HID786443:HID786444 HID851979:HID851980 HID917515:HID917516 HID983051:HID983052 HSA10:HSA12 HRZ65547:HRZ65548 HRZ131083:HRZ131084 HRZ196619:HRZ196620 HRZ262155:HRZ262156 HRZ327691:HRZ327692 HRZ393227:HRZ393228 HRZ458763:HRZ458764 HRZ524299:HRZ524300 HRZ589835:HRZ589836 HRZ655371:HRZ655372 HRZ720907:HRZ720908 HRZ786443:HRZ786444 HRZ851979:HRZ851980 HRZ917515:HRZ917516 HRZ983051:HRZ983052 IBW10:IBW12 IBV65547:IBV65548 IBV131083:IBV131084 IBV196619:IBV196620 IBV262155:IBV262156 IBV327691:IBV327692 IBV393227:IBV393228 IBV458763:IBV458764 IBV524299:IBV524300 IBV589835:IBV589836 IBV655371:IBV655372 IBV720907:IBV720908 IBV786443:IBV786444 IBV851979:IBV851980 IBV917515:IBV917516 IBV983051:IBV983052 ILS10:ILS12 ILR65547:ILR65548 ILR131083:ILR131084 ILR196619:ILR196620 ILR262155:ILR262156 ILR327691:ILR327692 ILR393227:ILR393228 ILR458763:ILR458764 ILR524299:ILR524300 ILR589835:ILR589836 ILR655371:ILR655372 ILR720907:ILR720908 ILR786443:ILR786444 ILR851979:ILR851980 ILR917515:ILR917516 ILR983051:ILR983052 IVO10:IVO12 IVN65547:IVN65548 IVN131083:IVN131084 IVN196619:IVN196620 IVN262155:IVN262156 IVN327691:IVN327692 IVN393227:IVN393228 IVN458763:IVN458764 IVN524299:IVN524300 IVN589835:IVN589836 IVN655371:IVN655372 IVN720907:IVN720908 IVN786443:IVN786444 IVN851979:IVN851980 IVN917515:IVN917516 IVN983051:IVN983052 JFK10:JFK12 JFJ65547:JFJ65548 JFJ131083:JFJ131084 JFJ196619:JFJ196620 JFJ262155:JFJ262156 JFJ327691:JFJ327692 JFJ393227:JFJ393228 JFJ458763:JFJ458764 JFJ524299:JFJ524300 JFJ589835:JFJ589836 JFJ655371:JFJ655372 JFJ720907:JFJ720908 JFJ786443:JFJ786444 JFJ851979:JFJ851980 JFJ917515:JFJ917516 JFJ983051:JFJ983052 JPG10:JPG12 JPF65547:JPF65548 JPF131083:JPF131084 JPF196619:JPF196620 JPF262155:JPF262156 JPF327691:JPF327692 JPF393227:JPF393228 JPF458763:JPF458764 JPF524299:JPF524300 JPF589835:JPF589836 JPF655371:JPF655372 JPF720907:JPF720908 JPF786443:JPF786444 JPF851979:JPF851980 JPF917515:JPF917516 JPF983051:JPF983052 JZC10:JZC12 JZB65547:JZB65548 JZB131083:JZB131084 JZB196619:JZB196620 JZB262155:JZB262156 JZB327691:JZB327692 JZB393227:JZB393228 JZB458763:JZB458764 JZB524299:JZB524300 JZB589835:JZB589836 JZB655371:JZB655372 JZB720907:JZB720908 JZB786443:JZB786444 JZB851979:JZB851980 JZB917515:JZB917516 JZB983051:JZB983052 KIY10:KIY12 KIX65547:KIX65548 KIX131083:KIX131084 KIX196619:KIX196620 KIX262155:KIX262156 KIX327691:KIX327692 KIX393227:KIX393228 KIX458763:KIX458764 KIX524299:KIX524300 KIX589835:KIX589836 KIX655371:KIX655372 KIX720907:KIX720908 KIX786443:KIX786444 KIX851979:KIX851980 KIX917515:KIX917516 KIX983051:KIX983052 KSU10:KSU12 KST65547:KST65548 KST131083:KST131084 KST196619:KST196620 KST262155:KST262156 KST327691:KST327692 KST393227:KST393228 KST458763:KST458764 KST524299:KST524300 KST589835:KST589836 KST655371:KST655372 KST720907:KST720908 KST786443:KST786444 KST851979:KST851980 KST917515:KST917516 KST983051:KST983052 LCQ10:LCQ12 LCP65547:LCP65548 LCP131083:LCP131084 LCP196619:LCP196620 LCP262155:LCP262156 LCP327691:LCP327692 LCP393227:LCP393228 LCP458763:LCP458764 LCP524299:LCP524300 LCP589835:LCP589836 LCP655371:LCP655372 LCP720907:LCP720908 LCP786443:LCP786444 LCP851979:LCP851980 LCP917515:LCP917516 LCP983051:LCP983052 LMM10:LMM12 LML65547:LML65548 LML131083:LML131084 LML196619:LML196620 LML262155:LML262156 LML327691:LML327692 LML393227:LML393228 LML458763:LML458764 LML524299:LML524300 LML589835:LML589836 LML655371:LML655372 LML720907:LML720908 LML786443:LML786444 LML851979:LML851980 LML917515:LML917516 LML983051:LML983052 LWI10:LWI12 LWH65547:LWH65548 LWH131083:LWH131084 LWH196619:LWH196620 LWH262155:LWH262156 LWH327691:LWH327692 LWH393227:LWH393228 LWH458763:LWH458764 LWH524299:LWH524300 LWH589835:LWH589836 LWH655371:LWH655372 LWH720907:LWH720908 LWH786443:LWH786444 LWH851979:LWH851980 LWH917515:LWH917516 LWH983051:LWH983052 MGE10:MGE12 MGD65547:MGD65548 MGD131083:MGD131084 MGD196619:MGD196620 MGD262155:MGD262156 MGD327691:MGD327692 MGD393227:MGD393228 MGD458763:MGD458764 MGD524299:MGD524300 MGD589835:MGD589836 MGD655371:MGD655372 MGD720907:MGD720908 MGD786443:MGD786444 MGD851979:MGD851980 MGD917515:MGD917516 MGD983051:MGD983052 MQA10:MQA12 MPZ65547:MPZ65548 MPZ131083:MPZ131084 MPZ196619:MPZ196620 MPZ262155:MPZ262156 MPZ327691:MPZ327692 MPZ393227:MPZ393228 MPZ458763:MPZ458764 MPZ524299:MPZ524300 MPZ589835:MPZ589836 MPZ655371:MPZ655372 MPZ720907:MPZ720908 MPZ786443:MPZ786444 MPZ851979:MPZ851980 MPZ917515:MPZ917516 MPZ983051:MPZ983052 MZW10:MZW12 MZV65547:MZV65548 MZV131083:MZV131084 MZV196619:MZV196620 MZV262155:MZV262156 MZV327691:MZV327692 MZV393227:MZV393228 MZV458763:MZV458764 MZV524299:MZV524300 MZV589835:MZV589836 MZV655371:MZV655372 MZV720907:MZV720908 MZV786443:MZV786444 MZV851979:MZV851980 MZV917515:MZV917516 MZV983051:MZV983052 NJS10:NJS12 NJR65547:NJR65548 NJR131083:NJR131084 NJR196619:NJR196620 NJR262155:NJR262156 NJR327691:NJR327692 NJR393227:NJR393228 NJR458763:NJR458764 NJR524299:NJR524300 NJR589835:NJR589836 NJR655371:NJR655372 NJR720907:NJR720908 NJR786443:NJR786444 NJR851979:NJR851980 NJR917515:NJR917516 NJR983051:NJR983052 NTO10:NTO12 NTN65547:NTN65548 NTN131083:NTN131084 NTN196619:NTN196620 NTN262155:NTN262156 NTN327691:NTN327692 NTN393227:NTN393228 NTN458763:NTN458764 NTN524299:NTN524300 NTN589835:NTN589836 NTN655371:NTN655372 NTN720907:NTN720908 NTN786443:NTN786444 NTN851979:NTN851980 NTN917515:NTN917516 NTN983051:NTN983052 ODK10:ODK12 ODJ65547:ODJ65548 ODJ131083:ODJ131084 ODJ196619:ODJ196620 ODJ262155:ODJ262156 ODJ327691:ODJ327692 ODJ393227:ODJ393228 ODJ458763:ODJ458764 ODJ524299:ODJ524300 ODJ589835:ODJ589836 ODJ655371:ODJ655372 ODJ720907:ODJ720908 ODJ786443:ODJ786444 ODJ851979:ODJ851980 ODJ917515:ODJ917516 ODJ983051:ODJ983052 ONG10:ONG12 ONF65547:ONF65548 ONF131083:ONF131084 ONF196619:ONF196620 ONF262155:ONF262156 ONF327691:ONF327692 ONF393227:ONF393228 ONF458763:ONF458764 ONF524299:ONF524300 ONF589835:ONF589836 ONF655371:ONF655372 ONF720907:ONF720908 ONF786443:ONF786444 ONF851979:ONF851980 ONF917515:ONF917516 ONF983051:ONF983052 OXC10:OXC12 OXB65547:OXB65548 OXB131083:OXB131084 OXB196619:OXB196620 OXB262155:OXB262156 OXB327691:OXB327692 OXB393227:OXB393228 OXB458763:OXB458764 OXB524299:OXB524300 OXB589835:OXB589836 OXB655371:OXB655372 OXB720907:OXB720908 OXB786443:OXB786444 OXB851979:OXB851980 OXB917515:OXB917516 OXB983051:OXB983052 PGY10:PGY12 PGX65547:PGX65548 PGX131083:PGX131084 PGX196619:PGX196620 PGX262155:PGX262156 PGX327691:PGX327692 PGX393227:PGX393228 PGX458763:PGX458764 PGX524299:PGX524300 PGX589835:PGX589836 PGX655371:PGX655372 PGX720907:PGX720908 PGX786443:PGX786444 PGX851979:PGX851980 PGX917515:PGX917516 PGX983051:PGX983052 PQU10:PQU12 PQT65547:PQT65548 PQT131083:PQT131084 PQT196619:PQT196620 PQT262155:PQT262156 PQT327691:PQT327692 PQT393227:PQT393228 PQT458763:PQT458764 PQT524299:PQT524300 PQT589835:PQT589836 PQT655371:PQT655372 PQT720907:PQT720908 PQT786443:PQT786444 PQT851979:PQT851980 PQT917515:PQT917516 PQT983051:PQT983052 QAQ10:QAQ12 QAP65547:QAP65548 QAP131083:QAP131084 QAP196619:QAP196620 QAP262155:QAP262156 QAP327691:QAP327692 QAP393227:QAP393228 QAP458763:QAP458764 QAP524299:QAP524300 QAP589835:QAP589836 QAP655371:QAP655372 QAP720907:QAP720908 QAP786443:QAP786444 QAP851979:QAP851980 QAP917515:QAP917516 QAP983051:QAP983052 QKM10:QKM12 QKL65547:QKL65548 QKL131083:QKL131084 QKL196619:QKL196620 QKL262155:QKL262156 QKL327691:QKL327692 QKL393227:QKL393228 QKL458763:QKL458764 QKL524299:QKL524300 QKL589835:QKL589836 QKL655371:QKL655372 QKL720907:QKL720908 QKL786443:QKL786444 QKL851979:QKL851980 QKL917515:QKL917516 QKL983051:QKL983052 QUI10:QUI12 QUH65547:QUH65548 QUH131083:QUH131084 QUH196619:QUH196620 QUH262155:QUH262156 QUH327691:QUH327692 QUH393227:QUH393228 QUH458763:QUH458764 QUH524299:QUH524300 QUH589835:QUH589836 QUH655371:QUH655372 QUH720907:QUH720908 QUH786443:QUH786444 QUH851979:QUH851980 QUH917515:QUH917516 QUH983051:QUH983052 REE10:REE12 RED65547:RED65548 RED131083:RED131084 RED196619:RED196620 RED262155:RED262156 RED327691:RED327692 RED393227:RED393228 RED458763:RED458764 RED524299:RED524300 RED589835:RED589836 RED655371:RED655372 RED720907:RED720908 RED786443:RED786444 RED851979:RED851980 RED917515:RED917516 RED983051:RED983052 ROA10:ROA12 RNZ65547:RNZ65548 RNZ131083:RNZ131084 RNZ196619:RNZ196620 RNZ262155:RNZ262156 RNZ327691:RNZ327692 RNZ393227:RNZ393228 RNZ458763:RNZ458764 RNZ524299:RNZ524300 RNZ589835:RNZ589836 RNZ655371:RNZ655372 RNZ720907:RNZ720908 RNZ786443:RNZ786444 RNZ851979:RNZ851980 RNZ917515:RNZ917516 RNZ983051:RNZ983052 RXW10:RXW12 RXV65547:RXV65548 RXV131083:RXV131084 RXV196619:RXV196620 RXV262155:RXV262156 RXV327691:RXV327692 RXV393227:RXV393228 RXV458763:RXV458764 RXV524299:RXV524300 RXV589835:RXV589836 RXV655371:RXV655372 RXV720907:RXV720908 RXV786443:RXV786444 RXV851979:RXV851980 RXV917515:RXV917516 RXV983051:RXV983052 SHS10:SHS12 SHR65547:SHR65548 SHR131083:SHR131084 SHR196619:SHR196620 SHR262155:SHR262156 SHR327691:SHR327692 SHR393227:SHR393228 SHR458763:SHR458764 SHR524299:SHR524300 SHR589835:SHR589836 SHR655371:SHR655372 SHR720907:SHR720908 SHR786443:SHR786444 SHR851979:SHR851980 SHR917515:SHR917516 SHR983051:SHR983052 SRO10:SRO12 SRN65547:SRN65548 SRN131083:SRN131084 SRN196619:SRN196620 SRN262155:SRN262156 SRN327691:SRN327692 SRN393227:SRN393228 SRN458763:SRN458764 SRN524299:SRN524300 SRN589835:SRN589836 SRN655371:SRN655372 SRN720907:SRN720908 SRN786443:SRN786444 SRN851979:SRN851980 SRN917515:SRN917516 SRN983051:SRN983052 TBK10:TBK12 TBJ65547:TBJ65548 TBJ131083:TBJ131084 TBJ196619:TBJ196620 TBJ262155:TBJ262156 TBJ327691:TBJ327692 TBJ393227:TBJ393228 TBJ458763:TBJ458764 TBJ524299:TBJ524300 TBJ589835:TBJ589836 TBJ655371:TBJ655372 TBJ720907:TBJ720908 TBJ786443:TBJ786444 TBJ851979:TBJ851980 TBJ917515:TBJ917516 TBJ983051:TBJ983052 TLG10:TLG12 TLF65547:TLF65548 TLF131083:TLF131084 TLF196619:TLF196620 TLF262155:TLF262156 TLF327691:TLF327692 TLF393227:TLF393228 TLF458763:TLF458764 TLF524299:TLF524300 TLF589835:TLF589836 TLF655371:TLF655372 TLF720907:TLF720908 TLF786443:TLF786444 TLF851979:TLF851980 TLF917515:TLF917516 TLF983051:TLF983052 TVC10:TVC12 TVB65547:TVB65548 TVB131083:TVB131084 TVB196619:TVB196620 TVB262155:TVB262156 TVB327691:TVB327692 TVB393227:TVB393228 TVB458763:TVB458764 TVB524299:TVB524300 TVB589835:TVB589836 TVB655371:TVB655372 TVB720907:TVB720908 TVB786443:TVB786444 TVB851979:TVB851980 TVB917515:TVB917516 TVB983051:TVB983052 UEY10:UEY12 UEX65547:UEX65548 UEX131083:UEX131084 UEX196619:UEX196620 UEX262155:UEX262156 UEX327691:UEX327692 UEX393227:UEX393228 UEX458763:UEX458764 UEX524299:UEX524300 UEX589835:UEX589836 UEX655371:UEX655372 UEX720907:UEX720908 UEX786443:UEX786444 UEX851979:UEX851980 UEX917515:UEX917516 UEX983051:UEX983052 UOU10:UOU12 UOT65547:UOT65548 UOT131083:UOT131084 UOT196619:UOT196620 UOT262155:UOT262156 UOT327691:UOT327692 UOT393227:UOT393228 UOT458763:UOT458764 UOT524299:UOT524300 UOT589835:UOT589836 UOT655371:UOT655372 UOT720907:UOT720908 UOT786443:UOT786444 UOT851979:UOT851980 UOT917515:UOT917516 UOT983051:UOT983052 UYQ10:UYQ12 UYP65547:UYP65548 UYP131083:UYP131084 UYP196619:UYP196620 UYP262155:UYP262156 UYP327691:UYP327692 UYP393227:UYP393228 UYP458763:UYP458764 UYP524299:UYP524300 UYP589835:UYP589836 UYP655371:UYP655372 UYP720907:UYP720908 UYP786443:UYP786444 UYP851979:UYP851980 UYP917515:UYP917516 UYP983051:UYP983052 VIM10:VIM12 VIL65547:VIL65548 VIL131083:VIL131084 VIL196619:VIL196620 VIL262155:VIL262156 VIL327691:VIL327692 VIL393227:VIL393228 VIL458763:VIL458764 VIL524299:VIL524300 VIL589835:VIL589836 VIL655371:VIL655372 VIL720907:VIL720908 VIL786443:VIL786444 VIL851979:VIL851980 VIL917515:VIL917516 VIL983051:VIL983052 VSI10:VSI12 VSH65547:VSH65548 VSH131083:VSH131084 VSH196619:VSH196620 VSH262155:VSH262156 VSH327691:VSH327692 VSH393227:VSH393228 VSH458763:VSH458764 VSH524299:VSH524300 VSH589835:VSH589836 VSH655371:VSH655372 VSH720907:VSH720908 VSH786443:VSH786444 VSH851979:VSH851980 VSH917515:VSH917516 VSH983051:VSH983052 WCE10:WCE12 WCD65547:WCD65548 WCD131083:WCD131084 WCD196619:WCD196620 WCD262155:WCD262156 WCD327691:WCD327692 WCD393227:WCD393228 WCD458763:WCD458764 WCD524299:WCD524300 WCD589835:WCD589836 WCD655371:WCD655372 WCD720907:WCD720908 WCD786443:WCD786444 WCD851979:WCD851980 WCD917515:WCD917516 WCD983051:WCD983052 WMA10:WMA12 WLZ65547:WLZ65548 WLZ131083:WLZ131084 WLZ196619:WLZ196620 WLZ262155:WLZ262156 WLZ327691:WLZ327692 WLZ393227:WLZ393228 WLZ458763:WLZ458764 WLZ524299:WLZ524300 WLZ589835:WLZ589836 WLZ655371:WLZ655372 WLZ720907:WLZ720908 WLZ786443:WLZ786444 WLZ851979:WLZ851980 WLZ917515:WLZ917516 WLZ983051:WLZ983052 WVW10:WVW12 WVV65547:WVV65548 WVV131083:WVV131084 WVV196619:WVV196620 WVV262155:WVV262156 WVV327691:WVV327692 WVV393227:WVV393228 WVV458763:WVV458764 WVV524299:WVV524300 WVV589835:WVV589836 WVV655371:WVV655372 WVV720907:WVV720908 WVV786443:WVV786444 WVV851979:WVV851980 WVV917515:WVV917516 WVV983051:WVV983052" xr:uid="{07BCB4D5-F3C9-4EEF-B276-7457D9016633}"/>
    <dataValidation allowBlank="1" showInputMessage="1" showErrorMessage="1" prompt="Performance Tasks Total Raw Score" sqref="N65549:N65649 N131085:N131185 N196621:N196721 N262157:N262257 N327693:N327793 N393229:N393329 N458765:N458865 N524301:N524401 N589837:N589937 N655373:N655473 N720909:N721009 N786445:N786545 N851981:N852081 N917517:N917617 N983053:N983153 TG13:TG63 JJ65549:JJ65649 JJ131085:JJ131185 JJ196621:JJ196721 JJ262157:JJ262257 JJ327693:JJ327793 JJ393229:JJ393329 JJ458765:JJ458865 JJ524301:JJ524401 JJ589837:JJ589937 JJ655373:JJ655473 JJ720909:JJ721009 JJ786445:JJ786545 JJ851981:JJ852081 JJ917517:JJ917617 JJ983053:JJ983153 ADC13:ADC63 TF65549:TF65649 TF131085:TF131185 TF196621:TF196721 TF262157:TF262257 TF327693:TF327793 TF393229:TF393329 TF458765:TF458865 TF524301:TF524401 TF589837:TF589937 TF655373:TF655473 TF720909:TF721009 TF786445:TF786545 TF851981:TF852081 TF917517:TF917617 TF983053:TF983153 AMY13:AMY6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WU13:AWU6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BGQ13:BGQ6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QM13:BQM6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CAI13:CAI6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KE13:CKE6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UA13:CUA6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DDW13:DDW6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NS13:DNS6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XO13:DXO6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EHK13:EHK6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RG13:ERG6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FBC13:FBC6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KY13:FKY6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UU13:FUU6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GEQ13:GEQ6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OM13:GOM6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YI13:GYI6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HIE13:HIE6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SA13:HSA6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IBW13:IBW6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LS13:ILS6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VO13:IVO6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JFK13:JFK6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PG13:JPG6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ZC13:JZC6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KIY13:KIY6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SU13:KSU6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LCQ13:LCQ6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MM13:LMM6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WI13:LWI6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MGE13:MGE6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QA13:MQA6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ZW13:MZW6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NJS13:NJS6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TO13:NTO6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ODK13:ODK6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NG13:ONG6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XC13:OXC6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PGY13:PGY6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QU13:PQU6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QAQ13:QAQ6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KM13:QKM6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UI13:QUI6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REE13:REE6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OA13:ROA6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XW13:RXW6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SHS13:SHS6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RO13:SRO6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TBK13:TBK6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LG13:TLG6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VC13:TVC6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UEY13:UEY6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OU13:UOU6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YQ13:UYQ6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VIM13:VIM6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SI13:VSI6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WCE13:WCE6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MA13:WMA6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VW13:WVW6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983053:WVV983153 WVV65549:WVV65649 WVV131085:WVV131185 WVV196621:WVV196721 WVV262157:WVV262257 WVV327693:WVV327793 WVV393229:WVV393329 WVV458765:WVV458865 WVV524301:WVV524401 WVV589837:WVV589937 WVV655373:WVV655473 WVV720909:WVV721009 WVV786445:WVV786545 WVV851981:WVV852081 WVV917517:WVV917617 JK13:JK63 WVW66:WVW114 WMA66:WMA114 WCE66:WCE114 VSI66:VSI114 VIM66:VIM114 UYQ66:UYQ114 UOU66:UOU114 UEY66:UEY114 TVC66:TVC114 TLG66:TLG114 TBK66:TBK114 SRO66:SRO114 SHS66:SHS114 RXW66:RXW114 ROA66:ROA114 REE66:REE114 QUI66:QUI114 QKM66:QKM114 QAQ66:QAQ114 PQU66:PQU114 PGY66:PGY114 OXC66:OXC114 ONG66:ONG114 ODK66:ODK114 NTO66:NTO114 NJS66:NJS114 MZW66:MZW114 MQA66:MQA114 MGE66:MGE114 LWI66:LWI114 LMM66:LMM114 LCQ66:LCQ114 KSU66:KSU114 KIY66:KIY114 JZC66:JZC114 JPG66:JPG114 JFK66:JFK114 IVO66:IVO114 ILS66:ILS114 IBW66:IBW114 HSA66:HSA114 HIE66:HIE114 GYI66:GYI114 GOM66:GOM114 GEQ66:GEQ114 FUU66:FUU114 FKY66:FKY114 FBC66:FBC114 ERG66:ERG114 EHK66:EHK114 DXO66:DXO114 DNS66:DNS114 DDW66:DDW114 CUA66:CUA114 CKE66:CKE114 CAI66:CAI114 BQM66:BQM114 BGQ66:BGQ114 AWU66:AWU114 AMY66:AMY114 ADC66:ADC114 TG66:TG114 JK66:JK114" xr:uid="{A50C79BD-A95E-4EC6-BB1F-769EADD1F5C1}"/>
    <dataValidation allowBlank="1" showInputMessage="1" showErrorMessage="1" prompt="Performance Tasks Percentage Score" sqref="O65547:O65649 O131083:O131185 O196619:O196721 O262155:O262257 O327691:O327793 O393227:O393329 O458763:O458865 O524299:O524401 O589835:O589937 O655371:O655473 O720907:O721009 O786443:O786545 O851979:O852081 O917515:O917617 O983051:O983153 JK65547:JK65649 JK131083:JK131185 JK196619:JK196721 JK262155:JK262257 JK327691:JK327793 JK393227:JK393329 JK458763:JK458865 JK524299:JK524401 JK589835:JK589937 JK655371:JK655473 JK720907:JK721009 JK786443:JK786545 JK851979:JK852081 JK917515:JK917617 JK983051:JK983153 TH10:TH63 TG65547:TG65649 TG131083:TG131185 TG196619:TG196721 TG262155:TG262257 TG327691:TG327793 TG393227:TG393329 TG458763:TG458865 TG524299:TG524401 TG589835:TG589937 TG655371:TG655473 TG720907:TG721009 TG786443:TG786545 TG851979:TG852081 TG917515:TG917617 TG983051:TG983153 ADD10:ADD63 ADC65547:ADC65649 ADC131083:ADC131185 ADC196619:ADC196721 ADC262155:ADC262257 ADC327691:ADC327793 ADC393227:ADC393329 ADC458763:ADC458865 ADC524299:ADC524401 ADC589835:ADC589937 ADC655371:ADC655473 ADC720907:ADC721009 ADC786443:ADC786545 ADC851979:ADC852081 ADC917515:ADC917617 ADC983051:ADC983153 AMZ10:AMZ63 AMY65547:AMY65649 AMY131083:AMY131185 AMY196619:AMY196721 AMY262155:AMY262257 AMY327691:AMY327793 AMY393227:AMY393329 AMY458763:AMY458865 AMY524299:AMY524401 AMY589835:AMY589937 AMY655371:AMY655473 AMY720907:AMY721009 AMY786443:AMY786545 AMY851979:AMY852081 AMY917515:AMY917617 AMY983051:AMY983153 AWV10:AWV63 AWU65547:AWU65649 AWU131083:AWU131185 AWU196619:AWU196721 AWU262155:AWU262257 AWU327691:AWU327793 AWU393227:AWU393329 AWU458763:AWU458865 AWU524299:AWU524401 AWU589835:AWU589937 AWU655371:AWU655473 AWU720907:AWU721009 AWU786443:AWU786545 AWU851979:AWU852081 AWU917515:AWU917617 AWU983051:AWU983153 BGR10:BGR63 BGQ65547:BGQ65649 BGQ131083:BGQ131185 BGQ196619:BGQ196721 BGQ262155:BGQ262257 BGQ327691:BGQ327793 BGQ393227:BGQ393329 BGQ458763:BGQ458865 BGQ524299:BGQ524401 BGQ589835:BGQ589937 BGQ655371:BGQ655473 BGQ720907:BGQ721009 BGQ786443:BGQ786545 BGQ851979:BGQ852081 BGQ917515:BGQ917617 BGQ983051:BGQ983153 BQN10:BQN63 BQM65547:BQM65649 BQM131083:BQM131185 BQM196619:BQM196721 BQM262155:BQM262257 BQM327691:BQM327793 BQM393227:BQM393329 BQM458763:BQM458865 BQM524299:BQM524401 BQM589835:BQM589937 BQM655371:BQM655473 BQM720907:BQM721009 BQM786443:BQM786545 BQM851979:BQM852081 BQM917515:BQM917617 BQM983051:BQM983153 CAJ10:CAJ63 CAI65547:CAI65649 CAI131083:CAI131185 CAI196619:CAI196721 CAI262155:CAI262257 CAI327691:CAI327793 CAI393227:CAI393329 CAI458763:CAI458865 CAI524299:CAI524401 CAI589835:CAI589937 CAI655371:CAI655473 CAI720907:CAI721009 CAI786443:CAI786545 CAI851979:CAI852081 CAI917515:CAI917617 CAI983051:CAI983153 CKF10:CKF63 CKE65547:CKE65649 CKE131083:CKE131185 CKE196619:CKE196721 CKE262155:CKE262257 CKE327691:CKE327793 CKE393227:CKE393329 CKE458763:CKE458865 CKE524299:CKE524401 CKE589835:CKE589937 CKE655371:CKE655473 CKE720907:CKE721009 CKE786443:CKE786545 CKE851979:CKE852081 CKE917515:CKE917617 CKE983051:CKE983153 CUB10:CUB63 CUA65547:CUA65649 CUA131083:CUA131185 CUA196619:CUA196721 CUA262155:CUA262257 CUA327691:CUA327793 CUA393227:CUA393329 CUA458763:CUA458865 CUA524299:CUA524401 CUA589835:CUA589937 CUA655371:CUA655473 CUA720907:CUA721009 CUA786443:CUA786545 CUA851979:CUA852081 CUA917515:CUA917617 CUA983051:CUA983153 DDX10:DDX63 DDW65547:DDW65649 DDW131083:DDW131185 DDW196619:DDW196721 DDW262155:DDW262257 DDW327691:DDW327793 DDW393227:DDW393329 DDW458763:DDW458865 DDW524299:DDW524401 DDW589835:DDW589937 DDW655371:DDW655473 DDW720907:DDW721009 DDW786443:DDW786545 DDW851979:DDW852081 DDW917515:DDW917617 DDW983051:DDW983153 DNT10:DNT63 DNS65547:DNS65649 DNS131083:DNS131185 DNS196619:DNS196721 DNS262155:DNS262257 DNS327691:DNS327793 DNS393227:DNS393329 DNS458763:DNS458865 DNS524299:DNS524401 DNS589835:DNS589937 DNS655371:DNS655473 DNS720907:DNS721009 DNS786443:DNS786545 DNS851979:DNS852081 DNS917515:DNS917617 DNS983051:DNS983153 DXP10:DXP63 DXO65547:DXO65649 DXO131083:DXO131185 DXO196619:DXO196721 DXO262155:DXO262257 DXO327691:DXO327793 DXO393227:DXO393329 DXO458763:DXO458865 DXO524299:DXO524401 DXO589835:DXO589937 DXO655371:DXO655473 DXO720907:DXO721009 DXO786443:DXO786545 DXO851979:DXO852081 DXO917515:DXO917617 DXO983051:DXO983153 EHL10:EHL63 EHK65547:EHK65649 EHK131083:EHK131185 EHK196619:EHK196721 EHK262155:EHK262257 EHK327691:EHK327793 EHK393227:EHK393329 EHK458763:EHK458865 EHK524299:EHK524401 EHK589835:EHK589937 EHK655371:EHK655473 EHK720907:EHK721009 EHK786443:EHK786545 EHK851979:EHK852081 EHK917515:EHK917617 EHK983051:EHK983153 ERH10:ERH63 ERG65547:ERG65649 ERG131083:ERG131185 ERG196619:ERG196721 ERG262155:ERG262257 ERG327691:ERG327793 ERG393227:ERG393329 ERG458763:ERG458865 ERG524299:ERG524401 ERG589835:ERG589937 ERG655371:ERG655473 ERG720907:ERG721009 ERG786443:ERG786545 ERG851979:ERG852081 ERG917515:ERG917617 ERG983051:ERG983153 FBD10:FBD63 FBC65547:FBC65649 FBC131083:FBC131185 FBC196619:FBC196721 FBC262155:FBC262257 FBC327691:FBC327793 FBC393227:FBC393329 FBC458763:FBC458865 FBC524299:FBC524401 FBC589835:FBC589937 FBC655371:FBC655473 FBC720907:FBC721009 FBC786443:FBC786545 FBC851979:FBC852081 FBC917515:FBC917617 FBC983051:FBC983153 FKZ10:FKZ63 FKY65547:FKY65649 FKY131083:FKY131185 FKY196619:FKY196721 FKY262155:FKY262257 FKY327691:FKY327793 FKY393227:FKY393329 FKY458763:FKY458865 FKY524299:FKY524401 FKY589835:FKY589937 FKY655371:FKY655473 FKY720907:FKY721009 FKY786443:FKY786545 FKY851979:FKY852081 FKY917515:FKY917617 FKY983051:FKY983153 FUV10:FUV63 FUU65547:FUU65649 FUU131083:FUU131185 FUU196619:FUU196721 FUU262155:FUU262257 FUU327691:FUU327793 FUU393227:FUU393329 FUU458763:FUU458865 FUU524299:FUU524401 FUU589835:FUU589937 FUU655371:FUU655473 FUU720907:FUU721009 FUU786443:FUU786545 FUU851979:FUU852081 FUU917515:FUU917617 FUU983051:FUU983153 GER10:GER63 GEQ65547:GEQ65649 GEQ131083:GEQ131185 GEQ196619:GEQ196721 GEQ262155:GEQ262257 GEQ327691:GEQ327793 GEQ393227:GEQ393329 GEQ458763:GEQ458865 GEQ524299:GEQ524401 GEQ589835:GEQ589937 GEQ655371:GEQ655473 GEQ720907:GEQ721009 GEQ786443:GEQ786545 GEQ851979:GEQ852081 GEQ917515:GEQ917617 GEQ983051:GEQ983153 GON10:GON63 GOM65547:GOM65649 GOM131083:GOM131185 GOM196619:GOM196721 GOM262155:GOM262257 GOM327691:GOM327793 GOM393227:GOM393329 GOM458763:GOM458865 GOM524299:GOM524401 GOM589835:GOM589937 GOM655371:GOM655473 GOM720907:GOM721009 GOM786443:GOM786545 GOM851979:GOM852081 GOM917515:GOM917617 GOM983051:GOM983153 GYJ10:GYJ63 GYI65547:GYI65649 GYI131083:GYI131185 GYI196619:GYI196721 GYI262155:GYI262257 GYI327691:GYI327793 GYI393227:GYI393329 GYI458763:GYI458865 GYI524299:GYI524401 GYI589835:GYI589937 GYI655371:GYI655473 GYI720907:GYI721009 GYI786443:GYI786545 GYI851979:GYI852081 GYI917515:GYI917617 GYI983051:GYI983153 HIF10:HIF63 HIE65547:HIE65649 HIE131083:HIE131185 HIE196619:HIE196721 HIE262155:HIE262257 HIE327691:HIE327793 HIE393227:HIE393329 HIE458763:HIE458865 HIE524299:HIE524401 HIE589835:HIE589937 HIE655371:HIE655473 HIE720907:HIE721009 HIE786443:HIE786545 HIE851979:HIE852081 HIE917515:HIE917617 HIE983051:HIE983153 HSB10:HSB63 HSA65547:HSA65649 HSA131083:HSA131185 HSA196619:HSA196721 HSA262155:HSA262257 HSA327691:HSA327793 HSA393227:HSA393329 HSA458763:HSA458865 HSA524299:HSA524401 HSA589835:HSA589937 HSA655371:HSA655473 HSA720907:HSA721009 HSA786443:HSA786545 HSA851979:HSA852081 HSA917515:HSA917617 HSA983051:HSA983153 IBX10:IBX63 IBW65547:IBW65649 IBW131083:IBW131185 IBW196619:IBW196721 IBW262155:IBW262257 IBW327691:IBW327793 IBW393227:IBW393329 IBW458763:IBW458865 IBW524299:IBW524401 IBW589835:IBW589937 IBW655371:IBW655473 IBW720907:IBW721009 IBW786443:IBW786545 IBW851979:IBW852081 IBW917515:IBW917617 IBW983051:IBW983153 ILT10:ILT63 ILS65547:ILS65649 ILS131083:ILS131185 ILS196619:ILS196721 ILS262155:ILS262257 ILS327691:ILS327793 ILS393227:ILS393329 ILS458763:ILS458865 ILS524299:ILS524401 ILS589835:ILS589937 ILS655371:ILS655473 ILS720907:ILS721009 ILS786443:ILS786545 ILS851979:ILS852081 ILS917515:ILS917617 ILS983051:ILS983153 IVP10:IVP63 IVO65547:IVO65649 IVO131083:IVO131185 IVO196619:IVO196721 IVO262155:IVO262257 IVO327691:IVO327793 IVO393227:IVO393329 IVO458763:IVO458865 IVO524299:IVO524401 IVO589835:IVO589937 IVO655371:IVO655473 IVO720907:IVO721009 IVO786443:IVO786545 IVO851979:IVO852081 IVO917515:IVO917617 IVO983051:IVO983153 JFL10:JFL63 JFK65547:JFK65649 JFK131083:JFK131185 JFK196619:JFK196721 JFK262155:JFK262257 JFK327691:JFK327793 JFK393227:JFK393329 JFK458763:JFK458865 JFK524299:JFK524401 JFK589835:JFK589937 JFK655371:JFK655473 JFK720907:JFK721009 JFK786443:JFK786545 JFK851979:JFK852081 JFK917515:JFK917617 JFK983051:JFK983153 JPH10:JPH63 JPG65547:JPG65649 JPG131083:JPG131185 JPG196619:JPG196721 JPG262155:JPG262257 JPG327691:JPG327793 JPG393227:JPG393329 JPG458763:JPG458865 JPG524299:JPG524401 JPG589835:JPG589937 JPG655371:JPG655473 JPG720907:JPG721009 JPG786443:JPG786545 JPG851979:JPG852081 JPG917515:JPG917617 JPG983051:JPG983153 JZD10:JZD63 JZC65547:JZC65649 JZC131083:JZC131185 JZC196619:JZC196721 JZC262155:JZC262257 JZC327691:JZC327793 JZC393227:JZC393329 JZC458763:JZC458865 JZC524299:JZC524401 JZC589835:JZC589937 JZC655371:JZC655473 JZC720907:JZC721009 JZC786443:JZC786545 JZC851979:JZC852081 JZC917515:JZC917617 JZC983051:JZC983153 KIZ10:KIZ63 KIY65547:KIY65649 KIY131083:KIY131185 KIY196619:KIY196721 KIY262155:KIY262257 KIY327691:KIY327793 KIY393227:KIY393329 KIY458763:KIY458865 KIY524299:KIY524401 KIY589835:KIY589937 KIY655371:KIY655473 KIY720907:KIY721009 KIY786443:KIY786545 KIY851979:KIY852081 KIY917515:KIY917617 KIY983051:KIY983153 KSV10:KSV63 KSU65547:KSU65649 KSU131083:KSU131185 KSU196619:KSU196721 KSU262155:KSU262257 KSU327691:KSU327793 KSU393227:KSU393329 KSU458763:KSU458865 KSU524299:KSU524401 KSU589835:KSU589937 KSU655371:KSU655473 KSU720907:KSU721009 KSU786443:KSU786545 KSU851979:KSU852081 KSU917515:KSU917617 KSU983051:KSU983153 LCR10:LCR63 LCQ65547:LCQ65649 LCQ131083:LCQ131185 LCQ196619:LCQ196721 LCQ262155:LCQ262257 LCQ327691:LCQ327793 LCQ393227:LCQ393329 LCQ458763:LCQ458865 LCQ524299:LCQ524401 LCQ589835:LCQ589937 LCQ655371:LCQ655473 LCQ720907:LCQ721009 LCQ786443:LCQ786545 LCQ851979:LCQ852081 LCQ917515:LCQ917617 LCQ983051:LCQ983153 LMN10:LMN63 LMM65547:LMM65649 LMM131083:LMM131185 LMM196619:LMM196721 LMM262155:LMM262257 LMM327691:LMM327793 LMM393227:LMM393329 LMM458763:LMM458865 LMM524299:LMM524401 LMM589835:LMM589937 LMM655371:LMM655473 LMM720907:LMM721009 LMM786443:LMM786545 LMM851979:LMM852081 LMM917515:LMM917617 LMM983051:LMM983153 LWJ10:LWJ63 LWI65547:LWI65649 LWI131083:LWI131185 LWI196619:LWI196721 LWI262155:LWI262257 LWI327691:LWI327793 LWI393227:LWI393329 LWI458763:LWI458865 LWI524299:LWI524401 LWI589835:LWI589937 LWI655371:LWI655473 LWI720907:LWI721009 LWI786443:LWI786545 LWI851979:LWI852081 LWI917515:LWI917617 LWI983051:LWI983153 MGF10:MGF63 MGE65547:MGE65649 MGE131083:MGE131185 MGE196619:MGE196721 MGE262155:MGE262257 MGE327691:MGE327793 MGE393227:MGE393329 MGE458763:MGE458865 MGE524299:MGE524401 MGE589835:MGE589937 MGE655371:MGE655473 MGE720907:MGE721009 MGE786443:MGE786545 MGE851979:MGE852081 MGE917515:MGE917617 MGE983051:MGE983153 MQB10:MQB63 MQA65547:MQA65649 MQA131083:MQA131185 MQA196619:MQA196721 MQA262155:MQA262257 MQA327691:MQA327793 MQA393227:MQA393329 MQA458763:MQA458865 MQA524299:MQA524401 MQA589835:MQA589937 MQA655371:MQA655473 MQA720907:MQA721009 MQA786443:MQA786545 MQA851979:MQA852081 MQA917515:MQA917617 MQA983051:MQA983153 MZX10:MZX63 MZW65547:MZW65649 MZW131083:MZW131185 MZW196619:MZW196721 MZW262155:MZW262257 MZW327691:MZW327793 MZW393227:MZW393329 MZW458763:MZW458865 MZW524299:MZW524401 MZW589835:MZW589937 MZW655371:MZW655473 MZW720907:MZW721009 MZW786443:MZW786545 MZW851979:MZW852081 MZW917515:MZW917617 MZW983051:MZW983153 NJT10:NJT63 NJS65547:NJS65649 NJS131083:NJS131185 NJS196619:NJS196721 NJS262155:NJS262257 NJS327691:NJS327793 NJS393227:NJS393329 NJS458763:NJS458865 NJS524299:NJS524401 NJS589835:NJS589937 NJS655371:NJS655473 NJS720907:NJS721009 NJS786443:NJS786545 NJS851979:NJS852081 NJS917515:NJS917617 NJS983051:NJS983153 NTP10:NTP63 NTO65547:NTO65649 NTO131083:NTO131185 NTO196619:NTO196721 NTO262155:NTO262257 NTO327691:NTO327793 NTO393227:NTO393329 NTO458763:NTO458865 NTO524299:NTO524401 NTO589835:NTO589937 NTO655371:NTO655473 NTO720907:NTO721009 NTO786443:NTO786545 NTO851979:NTO852081 NTO917515:NTO917617 NTO983051:NTO983153 ODL10:ODL63 ODK65547:ODK65649 ODK131083:ODK131185 ODK196619:ODK196721 ODK262155:ODK262257 ODK327691:ODK327793 ODK393227:ODK393329 ODK458763:ODK458865 ODK524299:ODK524401 ODK589835:ODK589937 ODK655371:ODK655473 ODK720907:ODK721009 ODK786443:ODK786545 ODK851979:ODK852081 ODK917515:ODK917617 ODK983051:ODK983153 ONH10:ONH63 ONG65547:ONG65649 ONG131083:ONG131185 ONG196619:ONG196721 ONG262155:ONG262257 ONG327691:ONG327793 ONG393227:ONG393329 ONG458763:ONG458865 ONG524299:ONG524401 ONG589835:ONG589937 ONG655371:ONG655473 ONG720907:ONG721009 ONG786443:ONG786545 ONG851979:ONG852081 ONG917515:ONG917617 ONG983051:ONG983153 OXD10:OXD63 OXC65547:OXC65649 OXC131083:OXC131185 OXC196619:OXC196721 OXC262155:OXC262257 OXC327691:OXC327793 OXC393227:OXC393329 OXC458763:OXC458865 OXC524299:OXC524401 OXC589835:OXC589937 OXC655371:OXC655473 OXC720907:OXC721009 OXC786443:OXC786545 OXC851979:OXC852081 OXC917515:OXC917617 OXC983051:OXC983153 PGZ10:PGZ63 PGY65547:PGY65649 PGY131083:PGY131185 PGY196619:PGY196721 PGY262155:PGY262257 PGY327691:PGY327793 PGY393227:PGY393329 PGY458763:PGY458865 PGY524299:PGY524401 PGY589835:PGY589937 PGY655371:PGY655473 PGY720907:PGY721009 PGY786443:PGY786545 PGY851979:PGY852081 PGY917515:PGY917617 PGY983051:PGY983153 PQV10:PQV63 PQU65547:PQU65649 PQU131083:PQU131185 PQU196619:PQU196721 PQU262155:PQU262257 PQU327691:PQU327793 PQU393227:PQU393329 PQU458763:PQU458865 PQU524299:PQU524401 PQU589835:PQU589937 PQU655371:PQU655473 PQU720907:PQU721009 PQU786443:PQU786545 PQU851979:PQU852081 PQU917515:PQU917617 PQU983051:PQU983153 QAR10:QAR63 QAQ65547:QAQ65649 QAQ131083:QAQ131185 QAQ196619:QAQ196721 QAQ262155:QAQ262257 QAQ327691:QAQ327793 QAQ393227:QAQ393329 QAQ458763:QAQ458865 QAQ524299:QAQ524401 QAQ589835:QAQ589937 QAQ655371:QAQ655473 QAQ720907:QAQ721009 QAQ786443:QAQ786545 QAQ851979:QAQ852081 QAQ917515:QAQ917617 QAQ983051:QAQ983153 QKN10:QKN63 QKM65547:QKM65649 QKM131083:QKM131185 QKM196619:QKM196721 QKM262155:QKM262257 QKM327691:QKM327793 QKM393227:QKM393329 QKM458763:QKM458865 QKM524299:QKM524401 QKM589835:QKM589937 QKM655371:QKM655473 QKM720907:QKM721009 QKM786443:QKM786545 QKM851979:QKM852081 QKM917515:QKM917617 QKM983051:QKM983153 QUJ10:QUJ63 QUI65547:QUI65649 QUI131083:QUI131185 QUI196619:QUI196721 QUI262155:QUI262257 QUI327691:QUI327793 QUI393227:QUI393329 QUI458763:QUI458865 QUI524299:QUI524401 QUI589835:QUI589937 QUI655371:QUI655473 QUI720907:QUI721009 QUI786443:QUI786545 QUI851979:QUI852081 QUI917515:QUI917617 QUI983051:QUI983153 REF10:REF63 REE65547:REE65649 REE131083:REE131185 REE196619:REE196721 REE262155:REE262257 REE327691:REE327793 REE393227:REE393329 REE458763:REE458865 REE524299:REE524401 REE589835:REE589937 REE655371:REE655473 REE720907:REE721009 REE786443:REE786545 REE851979:REE852081 REE917515:REE917617 REE983051:REE983153 ROB10:ROB63 ROA65547:ROA65649 ROA131083:ROA131185 ROA196619:ROA196721 ROA262155:ROA262257 ROA327691:ROA327793 ROA393227:ROA393329 ROA458763:ROA458865 ROA524299:ROA524401 ROA589835:ROA589937 ROA655371:ROA655473 ROA720907:ROA721009 ROA786443:ROA786545 ROA851979:ROA852081 ROA917515:ROA917617 ROA983051:ROA983153 RXX10:RXX63 RXW65547:RXW65649 RXW131083:RXW131185 RXW196619:RXW196721 RXW262155:RXW262257 RXW327691:RXW327793 RXW393227:RXW393329 RXW458763:RXW458865 RXW524299:RXW524401 RXW589835:RXW589937 RXW655371:RXW655473 RXW720907:RXW721009 RXW786443:RXW786545 RXW851979:RXW852081 RXW917515:RXW917617 RXW983051:RXW983153 SHT10:SHT63 SHS65547:SHS65649 SHS131083:SHS131185 SHS196619:SHS196721 SHS262155:SHS262257 SHS327691:SHS327793 SHS393227:SHS393329 SHS458763:SHS458865 SHS524299:SHS524401 SHS589835:SHS589937 SHS655371:SHS655473 SHS720907:SHS721009 SHS786443:SHS786545 SHS851979:SHS852081 SHS917515:SHS917617 SHS983051:SHS983153 SRP10:SRP63 SRO65547:SRO65649 SRO131083:SRO131185 SRO196619:SRO196721 SRO262155:SRO262257 SRO327691:SRO327793 SRO393227:SRO393329 SRO458763:SRO458865 SRO524299:SRO524401 SRO589835:SRO589937 SRO655371:SRO655473 SRO720907:SRO721009 SRO786443:SRO786545 SRO851979:SRO852081 SRO917515:SRO917617 SRO983051:SRO983153 TBL10:TBL63 TBK65547:TBK65649 TBK131083:TBK131185 TBK196619:TBK196721 TBK262155:TBK262257 TBK327691:TBK327793 TBK393227:TBK393329 TBK458763:TBK458865 TBK524299:TBK524401 TBK589835:TBK589937 TBK655371:TBK655473 TBK720907:TBK721009 TBK786443:TBK786545 TBK851979:TBK852081 TBK917515:TBK917617 TBK983051:TBK983153 TLH10:TLH63 TLG65547:TLG65649 TLG131083:TLG131185 TLG196619:TLG196721 TLG262155:TLG262257 TLG327691:TLG327793 TLG393227:TLG393329 TLG458763:TLG458865 TLG524299:TLG524401 TLG589835:TLG589937 TLG655371:TLG655473 TLG720907:TLG721009 TLG786443:TLG786545 TLG851979:TLG852081 TLG917515:TLG917617 TLG983051:TLG983153 TVD10:TVD63 TVC65547:TVC65649 TVC131083:TVC131185 TVC196619:TVC196721 TVC262155:TVC262257 TVC327691:TVC327793 TVC393227:TVC393329 TVC458763:TVC458865 TVC524299:TVC524401 TVC589835:TVC589937 TVC655371:TVC655473 TVC720907:TVC721009 TVC786443:TVC786545 TVC851979:TVC852081 TVC917515:TVC917617 TVC983051:TVC983153 UEZ10:UEZ63 UEY65547:UEY65649 UEY131083:UEY131185 UEY196619:UEY196721 UEY262155:UEY262257 UEY327691:UEY327793 UEY393227:UEY393329 UEY458763:UEY458865 UEY524299:UEY524401 UEY589835:UEY589937 UEY655371:UEY655473 UEY720907:UEY721009 UEY786443:UEY786545 UEY851979:UEY852081 UEY917515:UEY917617 UEY983051:UEY983153 UOV10:UOV63 UOU65547:UOU65649 UOU131083:UOU131185 UOU196619:UOU196721 UOU262155:UOU262257 UOU327691:UOU327793 UOU393227:UOU393329 UOU458763:UOU458865 UOU524299:UOU524401 UOU589835:UOU589937 UOU655371:UOU655473 UOU720907:UOU721009 UOU786443:UOU786545 UOU851979:UOU852081 UOU917515:UOU917617 UOU983051:UOU983153 UYR10:UYR63 UYQ65547:UYQ65649 UYQ131083:UYQ131185 UYQ196619:UYQ196721 UYQ262155:UYQ262257 UYQ327691:UYQ327793 UYQ393227:UYQ393329 UYQ458763:UYQ458865 UYQ524299:UYQ524401 UYQ589835:UYQ589937 UYQ655371:UYQ655473 UYQ720907:UYQ721009 UYQ786443:UYQ786545 UYQ851979:UYQ852081 UYQ917515:UYQ917617 UYQ983051:UYQ983153 VIN10:VIN63 VIM65547:VIM65649 VIM131083:VIM131185 VIM196619:VIM196721 VIM262155:VIM262257 VIM327691:VIM327793 VIM393227:VIM393329 VIM458763:VIM458865 VIM524299:VIM524401 VIM589835:VIM589937 VIM655371:VIM655473 VIM720907:VIM721009 VIM786443:VIM786545 VIM851979:VIM852081 VIM917515:VIM917617 VIM983051:VIM983153 VSJ10:VSJ63 VSI65547:VSI65649 VSI131083:VSI131185 VSI196619:VSI196721 VSI262155:VSI262257 VSI327691:VSI327793 VSI393227:VSI393329 VSI458763:VSI458865 VSI524299:VSI524401 VSI589835:VSI589937 VSI655371:VSI655473 VSI720907:VSI721009 VSI786443:VSI786545 VSI851979:VSI852081 VSI917515:VSI917617 VSI983051:VSI983153 WCF10:WCF63 WCE65547:WCE65649 WCE131083:WCE131185 WCE196619:WCE196721 WCE262155:WCE262257 WCE327691:WCE327793 WCE393227:WCE393329 WCE458763:WCE458865 WCE524299:WCE524401 WCE589835:WCE589937 WCE655371:WCE655473 WCE720907:WCE721009 WCE786443:WCE786545 WCE851979:WCE852081 WCE917515:WCE917617 WCE983051:WCE983153 WMB10:WMB63 WMA65547:WMA65649 WMA131083:WMA131185 WMA196619:WMA196721 WMA262155:WMA262257 WMA327691:WMA327793 WMA393227:WMA393329 WMA458763:WMA458865 WMA524299:WMA524401 WMA589835:WMA589937 WMA655371:WMA655473 WMA720907:WMA721009 WMA786443:WMA786545 WMA851979:WMA852081 WMA917515:WMA917617 WMA983051:WMA983153 WVX10:WVX63 WVW983051:WVW983153 WVW65547:WVW65649 WVW131083:WVW131185 WVW196619:WVW196721 WVW262155:WVW262257 WVW327691:WVW327793 WVW393227:WVW393329 WVW458763:WVW458865 WVW524299:WVW524401 WVW589835:WVW589937 WVW655371:WVW655473 WVW720907:WVW721009 WVW786443:WVW786545 WVW851979:WVW852081 WVW917515:WVW917617 JL10:JL63 WVX66:WVX114 WMB66:WMB114 WCF66:WCF114 VSJ66:VSJ114 VIN66:VIN114 UYR66:UYR114 UOV66:UOV114 UEZ66:UEZ114 TVD66:TVD114 TLH66:TLH114 TBL66:TBL114 SRP66:SRP114 SHT66:SHT114 RXX66:RXX114 ROB66:ROB114 REF66:REF114 QUJ66:QUJ114 QKN66:QKN114 QAR66:QAR114 PQV66:PQV114 PGZ66:PGZ114 OXD66:OXD114 ONH66:ONH114 ODL66:ODL114 NTP66:NTP114 NJT66:NJT114 MZX66:MZX114 MQB66:MQB114 MGF66:MGF114 LWJ66:LWJ114 LMN66:LMN114 LCR66:LCR114 KSV66:KSV114 KIZ66:KIZ114 JZD66:JZD114 JPH66:JPH114 JFL66:JFL114 IVP66:IVP114 ILT66:ILT114 IBX66:IBX114 HSB66:HSB114 HIF66:HIF114 GYJ66:GYJ114 GON66:GON114 GER66:GER114 FUV66:FUV114 FKZ66:FKZ114 FBD66:FBD114 ERH66:ERH114 EHL66:EHL114 DXP66:DXP114 DNT66:DNT114 DDX66:DDX114 CUB66:CUB114 CKF66:CKF114 CAJ66:CAJ114 BQN66:BQN114 BGR66:BGR114 AWV66:AWV114 AMZ66:AMZ114 ADD66:ADD114 TH66:TH114 JL66:JL114" xr:uid="{150F852A-9C1A-480B-B3B1-12A288AF5F53}"/>
    <dataValidation allowBlank="1" showInputMessage="1" showErrorMessage="1" prompt="Performance tasks Weighted Score" sqref="P65547:R65649 P131083:R131185 P196619:R196721 P262155:R262257 P327691:R327793 P393227:R393329 P458763:R458865 P524299:R524401 P589835:R589937 P655371:R655473 P720907:R721009 P786443:R786545 P851979:R852081 P917515:R917617 P983051:R983153 JL65547:JL65649 JL131083:JL131185 JL196619:JL196721 JL262155:JL262257 JL327691:JL327793 JL393227:JL393329 JL458763:JL458865 JL524299:JL524401 JL589835:JL589937 JL655371:JL655473 JL720907:JL721009 JL786443:JL786545 JL851979:JL852081 JL917515:JL917617 JL983051:JL983153 TI10:TI63 TH65547:TH65649 TH131083:TH131185 TH196619:TH196721 TH262155:TH262257 TH327691:TH327793 TH393227:TH393329 TH458763:TH458865 TH524299:TH524401 TH589835:TH589937 TH655371:TH655473 TH720907:TH721009 TH786443:TH786545 TH851979:TH852081 TH917515:TH917617 TH983051:TH983153 ADE10:ADE6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NA10:ANA6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W10:AWW6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S10:BGS6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O10:BQO6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K10:CAK6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G10:CKG6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C10:CUC6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Y10:DDY6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U10:DNU6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Q10:DXQ6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M10:EHM6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I10:ERI6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E10:FBE6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LA10:FLA6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W10:FUW6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S10:GES6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O10:GOO6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K10:GYK6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G10:HIG6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C10:HSC6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Y10:IBY6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U10:ILU6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Q10:IVQ6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M10:JFM6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I10:JPI6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E10:JZE6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JA10:KJA6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W10:KSW6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S10:LCS6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O10:LMO6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K10:LWK6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G10:MGG6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C10:MQC6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Y10:MZY6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U10:NJU6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Q10:NTQ6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M10:ODM6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I10:ONI6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E10:OXE6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HA10:PHA6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W10:PQW6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S10:QAS6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O10:QKO6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K10:QUK6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G10:REG6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C10:ROC6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Y10:RXY6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U10:SHU6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Q10:SRQ6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M10:TBM6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I10:TLI6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E10:TVE6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FA10:UFA6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W10:UOW6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S10:UYS6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O10:VIO6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K10:VSK6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G10:WCG6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C10:WMC6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Y10:WVY63 WVX983051:WVX983153 WVX65547:WVX65649 WVX131083:WVX131185 WVX196619:WVX196721 WVX262155:WVX262257 WVX327691:WVX327793 WVX393227:WVX393329 WVX458763:WVX458865 WVX524299:WVX524401 WVX589835:WVX589937 WVX655371:WVX655473 WVX720907:WVX721009 WVX786443:WVX786545 WVX851979:WVX852081 WVX917515:WVX917617 JM10:JM63 WVY66:WVY114 WMC66:WMC114 WCG66:WCG114 VSK66:VSK114 VIO66:VIO114 UYS66:UYS114 UOW66:UOW114 UFA66:UFA114 TVE66:TVE114 TLI66:TLI114 TBM66:TBM114 SRQ66:SRQ114 SHU66:SHU114 RXY66:RXY114 ROC66:ROC114 REG66:REG114 QUK66:QUK114 QKO66:QKO114 QAS66:QAS114 PQW66:PQW114 PHA66:PHA114 OXE66:OXE114 ONI66:ONI114 ODM66:ODM114 NTQ66:NTQ114 NJU66:NJU114 MZY66:MZY114 MQC66:MQC114 MGG66:MGG114 LWK66:LWK114 LMO66:LMO114 LCS66:LCS114 KSW66:KSW114 KJA66:KJA114 JZE66:JZE114 JPI66:JPI114 JFM66:JFM114 IVQ66:IVQ114 ILU66:ILU114 IBY66:IBY114 HSC66:HSC114 HIG66:HIG114 GYK66:GYK114 GOO66:GOO114 GES66:GES114 FUW66:FUW114 FLA66:FLA114 FBE66:FBE114 ERI66:ERI114 EHM66:EHM114 DXQ66:DXQ114 DNU66:DNU114 DDY66:DDY114 CUC66:CUC114 CKG66:CKG114 CAK66:CAK114 BQO66:BQO114 BGS66:BGS114 AWW66:AWW114 ANA66:ANA114 ADE66:ADE114 TI66:TI114 JM66:JM114" xr:uid="{9FC9E15B-2BAE-4CF2-816A-2A1FA72F13C4}"/>
    <dataValidation allowBlank="1" showInputMessage="1" showErrorMessage="1" prompt="INPUT Quarterly Assessment Highest Possible Score" sqref="S65547:T65548 S131083:T131084 S196619:T196620 S262155:T262156 S327691:T327692 S393227:T393228 S458763:T458764 S524299:T524300 S589835:T589836 S655371:T655372 S720907:T720908 S786443:T786444 S851979:T851980 S917515:T917516 S983051:T983052 JN10:JN12 JM65547:JM65548 JM131083:JM131084 JM196619:JM196620 JM262155:JM262156 JM327691:JM327692 JM393227:JM393228 JM458763:JM458764 JM524299:JM524300 JM589835:JM589836 JM655371:JM655372 JM720907:JM720908 JM786443:JM786444 JM851979:JM851980 JM917515:JM917516 JM983051:JM983052 TJ10:TJ12 TI65547:TI65548 TI131083:TI131084 TI196619:TI196620 TI262155:TI262156 TI327691:TI327692 TI393227:TI393228 TI458763:TI458764 TI524299:TI524300 TI589835:TI589836 TI655371:TI655372 TI720907:TI720908 TI786443:TI786444 TI851979:TI851980 TI917515:TI917516 TI983051:TI983052 ADF10:ADF12 ADE65547:ADE65548 ADE131083:ADE131084 ADE196619:ADE196620 ADE262155:ADE262156 ADE327691:ADE327692 ADE393227:ADE393228 ADE458763:ADE458764 ADE524299:ADE524300 ADE589835:ADE589836 ADE655371:ADE655372 ADE720907:ADE720908 ADE786443:ADE786444 ADE851979:ADE851980 ADE917515:ADE917516 ADE983051:ADE983052 ANB10:ANB12 ANA65547:ANA65548 ANA131083:ANA131084 ANA196619:ANA196620 ANA262155:ANA262156 ANA327691:ANA327692 ANA393227:ANA393228 ANA458763:ANA458764 ANA524299:ANA524300 ANA589835:ANA589836 ANA655371:ANA655372 ANA720907:ANA720908 ANA786443:ANA786444 ANA851979:ANA851980 ANA917515:ANA917516 ANA983051:ANA983052 AWX10:AWX12 AWW65547:AWW65548 AWW131083:AWW131084 AWW196619:AWW196620 AWW262155:AWW262156 AWW327691:AWW327692 AWW393227:AWW393228 AWW458763:AWW458764 AWW524299:AWW524300 AWW589835:AWW589836 AWW655371:AWW655372 AWW720907:AWW720908 AWW786443:AWW786444 AWW851979:AWW851980 AWW917515:AWW917516 AWW983051:AWW983052 BGT10:BGT12 BGS65547:BGS65548 BGS131083:BGS131084 BGS196619:BGS196620 BGS262155:BGS262156 BGS327691:BGS327692 BGS393227:BGS393228 BGS458763:BGS458764 BGS524299:BGS524300 BGS589835:BGS589836 BGS655371:BGS655372 BGS720907:BGS720908 BGS786443:BGS786444 BGS851979:BGS851980 BGS917515:BGS917516 BGS983051:BGS983052 BQP10:BQP12 BQO65547:BQO65548 BQO131083:BQO131084 BQO196619:BQO196620 BQO262155:BQO262156 BQO327691:BQO327692 BQO393227:BQO393228 BQO458763:BQO458764 BQO524299:BQO524300 BQO589835:BQO589836 BQO655371:BQO655372 BQO720907:BQO720908 BQO786443:BQO786444 BQO851979:BQO851980 BQO917515:BQO917516 BQO983051:BQO983052 CAL10:CAL12 CAK65547:CAK65548 CAK131083:CAK131084 CAK196619:CAK196620 CAK262155:CAK262156 CAK327691:CAK327692 CAK393227:CAK393228 CAK458763:CAK458764 CAK524299:CAK524300 CAK589835:CAK589836 CAK655371:CAK655372 CAK720907:CAK720908 CAK786443:CAK786444 CAK851979:CAK851980 CAK917515:CAK917516 CAK983051:CAK983052 CKH10:CKH12 CKG65547:CKG65548 CKG131083:CKG131084 CKG196619:CKG196620 CKG262155:CKG262156 CKG327691:CKG327692 CKG393227:CKG393228 CKG458763:CKG458764 CKG524299:CKG524300 CKG589835:CKG589836 CKG655371:CKG655372 CKG720907:CKG720908 CKG786443:CKG786444 CKG851979:CKG851980 CKG917515:CKG917516 CKG983051:CKG983052 CUD10:CUD12 CUC65547:CUC65548 CUC131083:CUC131084 CUC196619:CUC196620 CUC262155:CUC262156 CUC327691:CUC327692 CUC393227:CUC393228 CUC458763:CUC458764 CUC524299:CUC524300 CUC589835:CUC589836 CUC655371:CUC655372 CUC720907:CUC720908 CUC786443:CUC786444 CUC851979:CUC851980 CUC917515:CUC917516 CUC983051:CUC983052 DDZ10:DDZ12 DDY65547:DDY65548 DDY131083:DDY131084 DDY196619:DDY196620 DDY262155:DDY262156 DDY327691:DDY327692 DDY393227:DDY393228 DDY458763:DDY458764 DDY524299:DDY524300 DDY589835:DDY589836 DDY655371:DDY655372 DDY720907:DDY720908 DDY786443:DDY786444 DDY851979:DDY851980 DDY917515:DDY917516 DDY983051:DDY983052 DNV10:DNV12 DNU65547:DNU65548 DNU131083:DNU131084 DNU196619:DNU196620 DNU262155:DNU262156 DNU327691:DNU327692 DNU393227:DNU393228 DNU458763:DNU458764 DNU524299:DNU524300 DNU589835:DNU589836 DNU655371:DNU655372 DNU720907:DNU720908 DNU786443:DNU786444 DNU851979:DNU851980 DNU917515:DNU917516 DNU983051:DNU983052 DXR10:DXR12 DXQ65547:DXQ65548 DXQ131083:DXQ131084 DXQ196619:DXQ196620 DXQ262155:DXQ262156 DXQ327691:DXQ327692 DXQ393227:DXQ393228 DXQ458763:DXQ458764 DXQ524299:DXQ524300 DXQ589835:DXQ589836 DXQ655371:DXQ655372 DXQ720907:DXQ720908 DXQ786443:DXQ786444 DXQ851979:DXQ851980 DXQ917515:DXQ917516 DXQ983051:DXQ983052 EHN10:EHN12 EHM65547:EHM65548 EHM131083:EHM131084 EHM196619:EHM196620 EHM262155:EHM262156 EHM327691:EHM327692 EHM393227:EHM393228 EHM458763:EHM458764 EHM524299:EHM524300 EHM589835:EHM589836 EHM655371:EHM655372 EHM720907:EHM720908 EHM786443:EHM786444 EHM851979:EHM851980 EHM917515:EHM917516 EHM983051:EHM983052 ERJ10:ERJ12 ERI65547:ERI65548 ERI131083:ERI131084 ERI196619:ERI196620 ERI262155:ERI262156 ERI327691:ERI327692 ERI393227:ERI393228 ERI458763:ERI458764 ERI524299:ERI524300 ERI589835:ERI589836 ERI655371:ERI655372 ERI720907:ERI720908 ERI786443:ERI786444 ERI851979:ERI851980 ERI917515:ERI917516 ERI983051:ERI983052 FBF10:FBF12 FBE65547:FBE65548 FBE131083:FBE131084 FBE196619:FBE196620 FBE262155:FBE262156 FBE327691:FBE327692 FBE393227:FBE393228 FBE458763:FBE458764 FBE524299:FBE524300 FBE589835:FBE589836 FBE655371:FBE655372 FBE720907:FBE720908 FBE786443:FBE786444 FBE851979:FBE851980 FBE917515:FBE917516 FBE983051:FBE983052 FLB10:FLB12 FLA65547:FLA65548 FLA131083:FLA131084 FLA196619:FLA196620 FLA262155:FLA262156 FLA327691:FLA327692 FLA393227:FLA393228 FLA458763:FLA458764 FLA524299:FLA524300 FLA589835:FLA589836 FLA655371:FLA655372 FLA720907:FLA720908 FLA786443:FLA786444 FLA851979:FLA851980 FLA917515:FLA917516 FLA983051:FLA983052 FUX10:FUX12 FUW65547:FUW65548 FUW131083:FUW131084 FUW196619:FUW196620 FUW262155:FUW262156 FUW327691:FUW327692 FUW393227:FUW393228 FUW458763:FUW458764 FUW524299:FUW524300 FUW589835:FUW589836 FUW655371:FUW655372 FUW720907:FUW720908 FUW786443:FUW786444 FUW851979:FUW851980 FUW917515:FUW917516 FUW983051:FUW983052 GET10:GET12 GES65547:GES65548 GES131083:GES131084 GES196619:GES196620 GES262155:GES262156 GES327691:GES327692 GES393227:GES393228 GES458763:GES458764 GES524299:GES524300 GES589835:GES589836 GES655371:GES655372 GES720907:GES720908 GES786443:GES786444 GES851979:GES851980 GES917515:GES917516 GES983051:GES983052 GOP10:GOP12 GOO65547:GOO65548 GOO131083:GOO131084 GOO196619:GOO196620 GOO262155:GOO262156 GOO327691:GOO327692 GOO393227:GOO393228 GOO458763:GOO458764 GOO524299:GOO524300 GOO589835:GOO589836 GOO655371:GOO655372 GOO720907:GOO720908 GOO786443:GOO786444 GOO851979:GOO851980 GOO917515:GOO917516 GOO983051:GOO983052 GYL10:GYL12 GYK65547:GYK65548 GYK131083:GYK131084 GYK196619:GYK196620 GYK262155:GYK262156 GYK327691:GYK327692 GYK393227:GYK393228 GYK458763:GYK458764 GYK524299:GYK524300 GYK589835:GYK589836 GYK655371:GYK655372 GYK720907:GYK720908 GYK786443:GYK786444 GYK851979:GYK851980 GYK917515:GYK917516 GYK983051:GYK983052 HIH10:HIH12 HIG65547:HIG65548 HIG131083:HIG131084 HIG196619:HIG196620 HIG262155:HIG262156 HIG327691:HIG327692 HIG393227:HIG393228 HIG458763:HIG458764 HIG524299:HIG524300 HIG589835:HIG589836 HIG655371:HIG655372 HIG720907:HIG720908 HIG786443:HIG786444 HIG851979:HIG851980 HIG917515:HIG917516 HIG983051:HIG983052 HSD10:HSD12 HSC65547:HSC65548 HSC131083:HSC131084 HSC196619:HSC196620 HSC262155:HSC262156 HSC327691:HSC327692 HSC393227:HSC393228 HSC458763:HSC458764 HSC524299:HSC524300 HSC589835:HSC589836 HSC655371:HSC655372 HSC720907:HSC720908 HSC786443:HSC786444 HSC851979:HSC851980 HSC917515:HSC917516 HSC983051:HSC983052 IBZ10:IBZ12 IBY65547:IBY65548 IBY131083:IBY131084 IBY196619:IBY196620 IBY262155:IBY262156 IBY327691:IBY327692 IBY393227:IBY393228 IBY458763:IBY458764 IBY524299:IBY524300 IBY589835:IBY589836 IBY655371:IBY655372 IBY720907:IBY720908 IBY786443:IBY786444 IBY851979:IBY851980 IBY917515:IBY917516 IBY983051:IBY983052 ILV10:ILV12 ILU65547:ILU65548 ILU131083:ILU131084 ILU196619:ILU196620 ILU262155:ILU262156 ILU327691:ILU327692 ILU393227:ILU393228 ILU458763:ILU458764 ILU524299:ILU524300 ILU589835:ILU589836 ILU655371:ILU655372 ILU720907:ILU720908 ILU786443:ILU786444 ILU851979:ILU851980 ILU917515:ILU917516 ILU983051:ILU983052 IVR10:IVR12 IVQ65547:IVQ65548 IVQ131083:IVQ131084 IVQ196619:IVQ196620 IVQ262155:IVQ262156 IVQ327691:IVQ327692 IVQ393227:IVQ393228 IVQ458763:IVQ458764 IVQ524299:IVQ524300 IVQ589835:IVQ589836 IVQ655371:IVQ655372 IVQ720907:IVQ720908 IVQ786443:IVQ786444 IVQ851979:IVQ851980 IVQ917515:IVQ917516 IVQ983051:IVQ983052 JFN10:JFN12 JFM65547:JFM65548 JFM131083:JFM131084 JFM196619:JFM196620 JFM262155:JFM262156 JFM327691:JFM327692 JFM393227:JFM393228 JFM458763:JFM458764 JFM524299:JFM524300 JFM589835:JFM589836 JFM655371:JFM655372 JFM720907:JFM720908 JFM786443:JFM786444 JFM851979:JFM851980 JFM917515:JFM917516 JFM983051:JFM983052 JPJ10:JPJ12 JPI65547:JPI65548 JPI131083:JPI131084 JPI196619:JPI196620 JPI262155:JPI262156 JPI327691:JPI327692 JPI393227:JPI393228 JPI458763:JPI458764 JPI524299:JPI524300 JPI589835:JPI589836 JPI655371:JPI655372 JPI720907:JPI720908 JPI786443:JPI786444 JPI851979:JPI851980 JPI917515:JPI917516 JPI983051:JPI983052 JZF10:JZF12 JZE65547:JZE65548 JZE131083:JZE131084 JZE196619:JZE196620 JZE262155:JZE262156 JZE327691:JZE327692 JZE393227:JZE393228 JZE458763:JZE458764 JZE524299:JZE524300 JZE589835:JZE589836 JZE655371:JZE655372 JZE720907:JZE720908 JZE786443:JZE786444 JZE851979:JZE851980 JZE917515:JZE917516 JZE983051:JZE983052 KJB10:KJB12 KJA65547:KJA65548 KJA131083:KJA131084 KJA196619:KJA196620 KJA262155:KJA262156 KJA327691:KJA327692 KJA393227:KJA393228 KJA458763:KJA458764 KJA524299:KJA524300 KJA589835:KJA589836 KJA655371:KJA655372 KJA720907:KJA720908 KJA786443:KJA786444 KJA851979:KJA851980 KJA917515:KJA917516 KJA983051:KJA983052 KSX10:KSX12 KSW65547:KSW65548 KSW131083:KSW131084 KSW196619:KSW196620 KSW262155:KSW262156 KSW327691:KSW327692 KSW393227:KSW393228 KSW458763:KSW458764 KSW524299:KSW524300 KSW589835:KSW589836 KSW655371:KSW655372 KSW720907:KSW720908 KSW786443:KSW786444 KSW851979:KSW851980 KSW917515:KSW917516 KSW983051:KSW983052 LCT10:LCT12 LCS65547:LCS65548 LCS131083:LCS131084 LCS196619:LCS196620 LCS262155:LCS262156 LCS327691:LCS327692 LCS393227:LCS393228 LCS458763:LCS458764 LCS524299:LCS524300 LCS589835:LCS589836 LCS655371:LCS655372 LCS720907:LCS720908 LCS786443:LCS786444 LCS851979:LCS851980 LCS917515:LCS917516 LCS983051:LCS983052 LMP10:LMP12 LMO65547:LMO65548 LMO131083:LMO131084 LMO196619:LMO196620 LMO262155:LMO262156 LMO327691:LMO327692 LMO393227:LMO393228 LMO458763:LMO458764 LMO524299:LMO524300 LMO589835:LMO589836 LMO655371:LMO655372 LMO720907:LMO720908 LMO786443:LMO786444 LMO851979:LMO851980 LMO917515:LMO917516 LMO983051:LMO983052 LWL10:LWL12 LWK65547:LWK65548 LWK131083:LWK131084 LWK196619:LWK196620 LWK262155:LWK262156 LWK327691:LWK327692 LWK393227:LWK393228 LWK458763:LWK458764 LWK524299:LWK524300 LWK589835:LWK589836 LWK655371:LWK655372 LWK720907:LWK720908 LWK786443:LWK786444 LWK851979:LWK851980 LWK917515:LWK917516 LWK983051:LWK983052 MGH10:MGH12 MGG65547:MGG65548 MGG131083:MGG131084 MGG196619:MGG196620 MGG262155:MGG262156 MGG327691:MGG327692 MGG393227:MGG393228 MGG458763:MGG458764 MGG524299:MGG524300 MGG589835:MGG589836 MGG655371:MGG655372 MGG720907:MGG720908 MGG786443:MGG786444 MGG851979:MGG851980 MGG917515:MGG917516 MGG983051:MGG983052 MQD10:MQD12 MQC65547:MQC65548 MQC131083:MQC131084 MQC196619:MQC196620 MQC262155:MQC262156 MQC327691:MQC327692 MQC393227:MQC393228 MQC458763:MQC458764 MQC524299:MQC524300 MQC589835:MQC589836 MQC655371:MQC655372 MQC720907:MQC720908 MQC786443:MQC786444 MQC851979:MQC851980 MQC917515:MQC917516 MQC983051:MQC983052 MZZ10:MZZ12 MZY65547:MZY65548 MZY131083:MZY131084 MZY196619:MZY196620 MZY262155:MZY262156 MZY327691:MZY327692 MZY393227:MZY393228 MZY458763:MZY458764 MZY524299:MZY524300 MZY589835:MZY589836 MZY655371:MZY655372 MZY720907:MZY720908 MZY786443:MZY786444 MZY851979:MZY851980 MZY917515:MZY917516 MZY983051:MZY983052 NJV10:NJV12 NJU65547:NJU65548 NJU131083:NJU131084 NJU196619:NJU196620 NJU262155:NJU262156 NJU327691:NJU327692 NJU393227:NJU393228 NJU458763:NJU458764 NJU524299:NJU524300 NJU589835:NJU589836 NJU655371:NJU655372 NJU720907:NJU720908 NJU786443:NJU786444 NJU851979:NJU851980 NJU917515:NJU917516 NJU983051:NJU983052 NTR10:NTR12 NTQ65547:NTQ65548 NTQ131083:NTQ131084 NTQ196619:NTQ196620 NTQ262155:NTQ262156 NTQ327691:NTQ327692 NTQ393227:NTQ393228 NTQ458763:NTQ458764 NTQ524299:NTQ524300 NTQ589835:NTQ589836 NTQ655371:NTQ655372 NTQ720907:NTQ720908 NTQ786443:NTQ786444 NTQ851979:NTQ851980 NTQ917515:NTQ917516 NTQ983051:NTQ983052 ODN10:ODN12 ODM65547:ODM65548 ODM131083:ODM131084 ODM196619:ODM196620 ODM262155:ODM262156 ODM327691:ODM327692 ODM393227:ODM393228 ODM458763:ODM458764 ODM524299:ODM524300 ODM589835:ODM589836 ODM655371:ODM655372 ODM720907:ODM720908 ODM786443:ODM786444 ODM851979:ODM851980 ODM917515:ODM917516 ODM983051:ODM983052 ONJ10:ONJ12 ONI65547:ONI65548 ONI131083:ONI131084 ONI196619:ONI196620 ONI262155:ONI262156 ONI327691:ONI327692 ONI393227:ONI393228 ONI458763:ONI458764 ONI524299:ONI524300 ONI589835:ONI589836 ONI655371:ONI655372 ONI720907:ONI720908 ONI786443:ONI786444 ONI851979:ONI851980 ONI917515:ONI917516 ONI983051:ONI983052 OXF10:OXF12 OXE65547:OXE65548 OXE131083:OXE131084 OXE196619:OXE196620 OXE262155:OXE262156 OXE327691:OXE327692 OXE393227:OXE393228 OXE458763:OXE458764 OXE524299:OXE524300 OXE589835:OXE589836 OXE655371:OXE655372 OXE720907:OXE720908 OXE786443:OXE786444 OXE851979:OXE851980 OXE917515:OXE917516 OXE983051:OXE983052 PHB10:PHB12 PHA65547:PHA65548 PHA131083:PHA131084 PHA196619:PHA196620 PHA262155:PHA262156 PHA327691:PHA327692 PHA393227:PHA393228 PHA458763:PHA458764 PHA524299:PHA524300 PHA589835:PHA589836 PHA655371:PHA655372 PHA720907:PHA720908 PHA786443:PHA786444 PHA851979:PHA851980 PHA917515:PHA917516 PHA983051:PHA983052 PQX10:PQX12 PQW65547:PQW65548 PQW131083:PQW131084 PQW196619:PQW196620 PQW262155:PQW262156 PQW327691:PQW327692 PQW393227:PQW393228 PQW458763:PQW458764 PQW524299:PQW524300 PQW589835:PQW589836 PQW655371:PQW655372 PQW720907:PQW720908 PQW786443:PQW786444 PQW851979:PQW851980 PQW917515:PQW917516 PQW983051:PQW983052 QAT10:QAT12 QAS65547:QAS65548 QAS131083:QAS131084 QAS196619:QAS196620 QAS262155:QAS262156 QAS327691:QAS327692 QAS393227:QAS393228 QAS458763:QAS458764 QAS524299:QAS524300 QAS589835:QAS589836 QAS655371:QAS655372 QAS720907:QAS720908 QAS786443:QAS786444 QAS851979:QAS851980 QAS917515:QAS917516 QAS983051:QAS983052 QKP10:QKP12 QKO65547:QKO65548 QKO131083:QKO131084 QKO196619:QKO196620 QKO262155:QKO262156 QKO327691:QKO327692 QKO393227:QKO393228 QKO458763:QKO458764 QKO524299:QKO524300 QKO589835:QKO589836 QKO655371:QKO655372 QKO720907:QKO720908 QKO786443:QKO786444 QKO851979:QKO851980 QKO917515:QKO917516 QKO983051:QKO983052 QUL10:QUL12 QUK65547:QUK65548 QUK131083:QUK131084 QUK196619:QUK196620 QUK262155:QUK262156 QUK327691:QUK327692 QUK393227:QUK393228 QUK458763:QUK458764 QUK524299:QUK524300 QUK589835:QUK589836 QUK655371:QUK655372 QUK720907:QUK720908 QUK786443:QUK786444 QUK851979:QUK851980 QUK917515:QUK917516 QUK983051:QUK983052 REH10:REH12 REG65547:REG65548 REG131083:REG131084 REG196619:REG196620 REG262155:REG262156 REG327691:REG327692 REG393227:REG393228 REG458763:REG458764 REG524299:REG524300 REG589835:REG589836 REG655371:REG655372 REG720907:REG720908 REG786443:REG786444 REG851979:REG851980 REG917515:REG917516 REG983051:REG983052 ROD10:ROD12 ROC65547:ROC65548 ROC131083:ROC131084 ROC196619:ROC196620 ROC262155:ROC262156 ROC327691:ROC327692 ROC393227:ROC393228 ROC458763:ROC458764 ROC524299:ROC524300 ROC589835:ROC589836 ROC655371:ROC655372 ROC720907:ROC720908 ROC786443:ROC786444 ROC851979:ROC851980 ROC917515:ROC917516 ROC983051:ROC983052 RXZ10:RXZ12 RXY65547:RXY65548 RXY131083:RXY131084 RXY196619:RXY196620 RXY262155:RXY262156 RXY327691:RXY327692 RXY393227:RXY393228 RXY458763:RXY458764 RXY524299:RXY524300 RXY589835:RXY589836 RXY655371:RXY655372 RXY720907:RXY720908 RXY786443:RXY786444 RXY851979:RXY851980 RXY917515:RXY917516 RXY983051:RXY983052 SHV10:SHV12 SHU65547:SHU65548 SHU131083:SHU131084 SHU196619:SHU196620 SHU262155:SHU262156 SHU327691:SHU327692 SHU393227:SHU393228 SHU458763:SHU458764 SHU524299:SHU524300 SHU589835:SHU589836 SHU655371:SHU655372 SHU720907:SHU720908 SHU786443:SHU786444 SHU851979:SHU851980 SHU917515:SHU917516 SHU983051:SHU983052 SRR10:SRR12 SRQ65547:SRQ65548 SRQ131083:SRQ131084 SRQ196619:SRQ196620 SRQ262155:SRQ262156 SRQ327691:SRQ327692 SRQ393227:SRQ393228 SRQ458763:SRQ458764 SRQ524299:SRQ524300 SRQ589835:SRQ589836 SRQ655371:SRQ655372 SRQ720907:SRQ720908 SRQ786443:SRQ786444 SRQ851979:SRQ851980 SRQ917515:SRQ917516 SRQ983051:SRQ983052 TBN10:TBN12 TBM65547:TBM65548 TBM131083:TBM131084 TBM196619:TBM196620 TBM262155:TBM262156 TBM327691:TBM327692 TBM393227:TBM393228 TBM458763:TBM458764 TBM524299:TBM524300 TBM589835:TBM589836 TBM655371:TBM655372 TBM720907:TBM720908 TBM786443:TBM786444 TBM851979:TBM851980 TBM917515:TBM917516 TBM983051:TBM983052 TLJ10:TLJ12 TLI65547:TLI65548 TLI131083:TLI131084 TLI196619:TLI196620 TLI262155:TLI262156 TLI327691:TLI327692 TLI393227:TLI393228 TLI458763:TLI458764 TLI524299:TLI524300 TLI589835:TLI589836 TLI655371:TLI655372 TLI720907:TLI720908 TLI786443:TLI786444 TLI851979:TLI851980 TLI917515:TLI917516 TLI983051:TLI983052 TVF10:TVF12 TVE65547:TVE65548 TVE131083:TVE131084 TVE196619:TVE196620 TVE262155:TVE262156 TVE327691:TVE327692 TVE393227:TVE393228 TVE458763:TVE458764 TVE524299:TVE524300 TVE589835:TVE589836 TVE655371:TVE655372 TVE720907:TVE720908 TVE786443:TVE786444 TVE851979:TVE851980 TVE917515:TVE917516 TVE983051:TVE983052 UFB10:UFB12 UFA65547:UFA65548 UFA131083:UFA131084 UFA196619:UFA196620 UFA262155:UFA262156 UFA327691:UFA327692 UFA393227:UFA393228 UFA458763:UFA458764 UFA524299:UFA524300 UFA589835:UFA589836 UFA655371:UFA655372 UFA720907:UFA720908 UFA786443:UFA786444 UFA851979:UFA851980 UFA917515:UFA917516 UFA983051:UFA983052 UOX10:UOX12 UOW65547:UOW65548 UOW131083:UOW131084 UOW196619:UOW196620 UOW262155:UOW262156 UOW327691:UOW327692 UOW393227:UOW393228 UOW458763:UOW458764 UOW524299:UOW524300 UOW589835:UOW589836 UOW655371:UOW655372 UOW720907:UOW720908 UOW786443:UOW786444 UOW851979:UOW851980 UOW917515:UOW917516 UOW983051:UOW983052 UYT10:UYT12 UYS65547:UYS65548 UYS131083:UYS131084 UYS196619:UYS196620 UYS262155:UYS262156 UYS327691:UYS327692 UYS393227:UYS393228 UYS458763:UYS458764 UYS524299:UYS524300 UYS589835:UYS589836 UYS655371:UYS655372 UYS720907:UYS720908 UYS786443:UYS786444 UYS851979:UYS851980 UYS917515:UYS917516 UYS983051:UYS983052 VIP10:VIP12 VIO65547:VIO65548 VIO131083:VIO131084 VIO196619:VIO196620 VIO262155:VIO262156 VIO327691:VIO327692 VIO393227:VIO393228 VIO458763:VIO458764 VIO524299:VIO524300 VIO589835:VIO589836 VIO655371:VIO655372 VIO720907:VIO720908 VIO786443:VIO786444 VIO851979:VIO851980 VIO917515:VIO917516 VIO983051:VIO983052 VSL10:VSL12 VSK65547:VSK65548 VSK131083:VSK131084 VSK196619:VSK196620 VSK262155:VSK262156 VSK327691:VSK327692 VSK393227:VSK393228 VSK458763:VSK458764 VSK524299:VSK524300 VSK589835:VSK589836 VSK655371:VSK655372 VSK720907:VSK720908 VSK786443:VSK786444 VSK851979:VSK851980 VSK917515:VSK917516 VSK983051:VSK983052 WCH10:WCH12 WCG65547:WCG65548 WCG131083:WCG131084 WCG196619:WCG196620 WCG262155:WCG262156 WCG327691:WCG327692 WCG393227:WCG393228 WCG458763:WCG458764 WCG524299:WCG524300 WCG589835:WCG589836 WCG655371:WCG655372 WCG720907:WCG720908 WCG786443:WCG786444 WCG851979:WCG851980 WCG917515:WCG917516 WCG983051:WCG983052 WMD10:WMD12 WMC65547:WMC65548 WMC131083:WMC131084 WMC196619:WMC196620 WMC262155:WMC262156 WMC327691:WMC327692 WMC393227:WMC393228 WMC458763:WMC458764 WMC524299:WMC524300 WMC589835:WMC589836 WMC655371:WMC655372 WMC720907:WMC720908 WMC786443:WMC786444 WMC851979:WMC851980 WMC917515:WMC917516 WMC983051:WMC983052 WVZ10:WVZ12 WVY65547:WVY65548 WVY131083:WVY131084 WVY196619:WVY196620 WVY262155:WVY262156 WVY327691:WVY327692 WVY393227:WVY393228 WVY458763:WVY458764 WVY524299:WVY524300 WVY589835:WVY589836 WVY655371:WVY655372 WVY720907:WVY720908 WVY786443:WVY786444 WVY851979:WVY851980 WVY917515:WVY917516 WVY983051:WVY983052" xr:uid="{8EBCE01F-EAB3-4597-8284-8775C7F5214A}"/>
    <dataValidation allowBlank="1" showInputMessage="1" showErrorMessage="1" prompt="Quarterly Assessment Percentage Score" sqref="U65547:U65649 U131083:U131185 U196619:U196721 U262155:U262257 U327691:U327793 U393227:U393329 U458763:U458865 U524299:U524401 U589835:U589937 U655371:U655473 U720907:U721009 U786443:U786545 U851979:U852081 U917515:U917617 U983051:U983153 JN65547:JN65649 JN131083:JN131185 JN196619:JN196721 JN262155:JN262257 JN327691:JN327793 JN393227:JN393329 JN458763:JN458865 JN524299:JN524401 JN589835:JN589937 JN655371:JN655473 JN720907:JN721009 JN786443:JN786545 JN851979:JN852081 JN917515:JN917617 JN983051:JN983153 TK10:TK63 TJ65547:TJ65649 TJ131083:TJ131185 TJ196619:TJ196721 TJ262155:TJ262257 TJ327691:TJ327793 TJ393227:TJ393329 TJ458763:TJ458865 TJ524299:TJ524401 TJ589835:TJ589937 TJ655371:TJ655473 TJ720907:TJ721009 TJ786443:TJ786545 TJ851979:TJ852081 TJ917515:TJ917617 TJ983051:TJ983153 ADG10:ADG6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C10:ANC6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Y10:AWY6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U10:BGU6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Q10:BQQ6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M10:CAM6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I10:CKI6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E10:CUE6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EA10:DEA6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W10:DNW6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S10:DXS6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O10:EHO6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K10:ERK6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G10:FBG6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C10:FLC6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Y10:FUY6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U10:GEU6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Q10:GOQ6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M10:GYM6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I10:HII6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E10:HSE6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CA10:ICA6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W10:ILW6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S10:IVS6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O10:JFO6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K10:JPK6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G10:JZG6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C10:KJC6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Y10:KSY6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U10:LCU6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Q10:LMQ6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M10:LWM6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I10:MGI6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E10:MQE6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NAA10:NAA6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W10:NJW6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S10:NTS6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O10:ODO6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K10:ONK6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G10:OXG6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C10:PHC6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Y10:PQY6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U10:QAU6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Q10:QKQ6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M10:QUM6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I10:REI6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E10:ROE6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YA10:RYA6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W10:SHW6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S10:SRS6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O10:TBO6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K10:TLK6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G10:TVG6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C10:UFC6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Y10:UOY6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U10:UYU6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Q10:VIQ6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M10:VSM6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I10:WCI6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E10:WME6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WA10:WWA63 WVZ983051:WVZ983153 WVZ65547:WVZ65649 WVZ131083:WVZ131185 WVZ196619:WVZ196721 WVZ262155:WVZ262257 WVZ327691:WVZ327793 WVZ393227:WVZ393329 WVZ458763:WVZ458865 WVZ524299:WVZ524401 WVZ589835:WVZ589937 WVZ655371:WVZ655473 WVZ720907:WVZ721009 WVZ786443:WVZ786545 WVZ851979:WVZ852081 WVZ917515:WVZ917617 JO10:JO63 WWA66:WWA114 WME66:WME114 WCI66:WCI114 VSM66:VSM114 VIQ66:VIQ114 UYU66:UYU114 UOY66:UOY114 UFC66:UFC114 TVG66:TVG114 TLK66:TLK114 TBO66:TBO114 SRS66:SRS114 SHW66:SHW114 RYA66:RYA114 ROE66:ROE114 REI66:REI114 QUM66:QUM114 QKQ66:QKQ114 QAU66:QAU114 PQY66:PQY114 PHC66:PHC114 OXG66:OXG114 ONK66:ONK114 ODO66:ODO114 NTS66:NTS114 NJW66:NJW114 NAA66:NAA114 MQE66:MQE114 MGI66:MGI114 LWM66:LWM114 LMQ66:LMQ114 LCU66:LCU114 KSY66:KSY114 KJC66:KJC114 JZG66:JZG114 JPK66:JPK114 JFO66:JFO114 IVS66:IVS114 ILW66:ILW114 ICA66:ICA114 HSE66:HSE114 HII66:HII114 GYM66:GYM114 GOQ66:GOQ114 GEU66:GEU114 FUY66:FUY114 FLC66:FLC114 FBG66:FBG114 ERK66:ERK114 EHO66:EHO114 DXS66:DXS114 DNW66:DNW114 DEA66:DEA114 CUE66:CUE114 CKI66:CKI114 CAM66:CAM114 BQQ66:BQQ114 BGU66:BGU114 AWY66:AWY114 ANC66:ANC114 ADG66:ADG114 TK66:TK114 JO66:JO114" xr:uid="{6DF00EC1-B74C-491A-A092-E686388D5660}"/>
    <dataValidation allowBlank="1" showInputMessage="1" showErrorMessage="1" prompt="Quarterly Assessment Weighted Score" sqref="V65547:V65649 V131083:V131185 V196619:V196721 V262155:V262257 V327691:V327793 V393227:V393329 V458763:V458865 V524299:V524401 V589835:V589937 V655371:V655473 V720907:V721009 V786443:V786545 V851979:V852081 V917515:V917617 V983051:V983153 JO65547:JO65649 JO131083:JO131185 JO196619:JO196721 JO262155:JO262257 JO327691:JO327793 JO393227:JO393329 JO458763:JO458865 JO524299:JO524401 JO589835:JO589937 JO655371:JO655473 JO720907:JO721009 JO786443:JO786545 JO851979:JO852081 JO917515:JO917617 JO983051:JO983153 TL10:TL63 TK65547:TK65649 TK131083:TK131185 TK196619:TK196721 TK262155:TK262257 TK327691:TK327793 TK393227:TK393329 TK458763:TK458865 TK524299:TK524401 TK589835:TK589937 TK655371:TK655473 TK720907:TK721009 TK786443:TK786545 TK851979:TK852081 TK917515:TK917617 TK983051:TK983153 ADH10:ADH63 ADG65547:ADG65649 ADG131083:ADG131185 ADG196619:ADG196721 ADG262155:ADG262257 ADG327691:ADG327793 ADG393227:ADG393329 ADG458763:ADG458865 ADG524299:ADG524401 ADG589835:ADG589937 ADG655371:ADG655473 ADG720907:ADG721009 ADG786443:ADG786545 ADG851979:ADG852081 ADG917515:ADG917617 ADG983051:ADG983153 AND10:AND63 ANC65547:ANC65649 ANC131083:ANC131185 ANC196619:ANC196721 ANC262155:ANC262257 ANC327691:ANC327793 ANC393227:ANC393329 ANC458763:ANC458865 ANC524299:ANC524401 ANC589835:ANC589937 ANC655371:ANC655473 ANC720907:ANC721009 ANC786443:ANC786545 ANC851979:ANC852081 ANC917515:ANC917617 ANC983051:ANC983153 AWZ10:AWZ63 AWY65547:AWY65649 AWY131083:AWY131185 AWY196619:AWY196721 AWY262155:AWY262257 AWY327691:AWY327793 AWY393227:AWY393329 AWY458763:AWY458865 AWY524299:AWY524401 AWY589835:AWY589937 AWY655371:AWY655473 AWY720907:AWY721009 AWY786443:AWY786545 AWY851979:AWY852081 AWY917515:AWY917617 AWY983051:AWY983153 BGV10:BGV63 BGU65547:BGU65649 BGU131083:BGU131185 BGU196619:BGU196721 BGU262155:BGU262257 BGU327691:BGU327793 BGU393227:BGU393329 BGU458763:BGU458865 BGU524299:BGU524401 BGU589835:BGU589937 BGU655371:BGU655473 BGU720907:BGU721009 BGU786443:BGU786545 BGU851979:BGU852081 BGU917515:BGU917617 BGU983051:BGU983153 BQR10:BQR63 BQQ65547:BQQ65649 BQQ131083:BQQ131185 BQQ196619:BQQ196721 BQQ262155:BQQ262257 BQQ327691:BQQ327793 BQQ393227:BQQ393329 BQQ458763:BQQ458865 BQQ524299:BQQ524401 BQQ589835:BQQ589937 BQQ655371:BQQ655473 BQQ720907:BQQ721009 BQQ786443:BQQ786545 BQQ851979:BQQ852081 BQQ917515:BQQ917617 BQQ983051:BQQ983153 CAN10:CAN63 CAM65547:CAM65649 CAM131083:CAM131185 CAM196619:CAM196721 CAM262155:CAM262257 CAM327691:CAM327793 CAM393227:CAM393329 CAM458763:CAM458865 CAM524299:CAM524401 CAM589835:CAM589937 CAM655371:CAM655473 CAM720907:CAM721009 CAM786443:CAM786545 CAM851979:CAM852081 CAM917515:CAM917617 CAM983051:CAM983153 CKJ10:CKJ63 CKI65547:CKI65649 CKI131083:CKI131185 CKI196619:CKI196721 CKI262155:CKI262257 CKI327691:CKI327793 CKI393227:CKI393329 CKI458763:CKI458865 CKI524299:CKI524401 CKI589835:CKI589937 CKI655371:CKI655473 CKI720907:CKI721009 CKI786443:CKI786545 CKI851979:CKI852081 CKI917515:CKI917617 CKI983051:CKI983153 CUF10:CUF63 CUE65547:CUE65649 CUE131083:CUE131185 CUE196619:CUE196721 CUE262155:CUE262257 CUE327691:CUE327793 CUE393227:CUE393329 CUE458763:CUE458865 CUE524299:CUE524401 CUE589835:CUE589937 CUE655371:CUE655473 CUE720907:CUE721009 CUE786443:CUE786545 CUE851979:CUE852081 CUE917515:CUE917617 CUE983051:CUE983153 DEB10:DEB63 DEA65547:DEA65649 DEA131083:DEA131185 DEA196619:DEA196721 DEA262155:DEA262257 DEA327691:DEA327793 DEA393227:DEA393329 DEA458763:DEA458865 DEA524299:DEA524401 DEA589835:DEA589937 DEA655371:DEA655473 DEA720907:DEA721009 DEA786443:DEA786545 DEA851979:DEA852081 DEA917515:DEA917617 DEA983051:DEA983153 DNX10:DNX63 DNW65547:DNW65649 DNW131083:DNW131185 DNW196619:DNW196721 DNW262155:DNW262257 DNW327691:DNW327793 DNW393227:DNW393329 DNW458763:DNW458865 DNW524299:DNW524401 DNW589835:DNW589937 DNW655371:DNW655473 DNW720907:DNW721009 DNW786443:DNW786545 DNW851979:DNW852081 DNW917515:DNW917617 DNW983051:DNW983153 DXT10:DXT63 DXS65547:DXS65649 DXS131083:DXS131185 DXS196619:DXS196721 DXS262155:DXS262257 DXS327691:DXS327793 DXS393227:DXS393329 DXS458763:DXS458865 DXS524299:DXS524401 DXS589835:DXS589937 DXS655371:DXS655473 DXS720907:DXS721009 DXS786443:DXS786545 DXS851979:DXS852081 DXS917515:DXS917617 DXS983051:DXS983153 EHP10:EHP63 EHO65547:EHO65649 EHO131083:EHO131185 EHO196619:EHO196721 EHO262155:EHO262257 EHO327691:EHO327793 EHO393227:EHO393329 EHO458763:EHO458865 EHO524299:EHO524401 EHO589835:EHO589937 EHO655371:EHO655473 EHO720907:EHO721009 EHO786443:EHO786545 EHO851979:EHO852081 EHO917515:EHO917617 EHO983051:EHO983153 ERL10:ERL63 ERK65547:ERK65649 ERK131083:ERK131185 ERK196619:ERK196721 ERK262155:ERK262257 ERK327691:ERK327793 ERK393227:ERK393329 ERK458763:ERK458865 ERK524299:ERK524401 ERK589835:ERK589937 ERK655371:ERK655473 ERK720907:ERK721009 ERK786443:ERK786545 ERK851979:ERK852081 ERK917515:ERK917617 ERK983051:ERK983153 FBH10:FBH63 FBG65547:FBG65649 FBG131083:FBG131185 FBG196619:FBG196721 FBG262155:FBG262257 FBG327691:FBG327793 FBG393227:FBG393329 FBG458763:FBG458865 FBG524299:FBG524401 FBG589835:FBG589937 FBG655371:FBG655473 FBG720907:FBG721009 FBG786443:FBG786545 FBG851979:FBG852081 FBG917515:FBG917617 FBG983051:FBG983153 FLD10:FLD63 FLC65547:FLC65649 FLC131083:FLC131185 FLC196619:FLC196721 FLC262155:FLC262257 FLC327691:FLC327793 FLC393227:FLC393329 FLC458763:FLC458865 FLC524299:FLC524401 FLC589835:FLC589937 FLC655371:FLC655473 FLC720907:FLC721009 FLC786443:FLC786545 FLC851979:FLC852081 FLC917515:FLC917617 FLC983051:FLC983153 FUZ10:FUZ63 FUY65547:FUY65649 FUY131083:FUY131185 FUY196619:FUY196721 FUY262155:FUY262257 FUY327691:FUY327793 FUY393227:FUY393329 FUY458763:FUY458865 FUY524299:FUY524401 FUY589835:FUY589937 FUY655371:FUY655473 FUY720907:FUY721009 FUY786443:FUY786545 FUY851979:FUY852081 FUY917515:FUY917617 FUY983051:FUY983153 GEV10:GEV63 GEU65547:GEU65649 GEU131083:GEU131185 GEU196619:GEU196721 GEU262155:GEU262257 GEU327691:GEU327793 GEU393227:GEU393329 GEU458763:GEU458865 GEU524299:GEU524401 GEU589835:GEU589937 GEU655371:GEU655473 GEU720907:GEU721009 GEU786443:GEU786545 GEU851979:GEU852081 GEU917515:GEU917617 GEU983051:GEU983153 GOR10:GOR63 GOQ65547:GOQ65649 GOQ131083:GOQ131185 GOQ196619:GOQ196721 GOQ262155:GOQ262257 GOQ327691:GOQ327793 GOQ393227:GOQ393329 GOQ458763:GOQ458865 GOQ524299:GOQ524401 GOQ589835:GOQ589937 GOQ655371:GOQ655473 GOQ720907:GOQ721009 GOQ786443:GOQ786545 GOQ851979:GOQ852081 GOQ917515:GOQ917617 GOQ983051:GOQ983153 GYN10:GYN63 GYM65547:GYM65649 GYM131083:GYM131185 GYM196619:GYM196721 GYM262155:GYM262257 GYM327691:GYM327793 GYM393227:GYM393329 GYM458763:GYM458865 GYM524299:GYM524401 GYM589835:GYM589937 GYM655371:GYM655473 GYM720907:GYM721009 GYM786443:GYM786545 GYM851979:GYM852081 GYM917515:GYM917617 GYM983051:GYM983153 HIJ10:HIJ63 HII65547:HII65649 HII131083:HII131185 HII196619:HII196721 HII262155:HII262257 HII327691:HII327793 HII393227:HII393329 HII458763:HII458865 HII524299:HII524401 HII589835:HII589937 HII655371:HII655473 HII720907:HII721009 HII786443:HII786545 HII851979:HII852081 HII917515:HII917617 HII983051:HII983153 HSF10:HSF63 HSE65547:HSE65649 HSE131083:HSE131185 HSE196619:HSE196721 HSE262155:HSE262257 HSE327691:HSE327793 HSE393227:HSE393329 HSE458763:HSE458865 HSE524299:HSE524401 HSE589835:HSE589937 HSE655371:HSE655473 HSE720907:HSE721009 HSE786443:HSE786545 HSE851979:HSE852081 HSE917515:HSE917617 HSE983051:HSE983153 ICB10:ICB63 ICA65547:ICA65649 ICA131083:ICA131185 ICA196619:ICA196721 ICA262155:ICA262257 ICA327691:ICA327793 ICA393227:ICA393329 ICA458763:ICA458865 ICA524299:ICA524401 ICA589835:ICA589937 ICA655371:ICA655473 ICA720907:ICA721009 ICA786443:ICA786545 ICA851979:ICA852081 ICA917515:ICA917617 ICA983051:ICA983153 ILX10:ILX63 ILW65547:ILW65649 ILW131083:ILW131185 ILW196619:ILW196721 ILW262155:ILW262257 ILW327691:ILW327793 ILW393227:ILW393329 ILW458763:ILW458865 ILW524299:ILW524401 ILW589835:ILW589937 ILW655371:ILW655473 ILW720907:ILW721009 ILW786443:ILW786545 ILW851979:ILW852081 ILW917515:ILW917617 ILW983051:ILW983153 IVT10:IVT63 IVS65547:IVS65649 IVS131083:IVS131185 IVS196619:IVS196721 IVS262155:IVS262257 IVS327691:IVS327793 IVS393227:IVS393329 IVS458763:IVS458865 IVS524299:IVS524401 IVS589835:IVS589937 IVS655371:IVS655473 IVS720907:IVS721009 IVS786443:IVS786545 IVS851979:IVS852081 IVS917515:IVS917617 IVS983051:IVS983153 JFP10:JFP63 JFO65547:JFO65649 JFO131083:JFO131185 JFO196619:JFO196721 JFO262155:JFO262257 JFO327691:JFO327793 JFO393227:JFO393329 JFO458763:JFO458865 JFO524299:JFO524401 JFO589835:JFO589937 JFO655371:JFO655473 JFO720907:JFO721009 JFO786443:JFO786545 JFO851979:JFO852081 JFO917515:JFO917617 JFO983051:JFO983153 JPL10:JPL63 JPK65547:JPK65649 JPK131083:JPK131185 JPK196619:JPK196721 JPK262155:JPK262257 JPK327691:JPK327793 JPK393227:JPK393329 JPK458763:JPK458865 JPK524299:JPK524401 JPK589835:JPK589937 JPK655371:JPK655473 JPK720907:JPK721009 JPK786443:JPK786545 JPK851979:JPK852081 JPK917515:JPK917617 JPK983051:JPK983153 JZH10:JZH63 JZG65547:JZG65649 JZG131083:JZG131185 JZG196619:JZG196721 JZG262155:JZG262257 JZG327691:JZG327793 JZG393227:JZG393329 JZG458763:JZG458865 JZG524299:JZG524401 JZG589835:JZG589937 JZG655371:JZG655473 JZG720907:JZG721009 JZG786443:JZG786545 JZG851979:JZG852081 JZG917515:JZG917617 JZG983051:JZG983153 KJD10:KJD63 KJC65547:KJC65649 KJC131083:KJC131185 KJC196619:KJC196721 KJC262155:KJC262257 KJC327691:KJC327793 KJC393227:KJC393329 KJC458763:KJC458865 KJC524299:KJC524401 KJC589835:KJC589937 KJC655371:KJC655473 KJC720907:KJC721009 KJC786443:KJC786545 KJC851979:KJC852081 KJC917515:KJC917617 KJC983051:KJC983153 KSZ10:KSZ63 KSY65547:KSY65649 KSY131083:KSY131185 KSY196619:KSY196721 KSY262155:KSY262257 KSY327691:KSY327793 KSY393227:KSY393329 KSY458763:KSY458865 KSY524299:KSY524401 KSY589835:KSY589937 KSY655371:KSY655473 KSY720907:KSY721009 KSY786443:KSY786545 KSY851979:KSY852081 KSY917515:KSY917617 KSY983051:KSY983153 LCV10:LCV63 LCU65547:LCU65649 LCU131083:LCU131185 LCU196619:LCU196721 LCU262155:LCU262257 LCU327691:LCU327793 LCU393227:LCU393329 LCU458763:LCU458865 LCU524299:LCU524401 LCU589835:LCU589937 LCU655371:LCU655473 LCU720907:LCU721009 LCU786443:LCU786545 LCU851979:LCU852081 LCU917515:LCU917617 LCU983051:LCU983153 LMR10:LMR63 LMQ65547:LMQ65649 LMQ131083:LMQ131185 LMQ196619:LMQ196721 LMQ262155:LMQ262257 LMQ327691:LMQ327793 LMQ393227:LMQ393329 LMQ458763:LMQ458865 LMQ524299:LMQ524401 LMQ589835:LMQ589937 LMQ655371:LMQ655473 LMQ720907:LMQ721009 LMQ786443:LMQ786545 LMQ851979:LMQ852081 LMQ917515:LMQ917617 LMQ983051:LMQ983153 LWN10:LWN63 LWM65547:LWM65649 LWM131083:LWM131185 LWM196619:LWM196721 LWM262155:LWM262257 LWM327691:LWM327793 LWM393227:LWM393329 LWM458763:LWM458865 LWM524299:LWM524401 LWM589835:LWM589937 LWM655371:LWM655473 LWM720907:LWM721009 LWM786443:LWM786545 LWM851979:LWM852081 LWM917515:LWM917617 LWM983051:LWM983153 MGJ10:MGJ63 MGI65547:MGI65649 MGI131083:MGI131185 MGI196619:MGI196721 MGI262155:MGI262257 MGI327691:MGI327793 MGI393227:MGI393329 MGI458763:MGI458865 MGI524299:MGI524401 MGI589835:MGI589937 MGI655371:MGI655473 MGI720907:MGI721009 MGI786443:MGI786545 MGI851979:MGI852081 MGI917515:MGI917617 MGI983051:MGI983153 MQF10:MQF63 MQE65547:MQE65649 MQE131083:MQE131185 MQE196619:MQE196721 MQE262155:MQE262257 MQE327691:MQE327793 MQE393227:MQE393329 MQE458763:MQE458865 MQE524299:MQE524401 MQE589835:MQE589937 MQE655371:MQE655473 MQE720907:MQE721009 MQE786443:MQE786545 MQE851979:MQE852081 MQE917515:MQE917617 MQE983051:MQE983153 NAB10:NAB63 NAA65547:NAA65649 NAA131083:NAA131185 NAA196619:NAA196721 NAA262155:NAA262257 NAA327691:NAA327793 NAA393227:NAA393329 NAA458763:NAA458865 NAA524299:NAA524401 NAA589835:NAA589937 NAA655371:NAA655473 NAA720907:NAA721009 NAA786443:NAA786545 NAA851979:NAA852081 NAA917515:NAA917617 NAA983051:NAA983153 NJX10:NJX63 NJW65547:NJW65649 NJW131083:NJW131185 NJW196619:NJW196721 NJW262155:NJW262257 NJW327691:NJW327793 NJW393227:NJW393329 NJW458763:NJW458865 NJW524299:NJW524401 NJW589835:NJW589937 NJW655371:NJW655473 NJW720907:NJW721009 NJW786443:NJW786545 NJW851979:NJW852081 NJW917515:NJW917617 NJW983051:NJW983153 NTT10:NTT63 NTS65547:NTS65649 NTS131083:NTS131185 NTS196619:NTS196721 NTS262155:NTS262257 NTS327691:NTS327793 NTS393227:NTS393329 NTS458763:NTS458865 NTS524299:NTS524401 NTS589835:NTS589937 NTS655371:NTS655473 NTS720907:NTS721009 NTS786443:NTS786545 NTS851979:NTS852081 NTS917515:NTS917617 NTS983051:NTS983153 ODP10:ODP63 ODO65547:ODO65649 ODO131083:ODO131185 ODO196619:ODO196721 ODO262155:ODO262257 ODO327691:ODO327793 ODO393227:ODO393329 ODO458763:ODO458865 ODO524299:ODO524401 ODO589835:ODO589937 ODO655371:ODO655473 ODO720907:ODO721009 ODO786443:ODO786545 ODO851979:ODO852081 ODO917515:ODO917617 ODO983051:ODO983153 ONL10:ONL63 ONK65547:ONK65649 ONK131083:ONK131185 ONK196619:ONK196721 ONK262155:ONK262257 ONK327691:ONK327793 ONK393227:ONK393329 ONK458763:ONK458865 ONK524299:ONK524401 ONK589835:ONK589937 ONK655371:ONK655473 ONK720907:ONK721009 ONK786443:ONK786545 ONK851979:ONK852081 ONK917515:ONK917617 ONK983051:ONK983153 OXH10:OXH63 OXG65547:OXG65649 OXG131083:OXG131185 OXG196619:OXG196721 OXG262155:OXG262257 OXG327691:OXG327793 OXG393227:OXG393329 OXG458763:OXG458865 OXG524299:OXG524401 OXG589835:OXG589937 OXG655371:OXG655473 OXG720907:OXG721009 OXG786443:OXG786545 OXG851979:OXG852081 OXG917515:OXG917617 OXG983051:OXG983153 PHD10:PHD63 PHC65547:PHC65649 PHC131083:PHC131185 PHC196619:PHC196721 PHC262155:PHC262257 PHC327691:PHC327793 PHC393227:PHC393329 PHC458763:PHC458865 PHC524299:PHC524401 PHC589835:PHC589937 PHC655371:PHC655473 PHC720907:PHC721009 PHC786443:PHC786545 PHC851979:PHC852081 PHC917515:PHC917617 PHC983051:PHC983153 PQZ10:PQZ63 PQY65547:PQY65649 PQY131083:PQY131185 PQY196619:PQY196721 PQY262155:PQY262257 PQY327691:PQY327793 PQY393227:PQY393329 PQY458763:PQY458865 PQY524299:PQY524401 PQY589835:PQY589937 PQY655371:PQY655473 PQY720907:PQY721009 PQY786443:PQY786545 PQY851979:PQY852081 PQY917515:PQY917617 PQY983051:PQY983153 QAV10:QAV63 QAU65547:QAU65649 QAU131083:QAU131185 QAU196619:QAU196721 QAU262155:QAU262257 QAU327691:QAU327793 QAU393227:QAU393329 QAU458763:QAU458865 QAU524299:QAU524401 QAU589835:QAU589937 QAU655371:QAU655473 QAU720907:QAU721009 QAU786443:QAU786545 QAU851979:QAU852081 QAU917515:QAU917617 QAU983051:QAU983153 QKR10:QKR63 QKQ65547:QKQ65649 QKQ131083:QKQ131185 QKQ196619:QKQ196721 QKQ262155:QKQ262257 QKQ327691:QKQ327793 QKQ393227:QKQ393329 QKQ458763:QKQ458865 QKQ524299:QKQ524401 QKQ589835:QKQ589937 QKQ655371:QKQ655473 QKQ720907:QKQ721009 QKQ786443:QKQ786545 QKQ851979:QKQ852081 QKQ917515:QKQ917617 QKQ983051:QKQ983153 QUN10:QUN63 QUM65547:QUM65649 QUM131083:QUM131185 QUM196619:QUM196721 QUM262155:QUM262257 QUM327691:QUM327793 QUM393227:QUM393329 QUM458763:QUM458865 QUM524299:QUM524401 QUM589835:QUM589937 QUM655371:QUM655473 QUM720907:QUM721009 QUM786443:QUM786545 QUM851979:QUM852081 QUM917515:QUM917617 QUM983051:QUM983153 REJ10:REJ63 REI65547:REI65649 REI131083:REI131185 REI196619:REI196721 REI262155:REI262257 REI327691:REI327793 REI393227:REI393329 REI458763:REI458865 REI524299:REI524401 REI589835:REI589937 REI655371:REI655473 REI720907:REI721009 REI786443:REI786545 REI851979:REI852081 REI917515:REI917617 REI983051:REI983153 ROF10:ROF63 ROE65547:ROE65649 ROE131083:ROE131185 ROE196619:ROE196721 ROE262155:ROE262257 ROE327691:ROE327793 ROE393227:ROE393329 ROE458763:ROE458865 ROE524299:ROE524401 ROE589835:ROE589937 ROE655371:ROE655473 ROE720907:ROE721009 ROE786443:ROE786545 ROE851979:ROE852081 ROE917515:ROE917617 ROE983051:ROE983153 RYB10:RYB63 RYA65547:RYA65649 RYA131083:RYA131185 RYA196619:RYA196721 RYA262155:RYA262257 RYA327691:RYA327793 RYA393227:RYA393329 RYA458763:RYA458865 RYA524299:RYA524401 RYA589835:RYA589937 RYA655371:RYA655473 RYA720907:RYA721009 RYA786443:RYA786545 RYA851979:RYA852081 RYA917515:RYA917617 RYA983051:RYA983153 SHX10:SHX63 SHW65547:SHW65649 SHW131083:SHW131185 SHW196619:SHW196721 SHW262155:SHW262257 SHW327691:SHW327793 SHW393227:SHW393329 SHW458763:SHW458865 SHW524299:SHW524401 SHW589835:SHW589937 SHW655371:SHW655473 SHW720907:SHW721009 SHW786443:SHW786545 SHW851979:SHW852081 SHW917515:SHW917617 SHW983051:SHW983153 SRT10:SRT63 SRS65547:SRS65649 SRS131083:SRS131185 SRS196619:SRS196721 SRS262155:SRS262257 SRS327691:SRS327793 SRS393227:SRS393329 SRS458763:SRS458865 SRS524299:SRS524401 SRS589835:SRS589937 SRS655371:SRS655473 SRS720907:SRS721009 SRS786443:SRS786545 SRS851979:SRS852081 SRS917515:SRS917617 SRS983051:SRS983153 TBP10:TBP63 TBO65547:TBO65649 TBO131083:TBO131185 TBO196619:TBO196721 TBO262155:TBO262257 TBO327691:TBO327793 TBO393227:TBO393329 TBO458763:TBO458865 TBO524299:TBO524401 TBO589835:TBO589937 TBO655371:TBO655473 TBO720907:TBO721009 TBO786443:TBO786545 TBO851979:TBO852081 TBO917515:TBO917617 TBO983051:TBO983153 TLL10:TLL63 TLK65547:TLK65649 TLK131083:TLK131185 TLK196619:TLK196721 TLK262155:TLK262257 TLK327691:TLK327793 TLK393227:TLK393329 TLK458763:TLK458865 TLK524299:TLK524401 TLK589835:TLK589937 TLK655371:TLK655473 TLK720907:TLK721009 TLK786443:TLK786545 TLK851979:TLK852081 TLK917515:TLK917617 TLK983051:TLK983153 TVH10:TVH63 TVG65547:TVG65649 TVG131083:TVG131185 TVG196619:TVG196721 TVG262155:TVG262257 TVG327691:TVG327793 TVG393227:TVG393329 TVG458763:TVG458865 TVG524299:TVG524401 TVG589835:TVG589937 TVG655371:TVG655473 TVG720907:TVG721009 TVG786443:TVG786545 TVG851979:TVG852081 TVG917515:TVG917617 TVG983051:TVG983153 UFD10:UFD63 UFC65547:UFC65649 UFC131083:UFC131185 UFC196619:UFC196721 UFC262155:UFC262257 UFC327691:UFC327793 UFC393227:UFC393329 UFC458763:UFC458865 UFC524299:UFC524401 UFC589835:UFC589937 UFC655371:UFC655473 UFC720907:UFC721009 UFC786443:UFC786545 UFC851979:UFC852081 UFC917515:UFC917617 UFC983051:UFC983153 UOZ10:UOZ63 UOY65547:UOY65649 UOY131083:UOY131185 UOY196619:UOY196721 UOY262155:UOY262257 UOY327691:UOY327793 UOY393227:UOY393329 UOY458763:UOY458865 UOY524299:UOY524401 UOY589835:UOY589937 UOY655371:UOY655473 UOY720907:UOY721009 UOY786443:UOY786545 UOY851979:UOY852081 UOY917515:UOY917617 UOY983051:UOY983153 UYV10:UYV63 UYU65547:UYU65649 UYU131083:UYU131185 UYU196619:UYU196721 UYU262155:UYU262257 UYU327691:UYU327793 UYU393227:UYU393329 UYU458763:UYU458865 UYU524299:UYU524401 UYU589835:UYU589937 UYU655371:UYU655473 UYU720907:UYU721009 UYU786443:UYU786545 UYU851979:UYU852081 UYU917515:UYU917617 UYU983051:UYU983153 VIR10:VIR63 VIQ65547:VIQ65649 VIQ131083:VIQ131185 VIQ196619:VIQ196721 VIQ262155:VIQ262257 VIQ327691:VIQ327793 VIQ393227:VIQ393329 VIQ458763:VIQ458865 VIQ524299:VIQ524401 VIQ589835:VIQ589937 VIQ655371:VIQ655473 VIQ720907:VIQ721009 VIQ786443:VIQ786545 VIQ851979:VIQ852081 VIQ917515:VIQ917617 VIQ983051:VIQ983153 VSN10:VSN63 VSM65547:VSM65649 VSM131083:VSM131185 VSM196619:VSM196721 VSM262155:VSM262257 VSM327691:VSM327793 VSM393227:VSM393329 VSM458763:VSM458865 VSM524299:VSM524401 VSM589835:VSM589937 VSM655371:VSM655473 VSM720907:VSM721009 VSM786443:VSM786545 VSM851979:VSM852081 VSM917515:VSM917617 VSM983051:VSM983153 WCJ10:WCJ63 WCI65547:WCI65649 WCI131083:WCI131185 WCI196619:WCI196721 WCI262155:WCI262257 WCI327691:WCI327793 WCI393227:WCI393329 WCI458763:WCI458865 WCI524299:WCI524401 WCI589835:WCI589937 WCI655371:WCI655473 WCI720907:WCI721009 WCI786443:WCI786545 WCI851979:WCI852081 WCI917515:WCI917617 WCI983051:WCI983153 WMF10:WMF63 WME65547:WME65649 WME131083:WME131185 WME196619:WME196721 WME262155:WME262257 WME327691:WME327793 WME393227:WME393329 WME458763:WME458865 WME524299:WME524401 WME589835:WME589937 WME655371:WME655473 WME720907:WME721009 WME786443:WME786545 WME851979:WME852081 WME917515:WME917617 WME983051:WME983153 WWB10:WWB63 WWA983051:WWA983153 WWA65547:WWA65649 WWA131083:WWA131185 WWA196619:WWA196721 WWA262155:WWA262257 WWA327691:WWA327793 WWA393227:WWA393329 WWA458763:WWA458865 WWA524299:WWA524401 WWA589835:WWA589937 WWA655371:WWA655473 WWA720907:WWA721009 WWA786443:WWA786545 WWA851979:WWA852081 WWA917515:WWA917617 JP10:JP63 WWB66:WWB114 WMF66:WMF114 WCJ66:WCJ114 VSN66:VSN114 VIR66:VIR114 UYV66:UYV114 UOZ66:UOZ114 UFD66:UFD114 TVH66:TVH114 TLL66:TLL114 TBP66:TBP114 SRT66:SRT114 SHX66:SHX114 RYB66:RYB114 ROF66:ROF114 REJ66:REJ114 QUN66:QUN114 QKR66:QKR114 QAV66:QAV114 PQZ66:PQZ114 PHD66:PHD114 OXH66:OXH114 ONL66:ONL114 ODP66:ODP114 NTT66:NTT114 NJX66:NJX114 NAB66:NAB114 MQF66:MQF114 MGJ66:MGJ114 LWN66:LWN114 LMR66:LMR114 LCV66:LCV114 KSZ66:KSZ114 KJD66:KJD114 JZH66:JZH114 JPL66:JPL114 JFP66:JFP114 IVT66:IVT114 ILX66:ILX114 ICB66:ICB114 HSF66:HSF114 HIJ66:HIJ114 GYN66:GYN114 GOR66:GOR114 GEV66:GEV114 FUZ66:FUZ114 FLD66:FLD114 FBH66:FBH114 ERL66:ERL114 EHP66:EHP114 DXT66:DXT114 DNX66:DNX114 DEB66:DEB114 CUF66:CUF114 CKJ66:CKJ114 CAN66:CAN114 BQR66:BQR114 BGV66:BGV114 AWZ66:AWZ114 AND66:AND114 ADH66:ADH114 TL66:TL114 JP66:JP114" xr:uid="{80BD4A71-81F1-4586-B585-CF0746BE94DF}"/>
    <dataValidation allowBlank="1" showInputMessage="1" showErrorMessage="1" prompt="Initial Grade" sqref="W65547:W65649 W131083:W131185 W196619:W196721 W262155:W262257 W327691:W327793 W393227:W393329 W458763:W458865 W524299:W524401 W589835:W589937 W655371:W655473 W720907:W721009 W786443:W786545 W851979:W852081 W917515:W917617 W983051:W983153 JP65547:JP65649 JP131083:JP131185 JP196619:JP196721 JP262155:JP262257 JP327691:JP327793 JP393227:JP393329 JP458763:JP458865 JP524299:JP524401 JP589835:JP589937 JP655371:JP655473 JP720907:JP721009 JP786443:JP786545 JP851979:JP852081 JP917515:JP917617 JP983051:JP983153 TM10:TM63 TL65547:TL65649 TL131083:TL131185 TL196619:TL196721 TL262155:TL262257 TL327691:TL327793 TL393227:TL393329 TL458763:TL458865 TL524299:TL524401 TL589835:TL589937 TL655371:TL655473 TL720907:TL721009 TL786443:TL786545 TL851979:TL852081 TL917515:TL917617 TL983051:TL983153 ADI10:ADI63 ADH65547:ADH65649 ADH131083:ADH131185 ADH196619:ADH196721 ADH262155:ADH262257 ADH327691:ADH327793 ADH393227:ADH393329 ADH458763:ADH458865 ADH524299:ADH524401 ADH589835:ADH589937 ADH655371:ADH655473 ADH720907:ADH721009 ADH786443:ADH786545 ADH851979:ADH852081 ADH917515:ADH917617 ADH983051:ADH983153 ANE10:ANE63 AND65547:AND65649 AND131083:AND131185 AND196619:AND196721 AND262155:AND262257 AND327691:AND327793 AND393227:AND393329 AND458763:AND458865 AND524299:AND524401 AND589835:AND589937 AND655371:AND655473 AND720907:AND721009 AND786443:AND786545 AND851979:AND852081 AND917515:AND917617 AND983051:AND983153 AXA10:AXA63 AWZ65547:AWZ65649 AWZ131083:AWZ131185 AWZ196619:AWZ196721 AWZ262155:AWZ262257 AWZ327691:AWZ327793 AWZ393227:AWZ393329 AWZ458763:AWZ458865 AWZ524299:AWZ524401 AWZ589835:AWZ589937 AWZ655371:AWZ655473 AWZ720907:AWZ721009 AWZ786443:AWZ786545 AWZ851979:AWZ852081 AWZ917515:AWZ917617 AWZ983051:AWZ983153 BGW10:BGW63 BGV65547:BGV65649 BGV131083:BGV131185 BGV196619:BGV196721 BGV262155:BGV262257 BGV327691:BGV327793 BGV393227:BGV393329 BGV458763:BGV458865 BGV524299:BGV524401 BGV589835:BGV589937 BGV655371:BGV655473 BGV720907:BGV721009 BGV786443:BGV786545 BGV851979:BGV852081 BGV917515:BGV917617 BGV983051:BGV983153 BQS10:BQS63 BQR65547:BQR65649 BQR131083:BQR131185 BQR196619:BQR196721 BQR262155:BQR262257 BQR327691:BQR327793 BQR393227:BQR393329 BQR458763:BQR458865 BQR524299:BQR524401 BQR589835:BQR589937 BQR655371:BQR655473 BQR720907:BQR721009 BQR786443:BQR786545 BQR851979:BQR852081 BQR917515:BQR917617 BQR983051:BQR983153 CAO10:CAO63 CAN65547:CAN65649 CAN131083:CAN131185 CAN196619:CAN196721 CAN262155:CAN262257 CAN327691:CAN327793 CAN393227:CAN393329 CAN458763:CAN458865 CAN524299:CAN524401 CAN589835:CAN589937 CAN655371:CAN655473 CAN720907:CAN721009 CAN786443:CAN786545 CAN851979:CAN852081 CAN917515:CAN917617 CAN983051:CAN983153 CKK10:CKK63 CKJ65547:CKJ65649 CKJ131083:CKJ131185 CKJ196619:CKJ196721 CKJ262155:CKJ262257 CKJ327691:CKJ327793 CKJ393227:CKJ393329 CKJ458763:CKJ458865 CKJ524299:CKJ524401 CKJ589835:CKJ589937 CKJ655371:CKJ655473 CKJ720907:CKJ721009 CKJ786443:CKJ786545 CKJ851979:CKJ852081 CKJ917515:CKJ917617 CKJ983051:CKJ983153 CUG10:CUG63 CUF65547:CUF65649 CUF131083:CUF131185 CUF196619:CUF196721 CUF262155:CUF262257 CUF327691:CUF327793 CUF393227:CUF393329 CUF458763:CUF458865 CUF524299:CUF524401 CUF589835:CUF589937 CUF655371:CUF655473 CUF720907:CUF721009 CUF786443:CUF786545 CUF851979:CUF852081 CUF917515:CUF917617 CUF983051:CUF983153 DEC10:DEC63 DEB65547:DEB65649 DEB131083:DEB131185 DEB196619:DEB196721 DEB262155:DEB262257 DEB327691:DEB327793 DEB393227:DEB393329 DEB458763:DEB458865 DEB524299:DEB524401 DEB589835:DEB589937 DEB655371:DEB655473 DEB720907:DEB721009 DEB786443:DEB786545 DEB851979:DEB852081 DEB917515:DEB917617 DEB983051:DEB983153 DNY10:DNY63 DNX65547:DNX65649 DNX131083:DNX131185 DNX196619:DNX196721 DNX262155:DNX262257 DNX327691:DNX327793 DNX393227:DNX393329 DNX458763:DNX458865 DNX524299:DNX524401 DNX589835:DNX589937 DNX655371:DNX655473 DNX720907:DNX721009 DNX786443:DNX786545 DNX851979:DNX852081 DNX917515:DNX917617 DNX983051:DNX983153 DXU10:DXU63 DXT65547:DXT65649 DXT131083:DXT131185 DXT196619:DXT196721 DXT262155:DXT262257 DXT327691:DXT327793 DXT393227:DXT393329 DXT458763:DXT458865 DXT524299:DXT524401 DXT589835:DXT589937 DXT655371:DXT655473 DXT720907:DXT721009 DXT786443:DXT786545 DXT851979:DXT852081 DXT917515:DXT917617 DXT983051:DXT983153 EHQ10:EHQ63 EHP65547:EHP65649 EHP131083:EHP131185 EHP196619:EHP196721 EHP262155:EHP262257 EHP327691:EHP327793 EHP393227:EHP393329 EHP458763:EHP458865 EHP524299:EHP524401 EHP589835:EHP589937 EHP655371:EHP655473 EHP720907:EHP721009 EHP786443:EHP786545 EHP851979:EHP852081 EHP917515:EHP917617 EHP983051:EHP983153 ERM10:ERM63 ERL65547:ERL65649 ERL131083:ERL131185 ERL196619:ERL196721 ERL262155:ERL262257 ERL327691:ERL327793 ERL393227:ERL393329 ERL458763:ERL458865 ERL524299:ERL524401 ERL589835:ERL589937 ERL655371:ERL655473 ERL720907:ERL721009 ERL786443:ERL786545 ERL851979:ERL852081 ERL917515:ERL917617 ERL983051:ERL983153 FBI10:FBI63 FBH65547:FBH65649 FBH131083:FBH131185 FBH196619:FBH196721 FBH262155:FBH262257 FBH327691:FBH327793 FBH393227:FBH393329 FBH458763:FBH458865 FBH524299:FBH524401 FBH589835:FBH589937 FBH655371:FBH655473 FBH720907:FBH721009 FBH786443:FBH786545 FBH851979:FBH852081 FBH917515:FBH917617 FBH983051:FBH983153 FLE10:FLE63 FLD65547:FLD65649 FLD131083:FLD131185 FLD196619:FLD196721 FLD262155:FLD262257 FLD327691:FLD327793 FLD393227:FLD393329 FLD458763:FLD458865 FLD524299:FLD524401 FLD589835:FLD589937 FLD655371:FLD655473 FLD720907:FLD721009 FLD786443:FLD786545 FLD851979:FLD852081 FLD917515:FLD917617 FLD983051:FLD983153 FVA10:FVA63 FUZ65547:FUZ65649 FUZ131083:FUZ131185 FUZ196619:FUZ196721 FUZ262155:FUZ262257 FUZ327691:FUZ327793 FUZ393227:FUZ393329 FUZ458763:FUZ458865 FUZ524299:FUZ524401 FUZ589835:FUZ589937 FUZ655371:FUZ655473 FUZ720907:FUZ721009 FUZ786443:FUZ786545 FUZ851979:FUZ852081 FUZ917515:FUZ917617 FUZ983051:FUZ983153 GEW10:GEW63 GEV65547:GEV65649 GEV131083:GEV131185 GEV196619:GEV196721 GEV262155:GEV262257 GEV327691:GEV327793 GEV393227:GEV393329 GEV458763:GEV458865 GEV524299:GEV524401 GEV589835:GEV589937 GEV655371:GEV655473 GEV720907:GEV721009 GEV786443:GEV786545 GEV851979:GEV852081 GEV917515:GEV917617 GEV983051:GEV983153 GOS10:GOS63 GOR65547:GOR65649 GOR131083:GOR131185 GOR196619:GOR196721 GOR262155:GOR262257 GOR327691:GOR327793 GOR393227:GOR393329 GOR458763:GOR458865 GOR524299:GOR524401 GOR589835:GOR589937 GOR655371:GOR655473 GOR720907:GOR721009 GOR786443:GOR786545 GOR851979:GOR852081 GOR917515:GOR917617 GOR983051:GOR983153 GYO10:GYO63 GYN65547:GYN65649 GYN131083:GYN131185 GYN196619:GYN196721 GYN262155:GYN262257 GYN327691:GYN327793 GYN393227:GYN393329 GYN458763:GYN458865 GYN524299:GYN524401 GYN589835:GYN589937 GYN655371:GYN655473 GYN720907:GYN721009 GYN786443:GYN786545 GYN851979:GYN852081 GYN917515:GYN917617 GYN983051:GYN983153 HIK10:HIK63 HIJ65547:HIJ65649 HIJ131083:HIJ131185 HIJ196619:HIJ196721 HIJ262155:HIJ262257 HIJ327691:HIJ327793 HIJ393227:HIJ393329 HIJ458763:HIJ458865 HIJ524299:HIJ524401 HIJ589835:HIJ589937 HIJ655371:HIJ655473 HIJ720907:HIJ721009 HIJ786443:HIJ786545 HIJ851979:HIJ852081 HIJ917515:HIJ917617 HIJ983051:HIJ983153 HSG10:HSG63 HSF65547:HSF65649 HSF131083:HSF131185 HSF196619:HSF196721 HSF262155:HSF262257 HSF327691:HSF327793 HSF393227:HSF393329 HSF458763:HSF458865 HSF524299:HSF524401 HSF589835:HSF589937 HSF655371:HSF655473 HSF720907:HSF721009 HSF786443:HSF786545 HSF851979:HSF852081 HSF917515:HSF917617 HSF983051:HSF983153 ICC10:ICC63 ICB65547:ICB65649 ICB131083:ICB131185 ICB196619:ICB196721 ICB262155:ICB262257 ICB327691:ICB327793 ICB393227:ICB393329 ICB458763:ICB458865 ICB524299:ICB524401 ICB589835:ICB589937 ICB655371:ICB655473 ICB720907:ICB721009 ICB786443:ICB786545 ICB851979:ICB852081 ICB917515:ICB917617 ICB983051:ICB983153 ILY10:ILY63 ILX65547:ILX65649 ILX131083:ILX131185 ILX196619:ILX196721 ILX262155:ILX262257 ILX327691:ILX327793 ILX393227:ILX393329 ILX458763:ILX458865 ILX524299:ILX524401 ILX589835:ILX589937 ILX655371:ILX655473 ILX720907:ILX721009 ILX786443:ILX786545 ILX851979:ILX852081 ILX917515:ILX917617 ILX983051:ILX983153 IVU10:IVU63 IVT65547:IVT65649 IVT131083:IVT131185 IVT196619:IVT196721 IVT262155:IVT262257 IVT327691:IVT327793 IVT393227:IVT393329 IVT458763:IVT458865 IVT524299:IVT524401 IVT589835:IVT589937 IVT655371:IVT655473 IVT720907:IVT721009 IVT786443:IVT786545 IVT851979:IVT852081 IVT917515:IVT917617 IVT983051:IVT983153 JFQ10:JFQ63 JFP65547:JFP65649 JFP131083:JFP131185 JFP196619:JFP196721 JFP262155:JFP262257 JFP327691:JFP327793 JFP393227:JFP393329 JFP458763:JFP458865 JFP524299:JFP524401 JFP589835:JFP589937 JFP655371:JFP655473 JFP720907:JFP721009 JFP786443:JFP786545 JFP851979:JFP852081 JFP917515:JFP917617 JFP983051:JFP983153 JPM10:JPM63 JPL65547:JPL65649 JPL131083:JPL131185 JPL196619:JPL196721 JPL262155:JPL262257 JPL327691:JPL327793 JPL393227:JPL393329 JPL458763:JPL458865 JPL524299:JPL524401 JPL589835:JPL589937 JPL655371:JPL655473 JPL720907:JPL721009 JPL786443:JPL786545 JPL851979:JPL852081 JPL917515:JPL917617 JPL983051:JPL983153 JZI10:JZI63 JZH65547:JZH65649 JZH131083:JZH131185 JZH196619:JZH196721 JZH262155:JZH262257 JZH327691:JZH327793 JZH393227:JZH393329 JZH458763:JZH458865 JZH524299:JZH524401 JZH589835:JZH589937 JZH655371:JZH655473 JZH720907:JZH721009 JZH786443:JZH786545 JZH851979:JZH852081 JZH917515:JZH917617 JZH983051:JZH983153 KJE10:KJE63 KJD65547:KJD65649 KJD131083:KJD131185 KJD196619:KJD196721 KJD262155:KJD262257 KJD327691:KJD327793 KJD393227:KJD393329 KJD458763:KJD458865 KJD524299:KJD524401 KJD589835:KJD589937 KJD655371:KJD655473 KJD720907:KJD721009 KJD786443:KJD786545 KJD851979:KJD852081 KJD917515:KJD917617 KJD983051:KJD983153 KTA10:KTA63 KSZ65547:KSZ65649 KSZ131083:KSZ131185 KSZ196619:KSZ196721 KSZ262155:KSZ262257 KSZ327691:KSZ327793 KSZ393227:KSZ393329 KSZ458763:KSZ458865 KSZ524299:KSZ524401 KSZ589835:KSZ589937 KSZ655371:KSZ655473 KSZ720907:KSZ721009 KSZ786443:KSZ786545 KSZ851979:KSZ852081 KSZ917515:KSZ917617 KSZ983051:KSZ983153 LCW10:LCW63 LCV65547:LCV65649 LCV131083:LCV131185 LCV196619:LCV196721 LCV262155:LCV262257 LCV327691:LCV327793 LCV393227:LCV393329 LCV458763:LCV458865 LCV524299:LCV524401 LCV589835:LCV589937 LCV655371:LCV655473 LCV720907:LCV721009 LCV786443:LCV786545 LCV851979:LCV852081 LCV917515:LCV917617 LCV983051:LCV983153 LMS10:LMS63 LMR65547:LMR65649 LMR131083:LMR131185 LMR196619:LMR196721 LMR262155:LMR262257 LMR327691:LMR327793 LMR393227:LMR393329 LMR458763:LMR458865 LMR524299:LMR524401 LMR589835:LMR589937 LMR655371:LMR655473 LMR720907:LMR721009 LMR786443:LMR786545 LMR851979:LMR852081 LMR917515:LMR917617 LMR983051:LMR983153 LWO10:LWO63 LWN65547:LWN65649 LWN131083:LWN131185 LWN196619:LWN196721 LWN262155:LWN262257 LWN327691:LWN327793 LWN393227:LWN393329 LWN458763:LWN458865 LWN524299:LWN524401 LWN589835:LWN589937 LWN655371:LWN655473 LWN720907:LWN721009 LWN786443:LWN786545 LWN851979:LWN852081 LWN917515:LWN917617 LWN983051:LWN983153 MGK10:MGK63 MGJ65547:MGJ65649 MGJ131083:MGJ131185 MGJ196619:MGJ196721 MGJ262155:MGJ262257 MGJ327691:MGJ327793 MGJ393227:MGJ393329 MGJ458763:MGJ458865 MGJ524299:MGJ524401 MGJ589835:MGJ589937 MGJ655371:MGJ655473 MGJ720907:MGJ721009 MGJ786443:MGJ786545 MGJ851979:MGJ852081 MGJ917515:MGJ917617 MGJ983051:MGJ983153 MQG10:MQG63 MQF65547:MQF65649 MQF131083:MQF131185 MQF196619:MQF196721 MQF262155:MQF262257 MQF327691:MQF327793 MQF393227:MQF393329 MQF458763:MQF458865 MQF524299:MQF524401 MQF589835:MQF589937 MQF655371:MQF655473 MQF720907:MQF721009 MQF786443:MQF786545 MQF851979:MQF852081 MQF917515:MQF917617 MQF983051:MQF983153 NAC10:NAC63 NAB65547:NAB65649 NAB131083:NAB131185 NAB196619:NAB196721 NAB262155:NAB262257 NAB327691:NAB327793 NAB393227:NAB393329 NAB458763:NAB458865 NAB524299:NAB524401 NAB589835:NAB589937 NAB655371:NAB655473 NAB720907:NAB721009 NAB786443:NAB786545 NAB851979:NAB852081 NAB917515:NAB917617 NAB983051:NAB983153 NJY10:NJY63 NJX65547:NJX65649 NJX131083:NJX131185 NJX196619:NJX196721 NJX262155:NJX262257 NJX327691:NJX327793 NJX393227:NJX393329 NJX458763:NJX458865 NJX524299:NJX524401 NJX589835:NJX589937 NJX655371:NJX655473 NJX720907:NJX721009 NJX786443:NJX786545 NJX851979:NJX852081 NJX917515:NJX917617 NJX983051:NJX983153 NTU10:NTU63 NTT65547:NTT65649 NTT131083:NTT131185 NTT196619:NTT196721 NTT262155:NTT262257 NTT327691:NTT327793 NTT393227:NTT393329 NTT458763:NTT458865 NTT524299:NTT524401 NTT589835:NTT589937 NTT655371:NTT655473 NTT720907:NTT721009 NTT786443:NTT786545 NTT851979:NTT852081 NTT917515:NTT917617 NTT983051:NTT983153 ODQ10:ODQ63 ODP65547:ODP65649 ODP131083:ODP131185 ODP196619:ODP196721 ODP262155:ODP262257 ODP327691:ODP327793 ODP393227:ODP393329 ODP458763:ODP458865 ODP524299:ODP524401 ODP589835:ODP589937 ODP655371:ODP655473 ODP720907:ODP721009 ODP786443:ODP786545 ODP851979:ODP852081 ODP917515:ODP917617 ODP983051:ODP983153 ONM10:ONM63 ONL65547:ONL65649 ONL131083:ONL131185 ONL196619:ONL196721 ONL262155:ONL262257 ONL327691:ONL327793 ONL393227:ONL393329 ONL458763:ONL458865 ONL524299:ONL524401 ONL589835:ONL589937 ONL655371:ONL655473 ONL720907:ONL721009 ONL786443:ONL786545 ONL851979:ONL852081 ONL917515:ONL917617 ONL983051:ONL983153 OXI10:OXI63 OXH65547:OXH65649 OXH131083:OXH131185 OXH196619:OXH196721 OXH262155:OXH262257 OXH327691:OXH327793 OXH393227:OXH393329 OXH458763:OXH458865 OXH524299:OXH524401 OXH589835:OXH589937 OXH655371:OXH655473 OXH720907:OXH721009 OXH786443:OXH786545 OXH851979:OXH852081 OXH917515:OXH917617 OXH983051:OXH983153 PHE10:PHE63 PHD65547:PHD65649 PHD131083:PHD131185 PHD196619:PHD196721 PHD262155:PHD262257 PHD327691:PHD327793 PHD393227:PHD393329 PHD458763:PHD458865 PHD524299:PHD524401 PHD589835:PHD589937 PHD655371:PHD655473 PHD720907:PHD721009 PHD786443:PHD786545 PHD851979:PHD852081 PHD917515:PHD917617 PHD983051:PHD983153 PRA10:PRA63 PQZ65547:PQZ65649 PQZ131083:PQZ131185 PQZ196619:PQZ196721 PQZ262155:PQZ262257 PQZ327691:PQZ327793 PQZ393227:PQZ393329 PQZ458763:PQZ458865 PQZ524299:PQZ524401 PQZ589835:PQZ589937 PQZ655371:PQZ655473 PQZ720907:PQZ721009 PQZ786443:PQZ786545 PQZ851979:PQZ852081 PQZ917515:PQZ917617 PQZ983051:PQZ983153 QAW10:QAW63 QAV65547:QAV65649 QAV131083:QAV131185 QAV196619:QAV196721 QAV262155:QAV262257 QAV327691:QAV327793 QAV393227:QAV393329 QAV458763:QAV458865 QAV524299:QAV524401 QAV589835:QAV589937 QAV655371:QAV655473 QAV720907:QAV721009 QAV786443:QAV786545 QAV851979:QAV852081 QAV917515:QAV917617 QAV983051:QAV983153 QKS10:QKS63 QKR65547:QKR65649 QKR131083:QKR131185 QKR196619:QKR196721 QKR262155:QKR262257 QKR327691:QKR327793 QKR393227:QKR393329 QKR458763:QKR458865 QKR524299:QKR524401 QKR589835:QKR589937 QKR655371:QKR655473 QKR720907:QKR721009 QKR786443:QKR786545 QKR851979:QKR852081 QKR917515:QKR917617 QKR983051:QKR983153 QUO10:QUO63 QUN65547:QUN65649 QUN131083:QUN131185 QUN196619:QUN196721 QUN262155:QUN262257 QUN327691:QUN327793 QUN393227:QUN393329 QUN458763:QUN458865 QUN524299:QUN524401 QUN589835:QUN589937 QUN655371:QUN655473 QUN720907:QUN721009 QUN786443:QUN786545 QUN851979:QUN852081 QUN917515:QUN917617 QUN983051:QUN983153 REK10:REK63 REJ65547:REJ65649 REJ131083:REJ131185 REJ196619:REJ196721 REJ262155:REJ262257 REJ327691:REJ327793 REJ393227:REJ393329 REJ458763:REJ458865 REJ524299:REJ524401 REJ589835:REJ589937 REJ655371:REJ655473 REJ720907:REJ721009 REJ786443:REJ786545 REJ851979:REJ852081 REJ917515:REJ917617 REJ983051:REJ983153 ROG10:ROG63 ROF65547:ROF65649 ROF131083:ROF131185 ROF196619:ROF196721 ROF262155:ROF262257 ROF327691:ROF327793 ROF393227:ROF393329 ROF458763:ROF458865 ROF524299:ROF524401 ROF589835:ROF589937 ROF655371:ROF655473 ROF720907:ROF721009 ROF786443:ROF786545 ROF851979:ROF852081 ROF917515:ROF917617 ROF983051:ROF983153 RYC10:RYC63 RYB65547:RYB65649 RYB131083:RYB131185 RYB196619:RYB196721 RYB262155:RYB262257 RYB327691:RYB327793 RYB393227:RYB393329 RYB458763:RYB458865 RYB524299:RYB524401 RYB589835:RYB589937 RYB655371:RYB655473 RYB720907:RYB721009 RYB786443:RYB786545 RYB851979:RYB852081 RYB917515:RYB917617 RYB983051:RYB983153 SHY10:SHY63 SHX65547:SHX65649 SHX131083:SHX131185 SHX196619:SHX196721 SHX262155:SHX262257 SHX327691:SHX327793 SHX393227:SHX393329 SHX458763:SHX458865 SHX524299:SHX524401 SHX589835:SHX589937 SHX655371:SHX655473 SHX720907:SHX721009 SHX786443:SHX786545 SHX851979:SHX852081 SHX917515:SHX917617 SHX983051:SHX983153 SRU10:SRU63 SRT65547:SRT65649 SRT131083:SRT131185 SRT196619:SRT196721 SRT262155:SRT262257 SRT327691:SRT327793 SRT393227:SRT393329 SRT458763:SRT458865 SRT524299:SRT524401 SRT589835:SRT589937 SRT655371:SRT655473 SRT720907:SRT721009 SRT786443:SRT786545 SRT851979:SRT852081 SRT917515:SRT917617 SRT983051:SRT983153 TBQ10:TBQ63 TBP65547:TBP65649 TBP131083:TBP131185 TBP196619:TBP196721 TBP262155:TBP262257 TBP327691:TBP327793 TBP393227:TBP393329 TBP458763:TBP458865 TBP524299:TBP524401 TBP589835:TBP589937 TBP655371:TBP655473 TBP720907:TBP721009 TBP786443:TBP786545 TBP851979:TBP852081 TBP917515:TBP917617 TBP983051:TBP983153 TLM10:TLM63 TLL65547:TLL65649 TLL131083:TLL131185 TLL196619:TLL196721 TLL262155:TLL262257 TLL327691:TLL327793 TLL393227:TLL393329 TLL458763:TLL458865 TLL524299:TLL524401 TLL589835:TLL589937 TLL655371:TLL655473 TLL720907:TLL721009 TLL786443:TLL786545 TLL851979:TLL852081 TLL917515:TLL917617 TLL983051:TLL983153 TVI10:TVI63 TVH65547:TVH65649 TVH131083:TVH131185 TVH196619:TVH196721 TVH262155:TVH262257 TVH327691:TVH327793 TVH393227:TVH393329 TVH458763:TVH458865 TVH524299:TVH524401 TVH589835:TVH589937 TVH655371:TVH655473 TVH720907:TVH721009 TVH786443:TVH786545 TVH851979:TVH852081 TVH917515:TVH917617 TVH983051:TVH983153 UFE10:UFE63 UFD65547:UFD65649 UFD131083:UFD131185 UFD196619:UFD196721 UFD262155:UFD262257 UFD327691:UFD327793 UFD393227:UFD393329 UFD458763:UFD458865 UFD524299:UFD524401 UFD589835:UFD589937 UFD655371:UFD655473 UFD720907:UFD721009 UFD786443:UFD786545 UFD851979:UFD852081 UFD917515:UFD917617 UFD983051:UFD983153 UPA10:UPA63 UOZ65547:UOZ65649 UOZ131083:UOZ131185 UOZ196619:UOZ196721 UOZ262155:UOZ262257 UOZ327691:UOZ327793 UOZ393227:UOZ393329 UOZ458763:UOZ458865 UOZ524299:UOZ524401 UOZ589835:UOZ589937 UOZ655371:UOZ655473 UOZ720907:UOZ721009 UOZ786443:UOZ786545 UOZ851979:UOZ852081 UOZ917515:UOZ917617 UOZ983051:UOZ983153 UYW10:UYW63 UYV65547:UYV65649 UYV131083:UYV131185 UYV196619:UYV196721 UYV262155:UYV262257 UYV327691:UYV327793 UYV393227:UYV393329 UYV458763:UYV458865 UYV524299:UYV524401 UYV589835:UYV589937 UYV655371:UYV655473 UYV720907:UYV721009 UYV786443:UYV786545 UYV851979:UYV852081 UYV917515:UYV917617 UYV983051:UYV983153 VIS10:VIS63 VIR65547:VIR65649 VIR131083:VIR131185 VIR196619:VIR196721 VIR262155:VIR262257 VIR327691:VIR327793 VIR393227:VIR393329 VIR458763:VIR458865 VIR524299:VIR524401 VIR589835:VIR589937 VIR655371:VIR655473 VIR720907:VIR721009 VIR786443:VIR786545 VIR851979:VIR852081 VIR917515:VIR917617 VIR983051:VIR983153 VSO10:VSO63 VSN65547:VSN65649 VSN131083:VSN131185 VSN196619:VSN196721 VSN262155:VSN262257 VSN327691:VSN327793 VSN393227:VSN393329 VSN458763:VSN458865 VSN524299:VSN524401 VSN589835:VSN589937 VSN655371:VSN655473 VSN720907:VSN721009 VSN786443:VSN786545 VSN851979:VSN852081 VSN917515:VSN917617 VSN983051:VSN983153 WCK10:WCK63 WCJ65547:WCJ65649 WCJ131083:WCJ131185 WCJ196619:WCJ196721 WCJ262155:WCJ262257 WCJ327691:WCJ327793 WCJ393227:WCJ393329 WCJ458763:WCJ458865 WCJ524299:WCJ524401 WCJ589835:WCJ589937 WCJ655371:WCJ655473 WCJ720907:WCJ721009 WCJ786443:WCJ786545 WCJ851979:WCJ852081 WCJ917515:WCJ917617 WCJ983051:WCJ983153 WMG10:WMG63 WMF65547:WMF65649 WMF131083:WMF131185 WMF196619:WMF196721 WMF262155:WMF262257 WMF327691:WMF327793 WMF393227:WMF393329 WMF458763:WMF458865 WMF524299:WMF524401 WMF589835:WMF589937 WMF655371:WMF655473 WMF720907:WMF721009 WMF786443:WMF786545 WMF851979:WMF852081 WMF917515:WMF917617 WMF983051:WMF983153 WWC10:WWC63 WWB983051:WWB983153 WWB65547:WWB65649 WWB131083:WWB131185 WWB196619:WWB196721 WWB262155:WWB262257 WWB327691:WWB327793 WWB393227:WWB393329 WWB458763:WWB458865 WWB524299:WWB524401 WWB589835:WWB589937 WWB655371:WWB655473 WWB720907:WWB721009 WWB786443:WWB786545 WWB851979:WWB852081 WWB917515:WWB917617 JQ10:JQ63 WWC66:WWC114 WMG66:WMG114 WCK66:WCK114 VSO66:VSO114 VIS66:VIS114 UYW66:UYW114 UPA66:UPA114 UFE66:UFE114 TVI66:TVI114 TLM66:TLM114 TBQ66:TBQ114 SRU66:SRU114 SHY66:SHY114 RYC66:RYC114 ROG66:ROG114 REK66:REK114 QUO66:QUO114 QKS66:QKS114 QAW66:QAW114 PRA66:PRA114 PHE66:PHE114 OXI66:OXI114 ONM66:ONM114 ODQ66:ODQ114 NTU66:NTU114 NJY66:NJY114 NAC66:NAC114 MQG66:MQG114 MGK66:MGK114 LWO66:LWO114 LMS66:LMS114 LCW66:LCW114 KTA66:KTA114 KJE66:KJE114 JZI66:JZI114 JPM66:JPM114 JFQ66:JFQ114 IVU66:IVU114 ILY66:ILY114 ICC66:ICC114 HSG66:HSG114 HIK66:HIK114 GYO66:GYO114 GOS66:GOS114 GEW66:GEW114 FVA66:FVA114 FLE66:FLE114 FBI66:FBI114 ERM66:ERM114 EHQ66:EHQ114 DXU66:DXU114 DNY66:DNY114 DEC66:DEC114 CUG66:CUG114 CKK66:CKK114 CAO66:CAO114 BQS66:BQS114 BGW66:BGW114 AXA66:AXA114 ANE66:ANE114 ADI66:ADI114 TM66:TM114 JQ66:JQ114" xr:uid="{3235D790-C237-45C4-83F2-38A58646E2F8}"/>
    <dataValidation allowBlank="1" showInputMessage="1" showErrorMessage="1" prompt="Quarterly Grade/Transmuted Grade" sqref="X65547:X65649 X131083:X131185 X196619:X196721 X262155:X262257 X327691:X327793 X393227:X393329 X458763:X458865 X524299:X524401 X589835:X589937 X655371:X655473 X720907:X721009 X786443:X786545 X851979:X852081 X917515:X917617 X983051:X983153 JQ65547:JQ65649 JQ131083:JQ131185 JQ196619:JQ196721 JQ262155:JQ262257 JQ327691:JQ327793 JQ393227:JQ393329 JQ458763:JQ458865 JQ524299:JQ524401 JQ589835:JQ589937 JQ655371:JQ655473 JQ720907:JQ721009 JQ786443:JQ786545 JQ851979:JQ852081 JQ917515:JQ917617 JQ983051:JQ983153 TN10:TN63 TM65547:TM65649 TM131083:TM131185 TM196619:TM196721 TM262155:TM262257 TM327691:TM327793 TM393227:TM393329 TM458763:TM458865 TM524299:TM524401 TM589835:TM589937 TM655371:TM655473 TM720907:TM721009 TM786443:TM786545 TM851979:TM852081 TM917515:TM917617 TM983051:TM983153 ADJ10:ADJ63 ADI65547:ADI65649 ADI131083:ADI131185 ADI196619:ADI196721 ADI262155:ADI262257 ADI327691:ADI327793 ADI393227:ADI393329 ADI458763:ADI458865 ADI524299:ADI524401 ADI589835:ADI589937 ADI655371:ADI655473 ADI720907:ADI721009 ADI786443:ADI786545 ADI851979:ADI852081 ADI917515:ADI917617 ADI983051:ADI983153 ANF10:ANF63 ANE65547:ANE65649 ANE131083:ANE131185 ANE196619:ANE196721 ANE262155:ANE262257 ANE327691:ANE327793 ANE393227:ANE393329 ANE458763:ANE458865 ANE524299:ANE524401 ANE589835:ANE589937 ANE655371:ANE655473 ANE720907:ANE721009 ANE786443:ANE786545 ANE851979:ANE852081 ANE917515:ANE917617 ANE983051:ANE983153 AXB10:AXB63 AXA65547:AXA65649 AXA131083:AXA131185 AXA196619:AXA196721 AXA262155:AXA262257 AXA327691:AXA327793 AXA393227:AXA393329 AXA458763:AXA458865 AXA524299:AXA524401 AXA589835:AXA589937 AXA655371:AXA655473 AXA720907:AXA721009 AXA786443:AXA786545 AXA851979:AXA852081 AXA917515:AXA917617 AXA983051:AXA983153 BGX10:BGX63 BGW65547:BGW65649 BGW131083:BGW131185 BGW196619:BGW196721 BGW262155:BGW262257 BGW327691:BGW327793 BGW393227:BGW393329 BGW458763:BGW458865 BGW524299:BGW524401 BGW589835:BGW589937 BGW655371:BGW655473 BGW720907:BGW721009 BGW786443:BGW786545 BGW851979:BGW852081 BGW917515:BGW917617 BGW983051:BGW983153 BQT10:BQT63 BQS65547:BQS65649 BQS131083:BQS131185 BQS196619:BQS196721 BQS262155:BQS262257 BQS327691:BQS327793 BQS393227:BQS393329 BQS458763:BQS458865 BQS524299:BQS524401 BQS589835:BQS589937 BQS655371:BQS655473 BQS720907:BQS721009 BQS786443:BQS786545 BQS851979:BQS852081 BQS917515:BQS917617 BQS983051:BQS983153 CAP10:CAP63 CAO65547:CAO65649 CAO131083:CAO131185 CAO196619:CAO196721 CAO262155:CAO262257 CAO327691:CAO327793 CAO393227:CAO393329 CAO458763:CAO458865 CAO524299:CAO524401 CAO589835:CAO589937 CAO655371:CAO655473 CAO720907:CAO721009 CAO786443:CAO786545 CAO851979:CAO852081 CAO917515:CAO917617 CAO983051:CAO983153 CKL10:CKL63 CKK65547:CKK65649 CKK131083:CKK131185 CKK196619:CKK196721 CKK262155:CKK262257 CKK327691:CKK327793 CKK393227:CKK393329 CKK458763:CKK458865 CKK524299:CKK524401 CKK589835:CKK589937 CKK655371:CKK655473 CKK720907:CKK721009 CKK786443:CKK786545 CKK851979:CKK852081 CKK917515:CKK917617 CKK983051:CKK983153 CUH10:CUH63 CUG65547:CUG65649 CUG131083:CUG131185 CUG196619:CUG196721 CUG262155:CUG262257 CUG327691:CUG327793 CUG393227:CUG393329 CUG458763:CUG458865 CUG524299:CUG524401 CUG589835:CUG589937 CUG655371:CUG655473 CUG720907:CUG721009 CUG786443:CUG786545 CUG851979:CUG852081 CUG917515:CUG917617 CUG983051:CUG983153 DED10:DED63 DEC65547:DEC65649 DEC131083:DEC131185 DEC196619:DEC196721 DEC262155:DEC262257 DEC327691:DEC327793 DEC393227:DEC393329 DEC458763:DEC458865 DEC524299:DEC524401 DEC589835:DEC589937 DEC655371:DEC655473 DEC720907:DEC721009 DEC786443:DEC786545 DEC851979:DEC852081 DEC917515:DEC917617 DEC983051:DEC983153 DNZ10:DNZ63 DNY65547:DNY65649 DNY131083:DNY131185 DNY196619:DNY196721 DNY262155:DNY262257 DNY327691:DNY327793 DNY393227:DNY393329 DNY458763:DNY458865 DNY524299:DNY524401 DNY589835:DNY589937 DNY655371:DNY655473 DNY720907:DNY721009 DNY786443:DNY786545 DNY851979:DNY852081 DNY917515:DNY917617 DNY983051:DNY983153 DXV10:DXV63 DXU65547:DXU65649 DXU131083:DXU131185 DXU196619:DXU196721 DXU262155:DXU262257 DXU327691:DXU327793 DXU393227:DXU393329 DXU458763:DXU458865 DXU524299:DXU524401 DXU589835:DXU589937 DXU655371:DXU655473 DXU720907:DXU721009 DXU786443:DXU786545 DXU851979:DXU852081 DXU917515:DXU917617 DXU983051:DXU983153 EHR10:EHR63 EHQ65547:EHQ65649 EHQ131083:EHQ131185 EHQ196619:EHQ196721 EHQ262155:EHQ262257 EHQ327691:EHQ327793 EHQ393227:EHQ393329 EHQ458763:EHQ458865 EHQ524299:EHQ524401 EHQ589835:EHQ589937 EHQ655371:EHQ655473 EHQ720907:EHQ721009 EHQ786443:EHQ786545 EHQ851979:EHQ852081 EHQ917515:EHQ917617 EHQ983051:EHQ983153 ERN10:ERN63 ERM65547:ERM65649 ERM131083:ERM131185 ERM196619:ERM196721 ERM262155:ERM262257 ERM327691:ERM327793 ERM393227:ERM393329 ERM458763:ERM458865 ERM524299:ERM524401 ERM589835:ERM589937 ERM655371:ERM655473 ERM720907:ERM721009 ERM786443:ERM786545 ERM851979:ERM852081 ERM917515:ERM917617 ERM983051:ERM983153 FBJ10:FBJ63 FBI65547:FBI65649 FBI131083:FBI131185 FBI196619:FBI196721 FBI262155:FBI262257 FBI327691:FBI327793 FBI393227:FBI393329 FBI458763:FBI458865 FBI524299:FBI524401 FBI589835:FBI589937 FBI655371:FBI655473 FBI720907:FBI721009 FBI786443:FBI786545 FBI851979:FBI852081 FBI917515:FBI917617 FBI983051:FBI983153 FLF10:FLF63 FLE65547:FLE65649 FLE131083:FLE131185 FLE196619:FLE196721 FLE262155:FLE262257 FLE327691:FLE327793 FLE393227:FLE393329 FLE458763:FLE458865 FLE524299:FLE524401 FLE589835:FLE589937 FLE655371:FLE655473 FLE720907:FLE721009 FLE786443:FLE786545 FLE851979:FLE852081 FLE917515:FLE917617 FLE983051:FLE983153 FVB10:FVB63 FVA65547:FVA65649 FVA131083:FVA131185 FVA196619:FVA196721 FVA262155:FVA262257 FVA327691:FVA327793 FVA393227:FVA393329 FVA458763:FVA458865 FVA524299:FVA524401 FVA589835:FVA589937 FVA655371:FVA655473 FVA720907:FVA721009 FVA786443:FVA786545 FVA851979:FVA852081 FVA917515:FVA917617 FVA983051:FVA983153 GEX10:GEX63 GEW65547:GEW65649 GEW131083:GEW131185 GEW196619:GEW196721 GEW262155:GEW262257 GEW327691:GEW327793 GEW393227:GEW393329 GEW458763:GEW458865 GEW524299:GEW524401 GEW589835:GEW589937 GEW655371:GEW655473 GEW720907:GEW721009 GEW786443:GEW786545 GEW851979:GEW852081 GEW917515:GEW917617 GEW983051:GEW983153 GOT10:GOT63 GOS65547:GOS65649 GOS131083:GOS131185 GOS196619:GOS196721 GOS262155:GOS262257 GOS327691:GOS327793 GOS393227:GOS393329 GOS458763:GOS458865 GOS524299:GOS524401 GOS589835:GOS589937 GOS655371:GOS655473 GOS720907:GOS721009 GOS786443:GOS786545 GOS851979:GOS852081 GOS917515:GOS917617 GOS983051:GOS983153 GYP10:GYP63 GYO65547:GYO65649 GYO131083:GYO131185 GYO196619:GYO196721 GYO262155:GYO262257 GYO327691:GYO327793 GYO393227:GYO393329 GYO458763:GYO458865 GYO524299:GYO524401 GYO589835:GYO589937 GYO655371:GYO655473 GYO720907:GYO721009 GYO786443:GYO786545 GYO851979:GYO852081 GYO917515:GYO917617 GYO983051:GYO983153 HIL10:HIL63 HIK65547:HIK65649 HIK131083:HIK131185 HIK196619:HIK196721 HIK262155:HIK262257 HIK327691:HIK327793 HIK393227:HIK393329 HIK458763:HIK458865 HIK524299:HIK524401 HIK589835:HIK589937 HIK655371:HIK655473 HIK720907:HIK721009 HIK786443:HIK786545 HIK851979:HIK852081 HIK917515:HIK917617 HIK983051:HIK983153 HSH10:HSH63 HSG65547:HSG65649 HSG131083:HSG131185 HSG196619:HSG196721 HSG262155:HSG262257 HSG327691:HSG327793 HSG393227:HSG393329 HSG458763:HSG458865 HSG524299:HSG524401 HSG589835:HSG589937 HSG655371:HSG655473 HSG720907:HSG721009 HSG786443:HSG786545 HSG851979:HSG852081 HSG917515:HSG917617 HSG983051:HSG983153 ICD10:ICD63 ICC65547:ICC65649 ICC131083:ICC131185 ICC196619:ICC196721 ICC262155:ICC262257 ICC327691:ICC327793 ICC393227:ICC393329 ICC458763:ICC458865 ICC524299:ICC524401 ICC589835:ICC589937 ICC655371:ICC655473 ICC720907:ICC721009 ICC786443:ICC786545 ICC851979:ICC852081 ICC917515:ICC917617 ICC983051:ICC983153 ILZ10:ILZ63 ILY65547:ILY65649 ILY131083:ILY131185 ILY196619:ILY196721 ILY262155:ILY262257 ILY327691:ILY327793 ILY393227:ILY393329 ILY458763:ILY458865 ILY524299:ILY524401 ILY589835:ILY589937 ILY655371:ILY655473 ILY720907:ILY721009 ILY786443:ILY786545 ILY851979:ILY852081 ILY917515:ILY917617 ILY983051:ILY983153 IVV10:IVV63 IVU65547:IVU65649 IVU131083:IVU131185 IVU196619:IVU196721 IVU262155:IVU262257 IVU327691:IVU327793 IVU393227:IVU393329 IVU458763:IVU458865 IVU524299:IVU524401 IVU589835:IVU589937 IVU655371:IVU655473 IVU720907:IVU721009 IVU786443:IVU786545 IVU851979:IVU852081 IVU917515:IVU917617 IVU983051:IVU983153 JFR10:JFR63 JFQ65547:JFQ65649 JFQ131083:JFQ131185 JFQ196619:JFQ196721 JFQ262155:JFQ262257 JFQ327691:JFQ327793 JFQ393227:JFQ393329 JFQ458763:JFQ458865 JFQ524299:JFQ524401 JFQ589835:JFQ589937 JFQ655371:JFQ655473 JFQ720907:JFQ721009 JFQ786443:JFQ786545 JFQ851979:JFQ852081 JFQ917515:JFQ917617 JFQ983051:JFQ983153 JPN10:JPN63 JPM65547:JPM65649 JPM131083:JPM131185 JPM196619:JPM196721 JPM262155:JPM262257 JPM327691:JPM327793 JPM393227:JPM393329 JPM458763:JPM458865 JPM524299:JPM524401 JPM589835:JPM589937 JPM655371:JPM655473 JPM720907:JPM721009 JPM786443:JPM786545 JPM851979:JPM852081 JPM917515:JPM917617 JPM983051:JPM983153 JZJ10:JZJ63 JZI65547:JZI65649 JZI131083:JZI131185 JZI196619:JZI196721 JZI262155:JZI262257 JZI327691:JZI327793 JZI393227:JZI393329 JZI458763:JZI458865 JZI524299:JZI524401 JZI589835:JZI589937 JZI655371:JZI655473 JZI720907:JZI721009 JZI786443:JZI786545 JZI851979:JZI852081 JZI917515:JZI917617 JZI983051:JZI983153 KJF10:KJF63 KJE65547:KJE65649 KJE131083:KJE131185 KJE196619:KJE196721 KJE262155:KJE262257 KJE327691:KJE327793 KJE393227:KJE393329 KJE458763:KJE458865 KJE524299:KJE524401 KJE589835:KJE589937 KJE655371:KJE655473 KJE720907:KJE721009 KJE786443:KJE786545 KJE851979:KJE852081 KJE917515:KJE917617 KJE983051:KJE983153 KTB10:KTB63 KTA65547:KTA65649 KTA131083:KTA131185 KTA196619:KTA196721 KTA262155:KTA262257 KTA327691:KTA327793 KTA393227:KTA393329 KTA458763:KTA458865 KTA524299:KTA524401 KTA589835:KTA589937 KTA655371:KTA655473 KTA720907:KTA721009 KTA786443:KTA786545 KTA851979:KTA852081 KTA917515:KTA917617 KTA983051:KTA983153 LCX10:LCX63 LCW65547:LCW65649 LCW131083:LCW131185 LCW196619:LCW196721 LCW262155:LCW262257 LCW327691:LCW327793 LCW393227:LCW393329 LCW458763:LCW458865 LCW524299:LCW524401 LCW589835:LCW589937 LCW655371:LCW655473 LCW720907:LCW721009 LCW786443:LCW786545 LCW851979:LCW852081 LCW917515:LCW917617 LCW983051:LCW983153 LMT10:LMT63 LMS65547:LMS65649 LMS131083:LMS131185 LMS196619:LMS196721 LMS262155:LMS262257 LMS327691:LMS327793 LMS393227:LMS393329 LMS458763:LMS458865 LMS524299:LMS524401 LMS589835:LMS589937 LMS655371:LMS655473 LMS720907:LMS721009 LMS786443:LMS786545 LMS851979:LMS852081 LMS917515:LMS917617 LMS983051:LMS983153 LWP10:LWP63 LWO65547:LWO65649 LWO131083:LWO131185 LWO196619:LWO196721 LWO262155:LWO262257 LWO327691:LWO327793 LWO393227:LWO393329 LWO458763:LWO458865 LWO524299:LWO524401 LWO589835:LWO589937 LWO655371:LWO655473 LWO720907:LWO721009 LWO786443:LWO786545 LWO851979:LWO852081 LWO917515:LWO917617 LWO983051:LWO983153 MGL10:MGL63 MGK65547:MGK65649 MGK131083:MGK131185 MGK196619:MGK196721 MGK262155:MGK262257 MGK327691:MGK327793 MGK393227:MGK393329 MGK458763:MGK458865 MGK524299:MGK524401 MGK589835:MGK589937 MGK655371:MGK655473 MGK720907:MGK721009 MGK786443:MGK786545 MGK851979:MGK852081 MGK917515:MGK917617 MGK983051:MGK983153 MQH10:MQH63 MQG65547:MQG65649 MQG131083:MQG131185 MQG196619:MQG196721 MQG262155:MQG262257 MQG327691:MQG327793 MQG393227:MQG393329 MQG458763:MQG458865 MQG524299:MQG524401 MQG589835:MQG589937 MQG655371:MQG655473 MQG720907:MQG721009 MQG786443:MQG786545 MQG851979:MQG852081 MQG917515:MQG917617 MQG983051:MQG983153 NAD10:NAD63 NAC65547:NAC65649 NAC131083:NAC131185 NAC196619:NAC196721 NAC262155:NAC262257 NAC327691:NAC327793 NAC393227:NAC393329 NAC458763:NAC458865 NAC524299:NAC524401 NAC589835:NAC589937 NAC655371:NAC655473 NAC720907:NAC721009 NAC786443:NAC786545 NAC851979:NAC852081 NAC917515:NAC917617 NAC983051:NAC983153 NJZ10:NJZ63 NJY65547:NJY65649 NJY131083:NJY131185 NJY196619:NJY196721 NJY262155:NJY262257 NJY327691:NJY327793 NJY393227:NJY393329 NJY458763:NJY458865 NJY524299:NJY524401 NJY589835:NJY589937 NJY655371:NJY655473 NJY720907:NJY721009 NJY786443:NJY786545 NJY851979:NJY852081 NJY917515:NJY917617 NJY983051:NJY983153 NTV10:NTV63 NTU65547:NTU65649 NTU131083:NTU131185 NTU196619:NTU196721 NTU262155:NTU262257 NTU327691:NTU327793 NTU393227:NTU393329 NTU458763:NTU458865 NTU524299:NTU524401 NTU589835:NTU589937 NTU655371:NTU655473 NTU720907:NTU721009 NTU786443:NTU786545 NTU851979:NTU852081 NTU917515:NTU917617 NTU983051:NTU983153 ODR10:ODR63 ODQ65547:ODQ65649 ODQ131083:ODQ131185 ODQ196619:ODQ196721 ODQ262155:ODQ262257 ODQ327691:ODQ327793 ODQ393227:ODQ393329 ODQ458763:ODQ458865 ODQ524299:ODQ524401 ODQ589835:ODQ589937 ODQ655371:ODQ655473 ODQ720907:ODQ721009 ODQ786443:ODQ786545 ODQ851979:ODQ852081 ODQ917515:ODQ917617 ODQ983051:ODQ983153 ONN10:ONN63 ONM65547:ONM65649 ONM131083:ONM131185 ONM196619:ONM196721 ONM262155:ONM262257 ONM327691:ONM327793 ONM393227:ONM393329 ONM458763:ONM458865 ONM524299:ONM524401 ONM589835:ONM589937 ONM655371:ONM655473 ONM720907:ONM721009 ONM786443:ONM786545 ONM851979:ONM852081 ONM917515:ONM917617 ONM983051:ONM983153 OXJ10:OXJ63 OXI65547:OXI65649 OXI131083:OXI131185 OXI196619:OXI196721 OXI262155:OXI262257 OXI327691:OXI327793 OXI393227:OXI393329 OXI458763:OXI458865 OXI524299:OXI524401 OXI589835:OXI589937 OXI655371:OXI655473 OXI720907:OXI721009 OXI786443:OXI786545 OXI851979:OXI852081 OXI917515:OXI917617 OXI983051:OXI983153 PHF10:PHF63 PHE65547:PHE65649 PHE131083:PHE131185 PHE196619:PHE196721 PHE262155:PHE262257 PHE327691:PHE327793 PHE393227:PHE393329 PHE458763:PHE458865 PHE524299:PHE524401 PHE589835:PHE589937 PHE655371:PHE655473 PHE720907:PHE721009 PHE786443:PHE786545 PHE851979:PHE852081 PHE917515:PHE917617 PHE983051:PHE983153 PRB10:PRB63 PRA65547:PRA65649 PRA131083:PRA131185 PRA196619:PRA196721 PRA262155:PRA262257 PRA327691:PRA327793 PRA393227:PRA393329 PRA458763:PRA458865 PRA524299:PRA524401 PRA589835:PRA589937 PRA655371:PRA655473 PRA720907:PRA721009 PRA786443:PRA786545 PRA851979:PRA852081 PRA917515:PRA917617 PRA983051:PRA983153 QAX10:QAX63 QAW65547:QAW65649 QAW131083:QAW131185 QAW196619:QAW196721 QAW262155:QAW262257 QAW327691:QAW327793 QAW393227:QAW393329 QAW458763:QAW458865 QAW524299:QAW524401 QAW589835:QAW589937 QAW655371:QAW655473 QAW720907:QAW721009 QAW786443:QAW786545 QAW851979:QAW852081 QAW917515:QAW917617 QAW983051:QAW983153 QKT10:QKT63 QKS65547:QKS65649 QKS131083:QKS131185 QKS196619:QKS196721 QKS262155:QKS262257 QKS327691:QKS327793 QKS393227:QKS393329 QKS458763:QKS458865 QKS524299:QKS524401 QKS589835:QKS589937 QKS655371:QKS655473 QKS720907:QKS721009 QKS786443:QKS786545 QKS851979:QKS852081 QKS917515:QKS917617 QKS983051:QKS983153 QUP10:QUP63 QUO65547:QUO65649 QUO131083:QUO131185 QUO196619:QUO196721 QUO262155:QUO262257 QUO327691:QUO327793 QUO393227:QUO393329 QUO458763:QUO458865 QUO524299:QUO524401 QUO589835:QUO589937 QUO655371:QUO655473 QUO720907:QUO721009 QUO786443:QUO786545 QUO851979:QUO852081 QUO917515:QUO917617 QUO983051:QUO983153 REL10:REL63 REK65547:REK65649 REK131083:REK131185 REK196619:REK196721 REK262155:REK262257 REK327691:REK327793 REK393227:REK393329 REK458763:REK458865 REK524299:REK524401 REK589835:REK589937 REK655371:REK655473 REK720907:REK721009 REK786443:REK786545 REK851979:REK852081 REK917515:REK917617 REK983051:REK983153 ROH10:ROH63 ROG65547:ROG65649 ROG131083:ROG131185 ROG196619:ROG196721 ROG262155:ROG262257 ROG327691:ROG327793 ROG393227:ROG393329 ROG458763:ROG458865 ROG524299:ROG524401 ROG589835:ROG589937 ROG655371:ROG655473 ROG720907:ROG721009 ROG786443:ROG786545 ROG851979:ROG852081 ROG917515:ROG917617 ROG983051:ROG983153 RYD10:RYD63 RYC65547:RYC65649 RYC131083:RYC131185 RYC196619:RYC196721 RYC262155:RYC262257 RYC327691:RYC327793 RYC393227:RYC393329 RYC458763:RYC458865 RYC524299:RYC524401 RYC589835:RYC589937 RYC655371:RYC655473 RYC720907:RYC721009 RYC786443:RYC786545 RYC851979:RYC852081 RYC917515:RYC917617 RYC983051:RYC983153 SHZ10:SHZ63 SHY65547:SHY65649 SHY131083:SHY131185 SHY196619:SHY196721 SHY262155:SHY262257 SHY327691:SHY327793 SHY393227:SHY393329 SHY458763:SHY458865 SHY524299:SHY524401 SHY589835:SHY589937 SHY655371:SHY655473 SHY720907:SHY721009 SHY786443:SHY786545 SHY851979:SHY852081 SHY917515:SHY917617 SHY983051:SHY983153 SRV10:SRV63 SRU65547:SRU65649 SRU131083:SRU131185 SRU196619:SRU196721 SRU262155:SRU262257 SRU327691:SRU327793 SRU393227:SRU393329 SRU458763:SRU458865 SRU524299:SRU524401 SRU589835:SRU589937 SRU655371:SRU655473 SRU720907:SRU721009 SRU786443:SRU786545 SRU851979:SRU852081 SRU917515:SRU917617 SRU983051:SRU983153 TBR10:TBR63 TBQ65547:TBQ65649 TBQ131083:TBQ131185 TBQ196619:TBQ196721 TBQ262155:TBQ262257 TBQ327691:TBQ327793 TBQ393227:TBQ393329 TBQ458763:TBQ458865 TBQ524299:TBQ524401 TBQ589835:TBQ589937 TBQ655371:TBQ655473 TBQ720907:TBQ721009 TBQ786443:TBQ786545 TBQ851979:TBQ852081 TBQ917515:TBQ917617 TBQ983051:TBQ983153 TLN10:TLN63 TLM65547:TLM65649 TLM131083:TLM131185 TLM196619:TLM196721 TLM262155:TLM262257 TLM327691:TLM327793 TLM393227:TLM393329 TLM458763:TLM458865 TLM524299:TLM524401 TLM589835:TLM589937 TLM655371:TLM655473 TLM720907:TLM721009 TLM786443:TLM786545 TLM851979:TLM852081 TLM917515:TLM917617 TLM983051:TLM983153 TVJ10:TVJ63 TVI65547:TVI65649 TVI131083:TVI131185 TVI196619:TVI196721 TVI262155:TVI262257 TVI327691:TVI327793 TVI393227:TVI393329 TVI458763:TVI458865 TVI524299:TVI524401 TVI589835:TVI589937 TVI655371:TVI655473 TVI720907:TVI721009 TVI786443:TVI786545 TVI851979:TVI852081 TVI917515:TVI917617 TVI983051:TVI983153 UFF10:UFF63 UFE65547:UFE65649 UFE131083:UFE131185 UFE196619:UFE196721 UFE262155:UFE262257 UFE327691:UFE327793 UFE393227:UFE393329 UFE458763:UFE458865 UFE524299:UFE524401 UFE589835:UFE589937 UFE655371:UFE655473 UFE720907:UFE721009 UFE786443:UFE786545 UFE851979:UFE852081 UFE917515:UFE917617 UFE983051:UFE983153 UPB10:UPB63 UPA65547:UPA65649 UPA131083:UPA131185 UPA196619:UPA196721 UPA262155:UPA262257 UPA327691:UPA327793 UPA393227:UPA393329 UPA458763:UPA458865 UPA524299:UPA524401 UPA589835:UPA589937 UPA655371:UPA655473 UPA720907:UPA721009 UPA786443:UPA786545 UPA851979:UPA852081 UPA917515:UPA917617 UPA983051:UPA983153 UYX10:UYX63 UYW65547:UYW65649 UYW131083:UYW131185 UYW196619:UYW196721 UYW262155:UYW262257 UYW327691:UYW327793 UYW393227:UYW393329 UYW458763:UYW458865 UYW524299:UYW524401 UYW589835:UYW589937 UYW655371:UYW655473 UYW720907:UYW721009 UYW786443:UYW786545 UYW851979:UYW852081 UYW917515:UYW917617 UYW983051:UYW983153 VIT10:VIT63 VIS65547:VIS65649 VIS131083:VIS131185 VIS196619:VIS196721 VIS262155:VIS262257 VIS327691:VIS327793 VIS393227:VIS393329 VIS458763:VIS458865 VIS524299:VIS524401 VIS589835:VIS589937 VIS655371:VIS655473 VIS720907:VIS721009 VIS786443:VIS786545 VIS851979:VIS852081 VIS917515:VIS917617 VIS983051:VIS983153 VSP10:VSP63 VSO65547:VSO65649 VSO131083:VSO131185 VSO196619:VSO196721 VSO262155:VSO262257 VSO327691:VSO327793 VSO393227:VSO393329 VSO458763:VSO458865 VSO524299:VSO524401 VSO589835:VSO589937 VSO655371:VSO655473 VSO720907:VSO721009 VSO786443:VSO786545 VSO851979:VSO852081 VSO917515:VSO917617 VSO983051:VSO983153 WCL10:WCL63 WCK65547:WCK65649 WCK131083:WCK131185 WCK196619:WCK196721 WCK262155:WCK262257 WCK327691:WCK327793 WCK393227:WCK393329 WCK458763:WCK458865 WCK524299:WCK524401 WCK589835:WCK589937 WCK655371:WCK655473 WCK720907:WCK721009 WCK786443:WCK786545 WCK851979:WCK852081 WCK917515:WCK917617 WCK983051:WCK983153 WMH10:WMH63 WMG65547:WMG65649 WMG131083:WMG131185 WMG196619:WMG196721 WMG262155:WMG262257 WMG327691:WMG327793 WMG393227:WMG393329 WMG458763:WMG458865 WMG524299:WMG524401 WMG589835:WMG589937 WMG655371:WMG655473 WMG720907:WMG721009 WMG786443:WMG786545 WMG851979:WMG852081 WMG917515:WMG917617 WMG983051:WMG983153 WWD10:WWD63 WWC983051:WWC983153 WWC65547:WWC65649 WWC131083:WWC131185 WWC196619:WWC196721 WWC262155:WWC262257 WWC327691:WWC327793 WWC393227:WWC393329 WWC458763:WWC458865 WWC524299:WWC524401 WWC589835:WWC589937 WWC655371:WWC655473 WWC720907:WWC721009 WWC786443:WWC786545 WWC851979:WWC852081 WWC917515:WWC917617 JR10:JR63 WWD66:WWD114 WMH66:WMH114 WCL66:WCL114 VSP66:VSP114 VIT66:VIT114 UYX66:UYX114 UPB66:UPB114 UFF66:UFF114 TVJ66:TVJ114 TLN66:TLN114 TBR66:TBR114 SRV66:SRV114 SHZ66:SHZ114 RYD66:RYD114 ROH66:ROH114 REL66:REL114 QUP66:QUP114 QKT66:QKT114 QAX66:QAX114 PRB66:PRB114 PHF66:PHF114 OXJ66:OXJ114 ONN66:ONN114 ODR66:ODR114 NTV66:NTV114 NJZ66:NJZ114 NAD66:NAD114 MQH66:MQH114 MGL66:MGL114 LWP66:LWP114 LMT66:LMT114 LCX66:LCX114 KTB66:KTB114 KJF66:KJF114 JZJ66:JZJ114 JPN66:JPN114 JFR66:JFR114 IVV66:IVV114 ILZ66:ILZ114 ICD66:ICD114 HSH66:HSH114 HIL66:HIL114 GYP66:GYP114 GOT66:GOT114 GEX66:GEX114 FVB66:FVB114 FLF66:FLF114 FBJ66:FBJ114 ERN66:ERN114 EHR66:EHR114 DXV66:DXV114 DNZ66:DNZ114 DED66:DED114 CUH66:CUH114 CKL66:CKL114 CAP66:CAP114 BQT66:BQT114 BGX66:BGX114 AXB66:AXB114 ANF66:ANF114 ADJ66:ADJ114 TN66:TN114 JR66:JR114" xr:uid="{5249C3FA-3E6F-487D-8B5D-25EEF4CA8D15}"/>
    <dataValidation allowBlank="1" showInputMessage="1" showErrorMessage="1" prompt="Percentage" sqref="WVZ851978 I65546 I131082 I196618 I262154 I327690 I393226 I458762 I524298 I589834 I655370 I720906 I786442 I851978 I917514 I983050 WVZ917514 O65546 O131082 O196618 O262154 O327690 O393226 O458762 O524298 O589834 O655370 O720906 O786442 O851978 O917514 O983050 WVZ983050 U65546 U131082 U196618 U262154 U327690 U393226 U458762 U524298 U589834 U655370 U720906 U786442 U851978 U917514 U983050 IY9 IX65546 IX131082 IX196618 IX262154 IX327690 IX393226 IX458762 IX524298 IX589834 IX655370 IX720906 IX786442 IX851978 IX917514 IX983050 JL9 JK65546 JK131082 JK196618 JK262154 JK327690 JK393226 JK458762 JK524298 JK589834 JK655370 JK720906 JK786442 JK851978 JK917514 JK983050 JO9 JN65546 JN131082 JN196618 JN262154 JN327690 JN393226 JN458762 JN524298 JN589834 JN655370 JN720906 JN786442 JN851978 JN917514 JN983050 SU9 ST65546 ST131082 ST196618 ST262154 ST327690 ST393226 ST458762 ST524298 ST589834 ST655370 ST720906 ST786442 ST851978 ST917514 ST983050 TH9 TG65546 TG131082 TG196618 TG262154 TG327690 TG393226 TG458762 TG524298 TG589834 TG655370 TG720906 TG786442 TG851978 TG917514 TG983050 TK9 TJ65546 TJ131082 TJ196618 TJ262154 TJ327690 TJ393226 TJ458762 TJ524298 TJ589834 TJ655370 TJ720906 TJ786442 TJ851978 TJ917514 TJ983050 ACQ9 ACP65546 ACP131082 ACP196618 ACP262154 ACP327690 ACP393226 ACP458762 ACP524298 ACP589834 ACP655370 ACP720906 ACP786442 ACP851978 ACP917514 ACP983050 ADD9 ADC65546 ADC131082 ADC196618 ADC262154 ADC327690 ADC393226 ADC458762 ADC524298 ADC589834 ADC655370 ADC720906 ADC786442 ADC851978 ADC917514 ADC983050 ADG9 ADF65546 ADF131082 ADF196618 ADF262154 ADF327690 ADF393226 ADF458762 ADF524298 ADF589834 ADF655370 ADF720906 ADF786442 ADF851978 ADF917514 ADF983050 AMM9 AML65546 AML131082 AML196618 AML262154 AML327690 AML393226 AML458762 AML524298 AML589834 AML655370 AML720906 AML786442 AML851978 AML917514 AML983050 AMZ9 AMY65546 AMY131082 AMY196618 AMY262154 AMY327690 AMY393226 AMY458762 AMY524298 AMY589834 AMY655370 AMY720906 AMY786442 AMY851978 AMY917514 AMY983050 ANC9 ANB65546 ANB131082 ANB196618 ANB262154 ANB327690 ANB393226 ANB458762 ANB524298 ANB589834 ANB655370 ANB720906 ANB786442 ANB851978 ANB917514 ANB983050 AWI9 AWH65546 AWH131082 AWH196618 AWH262154 AWH327690 AWH393226 AWH458762 AWH524298 AWH589834 AWH655370 AWH720906 AWH786442 AWH851978 AWH917514 AWH983050 AWV9 AWU65546 AWU131082 AWU196618 AWU262154 AWU327690 AWU393226 AWU458762 AWU524298 AWU589834 AWU655370 AWU720906 AWU786442 AWU851978 AWU917514 AWU983050 AWY9 AWX65546 AWX131082 AWX196618 AWX262154 AWX327690 AWX393226 AWX458762 AWX524298 AWX589834 AWX655370 AWX720906 AWX786442 AWX851978 AWX917514 AWX983050 BGE9 BGD65546 BGD131082 BGD196618 BGD262154 BGD327690 BGD393226 BGD458762 BGD524298 BGD589834 BGD655370 BGD720906 BGD786442 BGD851978 BGD917514 BGD983050 BGR9 BGQ65546 BGQ131082 BGQ196618 BGQ262154 BGQ327690 BGQ393226 BGQ458762 BGQ524298 BGQ589834 BGQ655370 BGQ720906 BGQ786442 BGQ851978 BGQ917514 BGQ983050 BGU9 BGT65546 BGT131082 BGT196618 BGT262154 BGT327690 BGT393226 BGT458762 BGT524298 BGT589834 BGT655370 BGT720906 BGT786442 BGT851978 BGT917514 BGT983050 BQA9 BPZ65546 BPZ131082 BPZ196618 BPZ262154 BPZ327690 BPZ393226 BPZ458762 BPZ524298 BPZ589834 BPZ655370 BPZ720906 BPZ786442 BPZ851978 BPZ917514 BPZ983050 BQN9 BQM65546 BQM131082 BQM196618 BQM262154 BQM327690 BQM393226 BQM458762 BQM524298 BQM589834 BQM655370 BQM720906 BQM786442 BQM851978 BQM917514 BQM983050 BQQ9 BQP65546 BQP131082 BQP196618 BQP262154 BQP327690 BQP393226 BQP458762 BQP524298 BQP589834 BQP655370 BQP720906 BQP786442 BQP851978 BQP917514 BQP983050 BZW9 BZV65546 BZV131082 BZV196618 BZV262154 BZV327690 BZV393226 BZV458762 BZV524298 BZV589834 BZV655370 BZV720906 BZV786442 BZV851978 BZV917514 BZV983050 CAJ9 CAI65546 CAI131082 CAI196618 CAI262154 CAI327690 CAI393226 CAI458762 CAI524298 CAI589834 CAI655370 CAI720906 CAI786442 CAI851978 CAI917514 CAI983050 CAM9 CAL65546 CAL131082 CAL196618 CAL262154 CAL327690 CAL393226 CAL458762 CAL524298 CAL589834 CAL655370 CAL720906 CAL786442 CAL851978 CAL917514 CAL983050 CJS9 CJR65546 CJR131082 CJR196618 CJR262154 CJR327690 CJR393226 CJR458762 CJR524298 CJR589834 CJR655370 CJR720906 CJR786442 CJR851978 CJR917514 CJR983050 CKF9 CKE65546 CKE131082 CKE196618 CKE262154 CKE327690 CKE393226 CKE458762 CKE524298 CKE589834 CKE655370 CKE720906 CKE786442 CKE851978 CKE917514 CKE983050 CKI9 CKH65546 CKH131082 CKH196618 CKH262154 CKH327690 CKH393226 CKH458762 CKH524298 CKH589834 CKH655370 CKH720906 CKH786442 CKH851978 CKH917514 CKH983050 CTO9 CTN65546 CTN131082 CTN196618 CTN262154 CTN327690 CTN393226 CTN458762 CTN524298 CTN589834 CTN655370 CTN720906 CTN786442 CTN851978 CTN917514 CTN983050 CUB9 CUA65546 CUA131082 CUA196618 CUA262154 CUA327690 CUA393226 CUA458762 CUA524298 CUA589834 CUA655370 CUA720906 CUA786442 CUA851978 CUA917514 CUA983050 CUE9 CUD65546 CUD131082 CUD196618 CUD262154 CUD327690 CUD393226 CUD458762 CUD524298 CUD589834 CUD655370 CUD720906 CUD786442 CUD851978 CUD917514 CUD983050 DDK9 DDJ65546 DDJ131082 DDJ196618 DDJ262154 DDJ327690 DDJ393226 DDJ458762 DDJ524298 DDJ589834 DDJ655370 DDJ720906 DDJ786442 DDJ851978 DDJ917514 DDJ983050 DDX9 DDW65546 DDW131082 DDW196618 DDW262154 DDW327690 DDW393226 DDW458762 DDW524298 DDW589834 DDW655370 DDW720906 DDW786442 DDW851978 DDW917514 DDW983050 DEA9 DDZ65546 DDZ131082 DDZ196618 DDZ262154 DDZ327690 DDZ393226 DDZ458762 DDZ524298 DDZ589834 DDZ655370 DDZ720906 DDZ786442 DDZ851978 DDZ917514 DDZ983050 DNG9 DNF65546 DNF131082 DNF196618 DNF262154 DNF327690 DNF393226 DNF458762 DNF524298 DNF589834 DNF655370 DNF720906 DNF786442 DNF851978 DNF917514 DNF983050 DNT9 DNS65546 DNS131082 DNS196618 DNS262154 DNS327690 DNS393226 DNS458762 DNS524298 DNS589834 DNS655370 DNS720906 DNS786442 DNS851978 DNS917514 DNS983050 DNW9 DNV65546 DNV131082 DNV196618 DNV262154 DNV327690 DNV393226 DNV458762 DNV524298 DNV589834 DNV655370 DNV720906 DNV786442 DNV851978 DNV917514 DNV983050 DXC9 DXB65546 DXB131082 DXB196618 DXB262154 DXB327690 DXB393226 DXB458762 DXB524298 DXB589834 DXB655370 DXB720906 DXB786442 DXB851978 DXB917514 DXB983050 DXP9 DXO65546 DXO131082 DXO196618 DXO262154 DXO327690 DXO393226 DXO458762 DXO524298 DXO589834 DXO655370 DXO720906 DXO786442 DXO851978 DXO917514 DXO983050 DXS9 DXR65546 DXR131082 DXR196618 DXR262154 DXR327690 DXR393226 DXR458762 DXR524298 DXR589834 DXR655370 DXR720906 DXR786442 DXR851978 DXR917514 DXR983050 EGY9 EGX65546 EGX131082 EGX196618 EGX262154 EGX327690 EGX393226 EGX458762 EGX524298 EGX589834 EGX655370 EGX720906 EGX786442 EGX851978 EGX917514 EGX983050 EHL9 EHK65546 EHK131082 EHK196618 EHK262154 EHK327690 EHK393226 EHK458762 EHK524298 EHK589834 EHK655370 EHK720906 EHK786442 EHK851978 EHK917514 EHK983050 EHO9 EHN65546 EHN131082 EHN196618 EHN262154 EHN327690 EHN393226 EHN458762 EHN524298 EHN589834 EHN655370 EHN720906 EHN786442 EHN851978 EHN917514 EHN983050 EQU9 EQT65546 EQT131082 EQT196618 EQT262154 EQT327690 EQT393226 EQT458762 EQT524298 EQT589834 EQT655370 EQT720906 EQT786442 EQT851978 EQT917514 EQT983050 ERH9 ERG65546 ERG131082 ERG196618 ERG262154 ERG327690 ERG393226 ERG458762 ERG524298 ERG589834 ERG655370 ERG720906 ERG786442 ERG851978 ERG917514 ERG983050 ERK9 ERJ65546 ERJ131082 ERJ196618 ERJ262154 ERJ327690 ERJ393226 ERJ458762 ERJ524298 ERJ589834 ERJ655370 ERJ720906 ERJ786442 ERJ851978 ERJ917514 ERJ983050 FAQ9 FAP65546 FAP131082 FAP196618 FAP262154 FAP327690 FAP393226 FAP458762 FAP524298 FAP589834 FAP655370 FAP720906 FAP786442 FAP851978 FAP917514 FAP983050 FBD9 FBC65546 FBC131082 FBC196618 FBC262154 FBC327690 FBC393226 FBC458762 FBC524298 FBC589834 FBC655370 FBC720906 FBC786442 FBC851978 FBC917514 FBC983050 FBG9 FBF65546 FBF131082 FBF196618 FBF262154 FBF327690 FBF393226 FBF458762 FBF524298 FBF589834 FBF655370 FBF720906 FBF786442 FBF851978 FBF917514 FBF983050 FKM9 FKL65546 FKL131082 FKL196618 FKL262154 FKL327690 FKL393226 FKL458762 FKL524298 FKL589834 FKL655370 FKL720906 FKL786442 FKL851978 FKL917514 FKL983050 FKZ9 FKY65546 FKY131082 FKY196618 FKY262154 FKY327690 FKY393226 FKY458762 FKY524298 FKY589834 FKY655370 FKY720906 FKY786442 FKY851978 FKY917514 FKY983050 FLC9 FLB65546 FLB131082 FLB196618 FLB262154 FLB327690 FLB393226 FLB458762 FLB524298 FLB589834 FLB655370 FLB720906 FLB786442 FLB851978 FLB917514 FLB983050 FUI9 FUH65546 FUH131082 FUH196618 FUH262154 FUH327690 FUH393226 FUH458762 FUH524298 FUH589834 FUH655370 FUH720906 FUH786442 FUH851978 FUH917514 FUH983050 FUV9 FUU65546 FUU131082 FUU196618 FUU262154 FUU327690 FUU393226 FUU458762 FUU524298 FUU589834 FUU655370 FUU720906 FUU786442 FUU851978 FUU917514 FUU983050 FUY9 FUX65546 FUX131082 FUX196618 FUX262154 FUX327690 FUX393226 FUX458762 FUX524298 FUX589834 FUX655370 FUX720906 FUX786442 FUX851978 FUX917514 FUX983050 GEE9 GED65546 GED131082 GED196618 GED262154 GED327690 GED393226 GED458762 GED524298 GED589834 GED655370 GED720906 GED786442 GED851978 GED917514 GED983050 GER9 GEQ65546 GEQ131082 GEQ196618 GEQ262154 GEQ327690 GEQ393226 GEQ458762 GEQ524298 GEQ589834 GEQ655370 GEQ720906 GEQ786442 GEQ851978 GEQ917514 GEQ983050 GEU9 GET65546 GET131082 GET196618 GET262154 GET327690 GET393226 GET458762 GET524298 GET589834 GET655370 GET720906 GET786442 GET851978 GET917514 GET983050 GOA9 GNZ65546 GNZ131082 GNZ196618 GNZ262154 GNZ327690 GNZ393226 GNZ458762 GNZ524298 GNZ589834 GNZ655370 GNZ720906 GNZ786442 GNZ851978 GNZ917514 GNZ983050 GON9 GOM65546 GOM131082 GOM196618 GOM262154 GOM327690 GOM393226 GOM458762 GOM524298 GOM589834 GOM655370 GOM720906 GOM786442 GOM851978 GOM917514 GOM983050 GOQ9 GOP65546 GOP131082 GOP196618 GOP262154 GOP327690 GOP393226 GOP458762 GOP524298 GOP589834 GOP655370 GOP720906 GOP786442 GOP851978 GOP917514 GOP983050 GXW9 GXV65546 GXV131082 GXV196618 GXV262154 GXV327690 GXV393226 GXV458762 GXV524298 GXV589834 GXV655370 GXV720906 GXV786442 GXV851978 GXV917514 GXV983050 GYJ9 GYI65546 GYI131082 GYI196618 GYI262154 GYI327690 GYI393226 GYI458762 GYI524298 GYI589834 GYI655370 GYI720906 GYI786442 GYI851978 GYI917514 GYI983050 GYM9 GYL65546 GYL131082 GYL196618 GYL262154 GYL327690 GYL393226 GYL458762 GYL524298 GYL589834 GYL655370 GYL720906 GYL786442 GYL851978 GYL917514 GYL983050 HHS9 HHR65546 HHR131082 HHR196618 HHR262154 HHR327690 HHR393226 HHR458762 HHR524298 HHR589834 HHR655370 HHR720906 HHR786442 HHR851978 HHR917514 HHR983050 HIF9 HIE65546 HIE131082 HIE196618 HIE262154 HIE327690 HIE393226 HIE458762 HIE524298 HIE589834 HIE655370 HIE720906 HIE786442 HIE851978 HIE917514 HIE983050 HII9 HIH65546 HIH131082 HIH196618 HIH262154 HIH327690 HIH393226 HIH458762 HIH524298 HIH589834 HIH655370 HIH720906 HIH786442 HIH851978 HIH917514 HIH983050 HRO9 HRN65546 HRN131082 HRN196618 HRN262154 HRN327690 HRN393226 HRN458762 HRN524298 HRN589834 HRN655370 HRN720906 HRN786442 HRN851978 HRN917514 HRN983050 HSB9 HSA65546 HSA131082 HSA196618 HSA262154 HSA327690 HSA393226 HSA458762 HSA524298 HSA589834 HSA655370 HSA720906 HSA786442 HSA851978 HSA917514 HSA983050 HSE9 HSD65546 HSD131082 HSD196618 HSD262154 HSD327690 HSD393226 HSD458762 HSD524298 HSD589834 HSD655370 HSD720906 HSD786442 HSD851978 HSD917514 HSD983050 IBK9 IBJ65546 IBJ131082 IBJ196618 IBJ262154 IBJ327690 IBJ393226 IBJ458762 IBJ524298 IBJ589834 IBJ655370 IBJ720906 IBJ786442 IBJ851978 IBJ917514 IBJ983050 IBX9 IBW65546 IBW131082 IBW196618 IBW262154 IBW327690 IBW393226 IBW458762 IBW524298 IBW589834 IBW655370 IBW720906 IBW786442 IBW851978 IBW917514 IBW983050 ICA9 IBZ65546 IBZ131082 IBZ196618 IBZ262154 IBZ327690 IBZ393226 IBZ458762 IBZ524298 IBZ589834 IBZ655370 IBZ720906 IBZ786442 IBZ851978 IBZ917514 IBZ983050 ILG9 ILF65546 ILF131082 ILF196618 ILF262154 ILF327690 ILF393226 ILF458762 ILF524298 ILF589834 ILF655370 ILF720906 ILF786442 ILF851978 ILF917514 ILF983050 ILT9 ILS65546 ILS131082 ILS196618 ILS262154 ILS327690 ILS393226 ILS458762 ILS524298 ILS589834 ILS655370 ILS720906 ILS786442 ILS851978 ILS917514 ILS983050 ILW9 ILV65546 ILV131082 ILV196618 ILV262154 ILV327690 ILV393226 ILV458762 ILV524298 ILV589834 ILV655370 ILV720906 ILV786442 ILV851978 ILV917514 ILV983050 IVC9 IVB65546 IVB131082 IVB196618 IVB262154 IVB327690 IVB393226 IVB458762 IVB524298 IVB589834 IVB655370 IVB720906 IVB786442 IVB851978 IVB917514 IVB983050 IVP9 IVO65546 IVO131082 IVO196618 IVO262154 IVO327690 IVO393226 IVO458762 IVO524298 IVO589834 IVO655370 IVO720906 IVO786442 IVO851978 IVO917514 IVO983050 IVS9 IVR65546 IVR131082 IVR196618 IVR262154 IVR327690 IVR393226 IVR458762 IVR524298 IVR589834 IVR655370 IVR720906 IVR786442 IVR851978 IVR917514 IVR983050 JEY9 JEX65546 JEX131082 JEX196618 JEX262154 JEX327690 JEX393226 JEX458762 JEX524298 JEX589834 JEX655370 JEX720906 JEX786442 JEX851978 JEX917514 JEX983050 JFL9 JFK65546 JFK131082 JFK196618 JFK262154 JFK327690 JFK393226 JFK458762 JFK524298 JFK589834 JFK655370 JFK720906 JFK786442 JFK851978 JFK917514 JFK983050 JFO9 JFN65546 JFN131082 JFN196618 JFN262154 JFN327690 JFN393226 JFN458762 JFN524298 JFN589834 JFN655370 JFN720906 JFN786442 JFN851978 JFN917514 JFN983050 JOU9 JOT65546 JOT131082 JOT196618 JOT262154 JOT327690 JOT393226 JOT458762 JOT524298 JOT589834 JOT655370 JOT720906 JOT786442 JOT851978 JOT917514 JOT983050 JPH9 JPG65546 JPG131082 JPG196618 JPG262154 JPG327690 JPG393226 JPG458762 JPG524298 JPG589834 JPG655370 JPG720906 JPG786442 JPG851978 JPG917514 JPG983050 JPK9 JPJ65546 JPJ131082 JPJ196618 JPJ262154 JPJ327690 JPJ393226 JPJ458762 JPJ524298 JPJ589834 JPJ655370 JPJ720906 JPJ786442 JPJ851978 JPJ917514 JPJ983050 JYQ9 JYP65546 JYP131082 JYP196618 JYP262154 JYP327690 JYP393226 JYP458762 JYP524298 JYP589834 JYP655370 JYP720906 JYP786442 JYP851978 JYP917514 JYP983050 JZD9 JZC65546 JZC131082 JZC196618 JZC262154 JZC327690 JZC393226 JZC458762 JZC524298 JZC589834 JZC655370 JZC720906 JZC786442 JZC851978 JZC917514 JZC983050 JZG9 JZF65546 JZF131082 JZF196618 JZF262154 JZF327690 JZF393226 JZF458762 JZF524298 JZF589834 JZF655370 JZF720906 JZF786442 JZF851978 JZF917514 JZF983050 KIM9 KIL65546 KIL131082 KIL196618 KIL262154 KIL327690 KIL393226 KIL458762 KIL524298 KIL589834 KIL655370 KIL720906 KIL786442 KIL851978 KIL917514 KIL983050 KIZ9 KIY65546 KIY131082 KIY196618 KIY262154 KIY327690 KIY393226 KIY458762 KIY524298 KIY589834 KIY655370 KIY720906 KIY786442 KIY851978 KIY917514 KIY983050 KJC9 KJB65546 KJB131082 KJB196618 KJB262154 KJB327690 KJB393226 KJB458762 KJB524298 KJB589834 KJB655370 KJB720906 KJB786442 KJB851978 KJB917514 KJB983050 KSI9 KSH65546 KSH131082 KSH196618 KSH262154 KSH327690 KSH393226 KSH458762 KSH524298 KSH589834 KSH655370 KSH720906 KSH786442 KSH851978 KSH917514 KSH983050 KSV9 KSU65546 KSU131082 KSU196618 KSU262154 KSU327690 KSU393226 KSU458762 KSU524298 KSU589834 KSU655370 KSU720906 KSU786442 KSU851978 KSU917514 KSU983050 KSY9 KSX65546 KSX131082 KSX196618 KSX262154 KSX327690 KSX393226 KSX458762 KSX524298 KSX589834 KSX655370 KSX720906 KSX786442 KSX851978 KSX917514 KSX983050 LCE9 LCD65546 LCD131082 LCD196618 LCD262154 LCD327690 LCD393226 LCD458762 LCD524298 LCD589834 LCD655370 LCD720906 LCD786442 LCD851978 LCD917514 LCD983050 LCR9 LCQ65546 LCQ131082 LCQ196618 LCQ262154 LCQ327690 LCQ393226 LCQ458762 LCQ524298 LCQ589834 LCQ655370 LCQ720906 LCQ786442 LCQ851978 LCQ917514 LCQ983050 LCU9 LCT65546 LCT131082 LCT196618 LCT262154 LCT327690 LCT393226 LCT458762 LCT524298 LCT589834 LCT655370 LCT720906 LCT786442 LCT851978 LCT917514 LCT983050 LMA9 LLZ65546 LLZ131082 LLZ196618 LLZ262154 LLZ327690 LLZ393226 LLZ458762 LLZ524298 LLZ589834 LLZ655370 LLZ720906 LLZ786442 LLZ851978 LLZ917514 LLZ983050 LMN9 LMM65546 LMM131082 LMM196618 LMM262154 LMM327690 LMM393226 LMM458762 LMM524298 LMM589834 LMM655370 LMM720906 LMM786442 LMM851978 LMM917514 LMM983050 LMQ9 LMP65546 LMP131082 LMP196618 LMP262154 LMP327690 LMP393226 LMP458762 LMP524298 LMP589834 LMP655370 LMP720906 LMP786442 LMP851978 LMP917514 LMP983050 LVW9 LVV65546 LVV131082 LVV196618 LVV262154 LVV327690 LVV393226 LVV458762 LVV524298 LVV589834 LVV655370 LVV720906 LVV786442 LVV851978 LVV917514 LVV983050 LWJ9 LWI65546 LWI131082 LWI196618 LWI262154 LWI327690 LWI393226 LWI458762 LWI524298 LWI589834 LWI655370 LWI720906 LWI786442 LWI851978 LWI917514 LWI983050 LWM9 LWL65546 LWL131082 LWL196618 LWL262154 LWL327690 LWL393226 LWL458762 LWL524298 LWL589834 LWL655370 LWL720906 LWL786442 LWL851978 LWL917514 LWL983050 MFS9 MFR65546 MFR131082 MFR196618 MFR262154 MFR327690 MFR393226 MFR458762 MFR524298 MFR589834 MFR655370 MFR720906 MFR786442 MFR851978 MFR917514 MFR983050 MGF9 MGE65546 MGE131082 MGE196618 MGE262154 MGE327690 MGE393226 MGE458762 MGE524298 MGE589834 MGE655370 MGE720906 MGE786442 MGE851978 MGE917514 MGE983050 MGI9 MGH65546 MGH131082 MGH196618 MGH262154 MGH327690 MGH393226 MGH458762 MGH524298 MGH589834 MGH655370 MGH720906 MGH786442 MGH851978 MGH917514 MGH983050 MPO9 MPN65546 MPN131082 MPN196618 MPN262154 MPN327690 MPN393226 MPN458762 MPN524298 MPN589834 MPN655370 MPN720906 MPN786442 MPN851978 MPN917514 MPN983050 MQB9 MQA65546 MQA131082 MQA196618 MQA262154 MQA327690 MQA393226 MQA458762 MQA524298 MQA589834 MQA655370 MQA720906 MQA786442 MQA851978 MQA917514 MQA983050 MQE9 MQD65546 MQD131082 MQD196618 MQD262154 MQD327690 MQD393226 MQD458762 MQD524298 MQD589834 MQD655370 MQD720906 MQD786442 MQD851978 MQD917514 MQD983050 MZK9 MZJ65546 MZJ131082 MZJ196618 MZJ262154 MZJ327690 MZJ393226 MZJ458762 MZJ524298 MZJ589834 MZJ655370 MZJ720906 MZJ786442 MZJ851978 MZJ917514 MZJ983050 MZX9 MZW65546 MZW131082 MZW196618 MZW262154 MZW327690 MZW393226 MZW458762 MZW524298 MZW589834 MZW655370 MZW720906 MZW786442 MZW851978 MZW917514 MZW983050 NAA9 MZZ65546 MZZ131082 MZZ196618 MZZ262154 MZZ327690 MZZ393226 MZZ458762 MZZ524298 MZZ589834 MZZ655370 MZZ720906 MZZ786442 MZZ851978 MZZ917514 MZZ983050 NJG9 NJF65546 NJF131082 NJF196618 NJF262154 NJF327690 NJF393226 NJF458762 NJF524298 NJF589834 NJF655370 NJF720906 NJF786442 NJF851978 NJF917514 NJF983050 NJT9 NJS65546 NJS131082 NJS196618 NJS262154 NJS327690 NJS393226 NJS458762 NJS524298 NJS589834 NJS655370 NJS720906 NJS786442 NJS851978 NJS917514 NJS983050 NJW9 NJV65546 NJV131082 NJV196618 NJV262154 NJV327690 NJV393226 NJV458762 NJV524298 NJV589834 NJV655370 NJV720906 NJV786442 NJV851978 NJV917514 NJV983050 NTC9 NTB65546 NTB131082 NTB196618 NTB262154 NTB327690 NTB393226 NTB458762 NTB524298 NTB589834 NTB655370 NTB720906 NTB786442 NTB851978 NTB917514 NTB983050 NTP9 NTO65546 NTO131082 NTO196618 NTO262154 NTO327690 NTO393226 NTO458762 NTO524298 NTO589834 NTO655370 NTO720906 NTO786442 NTO851978 NTO917514 NTO983050 NTS9 NTR65546 NTR131082 NTR196618 NTR262154 NTR327690 NTR393226 NTR458762 NTR524298 NTR589834 NTR655370 NTR720906 NTR786442 NTR851978 NTR917514 NTR983050 OCY9 OCX65546 OCX131082 OCX196618 OCX262154 OCX327690 OCX393226 OCX458762 OCX524298 OCX589834 OCX655370 OCX720906 OCX786442 OCX851978 OCX917514 OCX983050 ODL9 ODK65546 ODK131082 ODK196618 ODK262154 ODK327690 ODK393226 ODK458762 ODK524298 ODK589834 ODK655370 ODK720906 ODK786442 ODK851978 ODK917514 ODK983050 ODO9 ODN65546 ODN131082 ODN196618 ODN262154 ODN327690 ODN393226 ODN458762 ODN524298 ODN589834 ODN655370 ODN720906 ODN786442 ODN851978 ODN917514 ODN983050 OMU9 OMT65546 OMT131082 OMT196618 OMT262154 OMT327690 OMT393226 OMT458762 OMT524298 OMT589834 OMT655370 OMT720906 OMT786442 OMT851978 OMT917514 OMT983050 ONH9 ONG65546 ONG131082 ONG196618 ONG262154 ONG327690 ONG393226 ONG458762 ONG524298 ONG589834 ONG655370 ONG720906 ONG786442 ONG851978 ONG917514 ONG983050 ONK9 ONJ65546 ONJ131082 ONJ196618 ONJ262154 ONJ327690 ONJ393226 ONJ458762 ONJ524298 ONJ589834 ONJ655370 ONJ720906 ONJ786442 ONJ851978 ONJ917514 ONJ983050 OWQ9 OWP65546 OWP131082 OWP196618 OWP262154 OWP327690 OWP393226 OWP458762 OWP524298 OWP589834 OWP655370 OWP720906 OWP786442 OWP851978 OWP917514 OWP983050 OXD9 OXC65546 OXC131082 OXC196618 OXC262154 OXC327690 OXC393226 OXC458762 OXC524298 OXC589834 OXC655370 OXC720906 OXC786442 OXC851978 OXC917514 OXC983050 OXG9 OXF65546 OXF131082 OXF196618 OXF262154 OXF327690 OXF393226 OXF458762 OXF524298 OXF589834 OXF655370 OXF720906 OXF786442 OXF851978 OXF917514 OXF983050 PGM9 PGL65546 PGL131082 PGL196618 PGL262154 PGL327690 PGL393226 PGL458762 PGL524298 PGL589834 PGL655370 PGL720906 PGL786442 PGL851978 PGL917514 PGL983050 PGZ9 PGY65546 PGY131082 PGY196618 PGY262154 PGY327690 PGY393226 PGY458762 PGY524298 PGY589834 PGY655370 PGY720906 PGY786442 PGY851978 PGY917514 PGY983050 PHC9 PHB65546 PHB131082 PHB196618 PHB262154 PHB327690 PHB393226 PHB458762 PHB524298 PHB589834 PHB655370 PHB720906 PHB786442 PHB851978 PHB917514 PHB983050 PQI9 PQH65546 PQH131082 PQH196618 PQH262154 PQH327690 PQH393226 PQH458762 PQH524298 PQH589834 PQH655370 PQH720906 PQH786442 PQH851978 PQH917514 PQH983050 PQV9 PQU65546 PQU131082 PQU196618 PQU262154 PQU327690 PQU393226 PQU458762 PQU524298 PQU589834 PQU655370 PQU720906 PQU786442 PQU851978 PQU917514 PQU983050 PQY9 PQX65546 PQX131082 PQX196618 PQX262154 PQX327690 PQX393226 PQX458762 PQX524298 PQX589834 PQX655370 PQX720906 PQX786442 PQX851978 PQX917514 PQX983050 QAE9 QAD65546 QAD131082 QAD196618 QAD262154 QAD327690 QAD393226 QAD458762 QAD524298 QAD589834 QAD655370 QAD720906 QAD786442 QAD851978 QAD917514 QAD983050 QAR9 QAQ65546 QAQ131082 QAQ196618 QAQ262154 QAQ327690 QAQ393226 QAQ458762 QAQ524298 QAQ589834 QAQ655370 QAQ720906 QAQ786442 QAQ851978 QAQ917514 QAQ983050 QAU9 QAT65546 QAT131082 QAT196618 QAT262154 QAT327690 QAT393226 QAT458762 QAT524298 QAT589834 QAT655370 QAT720906 QAT786442 QAT851978 QAT917514 QAT983050 QKA9 QJZ65546 QJZ131082 QJZ196618 QJZ262154 QJZ327690 QJZ393226 QJZ458762 QJZ524298 QJZ589834 QJZ655370 QJZ720906 QJZ786442 QJZ851978 QJZ917514 QJZ983050 QKN9 QKM65546 QKM131082 QKM196618 QKM262154 QKM327690 QKM393226 QKM458762 QKM524298 QKM589834 QKM655370 QKM720906 QKM786442 QKM851978 QKM917514 QKM983050 QKQ9 QKP65546 QKP131082 QKP196618 QKP262154 QKP327690 QKP393226 QKP458762 QKP524298 QKP589834 QKP655370 QKP720906 QKP786442 QKP851978 QKP917514 QKP983050 QTW9 QTV65546 QTV131082 QTV196618 QTV262154 QTV327690 QTV393226 QTV458762 QTV524298 QTV589834 QTV655370 QTV720906 QTV786442 QTV851978 QTV917514 QTV983050 QUJ9 QUI65546 QUI131082 QUI196618 QUI262154 QUI327690 QUI393226 QUI458762 QUI524298 QUI589834 QUI655370 QUI720906 QUI786442 QUI851978 QUI917514 QUI983050 QUM9 QUL65546 QUL131082 QUL196618 QUL262154 QUL327690 QUL393226 QUL458762 QUL524298 QUL589834 QUL655370 QUL720906 QUL786442 QUL851978 QUL917514 QUL983050 RDS9 RDR65546 RDR131082 RDR196618 RDR262154 RDR327690 RDR393226 RDR458762 RDR524298 RDR589834 RDR655370 RDR720906 RDR786442 RDR851978 RDR917514 RDR983050 REF9 REE65546 REE131082 REE196618 REE262154 REE327690 REE393226 REE458762 REE524298 REE589834 REE655370 REE720906 REE786442 REE851978 REE917514 REE983050 REI9 REH65546 REH131082 REH196618 REH262154 REH327690 REH393226 REH458762 REH524298 REH589834 REH655370 REH720906 REH786442 REH851978 REH917514 REH983050 RNO9 RNN65546 RNN131082 RNN196618 RNN262154 RNN327690 RNN393226 RNN458762 RNN524298 RNN589834 RNN655370 RNN720906 RNN786442 RNN851978 RNN917514 RNN983050 ROB9 ROA65546 ROA131082 ROA196618 ROA262154 ROA327690 ROA393226 ROA458762 ROA524298 ROA589834 ROA655370 ROA720906 ROA786442 ROA851978 ROA917514 ROA983050 ROE9 ROD65546 ROD131082 ROD196618 ROD262154 ROD327690 ROD393226 ROD458762 ROD524298 ROD589834 ROD655370 ROD720906 ROD786442 ROD851978 ROD917514 ROD983050 RXK9 RXJ65546 RXJ131082 RXJ196618 RXJ262154 RXJ327690 RXJ393226 RXJ458762 RXJ524298 RXJ589834 RXJ655370 RXJ720906 RXJ786442 RXJ851978 RXJ917514 RXJ983050 RXX9 RXW65546 RXW131082 RXW196618 RXW262154 RXW327690 RXW393226 RXW458762 RXW524298 RXW589834 RXW655370 RXW720906 RXW786442 RXW851978 RXW917514 RXW983050 RYA9 RXZ65546 RXZ131082 RXZ196618 RXZ262154 RXZ327690 RXZ393226 RXZ458762 RXZ524298 RXZ589834 RXZ655370 RXZ720906 RXZ786442 RXZ851978 RXZ917514 RXZ983050 SHG9 SHF65546 SHF131082 SHF196618 SHF262154 SHF327690 SHF393226 SHF458762 SHF524298 SHF589834 SHF655370 SHF720906 SHF786442 SHF851978 SHF917514 SHF983050 SHT9 SHS65546 SHS131082 SHS196618 SHS262154 SHS327690 SHS393226 SHS458762 SHS524298 SHS589834 SHS655370 SHS720906 SHS786442 SHS851978 SHS917514 SHS983050 SHW9 SHV65546 SHV131082 SHV196618 SHV262154 SHV327690 SHV393226 SHV458762 SHV524298 SHV589834 SHV655370 SHV720906 SHV786442 SHV851978 SHV917514 SHV983050 SRC9 SRB65546 SRB131082 SRB196618 SRB262154 SRB327690 SRB393226 SRB458762 SRB524298 SRB589834 SRB655370 SRB720906 SRB786442 SRB851978 SRB917514 SRB983050 SRP9 SRO65546 SRO131082 SRO196618 SRO262154 SRO327690 SRO393226 SRO458762 SRO524298 SRO589834 SRO655370 SRO720906 SRO786442 SRO851978 SRO917514 SRO983050 SRS9 SRR65546 SRR131082 SRR196618 SRR262154 SRR327690 SRR393226 SRR458762 SRR524298 SRR589834 SRR655370 SRR720906 SRR786442 SRR851978 SRR917514 SRR983050 TAY9 TAX65546 TAX131082 TAX196618 TAX262154 TAX327690 TAX393226 TAX458762 TAX524298 TAX589834 TAX655370 TAX720906 TAX786442 TAX851978 TAX917514 TAX983050 TBL9 TBK65546 TBK131082 TBK196618 TBK262154 TBK327690 TBK393226 TBK458762 TBK524298 TBK589834 TBK655370 TBK720906 TBK786442 TBK851978 TBK917514 TBK983050 TBO9 TBN65546 TBN131082 TBN196618 TBN262154 TBN327690 TBN393226 TBN458762 TBN524298 TBN589834 TBN655370 TBN720906 TBN786442 TBN851978 TBN917514 TBN983050 TKU9 TKT65546 TKT131082 TKT196618 TKT262154 TKT327690 TKT393226 TKT458762 TKT524298 TKT589834 TKT655370 TKT720906 TKT786442 TKT851978 TKT917514 TKT983050 TLH9 TLG65546 TLG131082 TLG196618 TLG262154 TLG327690 TLG393226 TLG458762 TLG524298 TLG589834 TLG655370 TLG720906 TLG786442 TLG851978 TLG917514 TLG983050 TLK9 TLJ65546 TLJ131082 TLJ196618 TLJ262154 TLJ327690 TLJ393226 TLJ458762 TLJ524298 TLJ589834 TLJ655370 TLJ720906 TLJ786442 TLJ851978 TLJ917514 TLJ983050 TUQ9 TUP65546 TUP131082 TUP196618 TUP262154 TUP327690 TUP393226 TUP458762 TUP524298 TUP589834 TUP655370 TUP720906 TUP786442 TUP851978 TUP917514 TUP983050 TVD9 TVC65546 TVC131082 TVC196618 TVC262154 TVC327690 TVC393226 TVC458762 TVC524298 TVC589834 TVC655370 TVC720906 TVC786442 TVC851978 TVC917514 TVC983050 TVG9 TVF65546 TVF131082 TVF196618 TVF262154 TVF327690 TVF393226 TVF458762 TVF524298 TVF589834 TVF655370 TVF720906 TVF786442 TVF851978 TVF917514 TVF983050 UEM9 UEL65546 UEL131082 UEL196618 UEL262154 UEL327690 UEL393226 UEL458762 UEL524298 UEL589834 UEL655370 UEL720906 UEL786442 UEL851978 UEL917514 UEL983050 UEZ9 UEY65546 UEY131082 UEY196618 UEY262154 UEY327690 UEY393226 UEY458762 UEY524298 UEY589834 UEY655370 UEY720906 UEY786442 UEY851978 UEY917514 UEY983050 UFC9 UFB65546 UFB131082 UFB196618 UFB262154 UFB327690 UFB393226 UFB458762 UFB524298 UFB589834 UFB655370 UFB720906 UFB786442 UFB851978 UFB917514 UFB983050 UOI9 UOH65546 UOH131082 UOH196618 UOH262154 UOH327690 UOH393226 UOH458762 UOH524298 UOH589834 UOH655370 UOH720906 UOH786442 UOH851978 UOH917514 UOH983050 UOV9 UOU65546 UOU131082 UOU196618 UOU262154 UOU327690 UOU393226 UOU458762 UOU524298 UOU589834 UOU655370 UOU720906 UOU786442 UOU851978 UOU917514 UOU983050 UOY9 UOX65546 UOX131082 UOX196618 UOX262154 UOX327690 UOX393226 UOX458762 UOX524298 UOX589834 UOX655370 UOX720906 UOX786442 UOX851978 UOX917514 UOX983050 UYE9 UYD65546 UYD131082 UYD196618 UYD262154 UYD327690 UYD393226 UYD458762 UYD524298 UYD589834 UYD655370 UYD720906 UYD786442 UYD851978 UYD917514 UYD983050 UYR9 UYQ65546 UYQ131082 UYQ196618 UYQ262154 UYQ327690 UYQ393226 UYQ458762 UYQ524298 UYQ589834 UYQ655370 UYQ720906 UYQ786442 UYQ851978 UYQ917514 UYQ983050 UYU9 UYT65546 UYT131082 UYT196618 UYT262154 UYT327690 UYT393226 UYT458762 UYT524298 UYT589834 UYT655370 UYT720906 UYT786442 UYT851978 UYT917514 UYT983050 VIA9 VHZ65546 VHZ131082 VHZ196618 VHZ262154 VHZ327690 VHZ393226 VHZ458762 VHZ524298 VHZ589834 VHZ655370 VHZ720906 VHZ786442 VHZ851978 VHZ917514 VHZ983050 VIN9 VIM65546 VIM131082 VIM196618 VIM262154 VIM327690 VIM393226 VIM458762 VIM524298 VIM589834 VIM655370 VIM720906 VIM786442 VIM851978 VIM917514 VIM983050 VIQ9 VIP65546 VIP131082 VIP196618 VIP262154 VIP327690 VIP393226 VIP458762 VIP524298 VIP589834 VIP655370 VIP720906 VIP786442 VIP851978 VIP917514 VIP983050 VRW9 VRV65546 VRV131082 VRV196618 VRV262154 VRV327690 VRV393226 VRV458762 VRV524298 VRV589834 VRV655370 VRV720906 VRV786442 VRV851978 VRV917514 VRV983050 VSJ9 VSI65546 VSI131082 VSI196618 VSI262154 VSI327690 VSI393226 VSI458762 VSI524298 VSI589834 VSI655370 VSI720906 VSI786442 VSI851978 VSI917514 VSI983050 VSM9 VSL65546 VSL131082 VSL196618 VSL262154 VSL327690 VSL393226 VSL458762 VSL524298 VSL589834 VSL655370 VSL720906 VSL786442 VSL851978 VSL917514 VSL983050 WBS9 WBR65546 WBR131082 WBR196618 WBR262154 WBR327690 WBR393226 WBR458762 WBR524298 WBR589834 WBR655370 WBR720906 WBR786442 WBR851978 WBR917514 WBR983050 WCF9 WCE65546 WCE131082 WCE196618 WCE262154 WCE327690 WCE393226 WCE458762 WCE524298 WCE589834 WCE655370 WCE720906 WCE786442 WCE851978 WCE917514 WCE983050 WCI9 WCH65546 WCH131082 WCH196618 WCH262154 WCH327690 WCH393226 WCH458762 WCH524298 WCH589834 WCH655370 WCH720906 WCH786442 WCH851978 WCH917514 WCH983050 WLO9 WLN65546 WLN131082 WLN196618 WLN262154 WLN327690 WLN393226 WLN458762 WLN524298 WLN589834 WLN655370 WLN720906 WLN786442 WLN851978 WLN917514 WLN983050 WMB9 WMA65546 WMA131082 WMA196618 WMA262154 WMA327690 WMA393226 WMA458762 WMA524298 WMA589834 WMA655370 WMA720906 WMA786442 WMA851978 WMA917514 WMA983050 WME9 WMD65546 WMD131082 WMD196618 WMD262154 WMD327690 WMD393226 WMD458762 WMD524298 WMD589834 WMD655370 WMD720906 WMD786442 WMD851978 WMD917514 WMD983050 WVK9 WVJ65546 WVJ131082 WVJ196618 WVJ262154 WVJ327690 WVJ393226 WVJ458762 WVJ524298 WVJ589834 WVJ655370 WVJ720906 WVJ786442 WVJ851978 WVJ917514 WVJ983050 WVX9 WVW65546 WVW131082 WVW196618 WVW262154 WVW327690 WVW393226 WVW458762 WVW524298 WVW589834 WVW655370 WVW720906 WVW786442 WVW851978 WVW917514 WVW983050 WWA9 WVZ65546 WVZ131082 WVZ196618 WVZ262154 WVZ327690 WVZ393226 WVZ458762 WVZ524298 WVZ589834 WVZ655370 WVZ720906 WVZ786442 J9 P9 V9" xr:uid="{AD2D70C4-F04F-4248-9FA6-245E6A28AC62}"/>
    <dataValidation allowBlank="1" showInputMessage="1" showErrorMessage="1" prompt="TYPE IN INPUT INFOS" sqref="B65549:C65598 B65600:C65649 B131085:C131134 B131136:C131185 B196621:C196670 B196672:C196721 B262157:C262206 B262208:C262257 B327693:C327742 B327744:C327793 B393229:C393278 B393280:C393329 B458765:C458814 B458816:C458865 B524301:C524350 B524352:C524401 B589837:C589886 B589888:C589937 B655373:C655422 B655424:C655473 B720909:C720958 B720960:C721009 B786445:C786494 B786496:C786545 B851981:C852030 B852032:C852081 B917517:C917566 B917568:C917617 B983053:C983102 B983104:C983153 SF13:SF63 II65549:II65598 II65600:II65649 II131085:II131134 II131136:II131185 II196621:II196670 II196672:II196721 II262157:II262206 II262208:II262257 II327693:II327742 II327744:II327793 II393229:II393278 II393280:II393329 II458765:II458814 II458816:II458865 II524301:II524350 II524352:II524401 II589837:II589886 II589888:II589937 II655373:II655422 II655424:II655473 II720909:II720958 II720960:II721009 II786445:II786494 II786496:II786545 II851981:II852030 II852032:II852081 II917517:II917566 II917568:II917617 II983053:II983102 II983104:II983153 ACB13:ACB63 SE65549:SE65598 SE65600:SE65649 SE131085:SE131134 SE131136:SE131185 SE196621:SE196670 SE196672:SE196721 SE262157:SE262206 SE262208:SE262257 SE327693:SE327742 SE327744:SE327793 SE393229:SE393278 SE393280:SE393329 SE458765:SE458814 SE458816:SE458865 SE524301:SE524350 SE524352:SE524401 SE589837:SE589886 SE589888:SE589937 SE655373:SE655422 SE655424:SE655473 SE720909:SE720958 SE720960:SE721009 SE786445:SE786494 SE786496:SE786545 SE851981:SE852030 SE852032:SE852081 SE917517:SE917566 SE917568:SE917617 SE983053:SE983102 SE983104:SE983153 ALX13:ALX63 ACA65549:ACA65598 ACA65600:ACA65649 ACA131085:ACA131134 ACA131136:ACA131185 ACA196621:ACA196670 ACA196672:ACA196721 ACA262157:ACA262206 ACA262208:ACA262257 ACA327693:ACA327742 ACA327744:ACA327793 ACA393229:ACA393278 ACA393280:ACA393329 ACA458765:ACA458814 ACA458816:ACA458865 ACA524301:ACA524350 ACA524352:ACA524401 ACA589837:ACA589886 ACA589888:ACA589937 ACA655373:ACA655422 ACA655424:ACA655473 ACA720909:ACA720958 ACA720960:ACA721009 ACA786445:ACA786494 ACA786496:ACA786545 ACA851981:ACA852030 ACA852032:ACA852081 ACA917517:ACA917566 ACA917568:ACA917617 ACA983053:ACA983102 ACA983104:ACA983153 AVT13:AVT63 ALW65549:ALW65598 ALW65600:ALW65649 ALW131085:ALW131134 ALW131136:ALW131185 ALW196621:ALW196670 ALW196672:ALW196721 ALW262157:ALW262206 ALW262208:ALW262257 ALW327693:ALW327742 ALW327744:ALW327793 ALW393229:ALW393278 ALW393280:ALW393329 ALW458765:ALW458814 ALW458816:ALW458865 ALW524301:ALW524350 ALW524352:ALW524401 ALW589837:ALW589886 ALW589888:ALW589937 ALW655373:ALW655422 ALW655424:ALW655473 ALW720909:ALW720958 ALW720960:ALW721009 ALW786445:ALW786494 ALW786496:ALW786545 ALW851981:ALW852030 ALW852032:ALW852081 ALW917517:ALW917566 ALW917568:ALW917617 ALW983053:ALW983102 ALW983104:ALW983153 BFP13:BFP63 AVS65549:AVS65598 AVS65600:AVS65649 AVS131085:AVS131134 AVS131136:AVS131185 AVS196621:AVS196670 AVS196672:AVS196721 AVS262157:AVS262206 AVS262208:AVS262257 AVS327693:AVS327742 AVS327744:AVS327793 AVS393229:AVS393278 AVS393280:AVS393329 AVS458765:AVS458814 AVS458816:AVS458865 AVS524301:AVS524350 AVS524352:AVS524401 AVS589837:AVS589886 AVS589888:AVS589937 AVS655373:AVS655422 AVS655424:AVS655473 AVS720909:AVS720958 AVS720960:AVS721009 AVS786445:AVS786494 AVS786496:AVS786545 AVS851981:AVS852030 AVS852032:AVS852081 AVS917517:AVS917566 AVS917568:AVS917617 AVS983053:AVS983102 AVS983104:AVS983153 BPL13:BPL63 BFO65549:BFO65598 BFO65600:BFO65649 BFO131085:BFO131134 BFO131136:BFO131185 BFO196621:BFO196670 BFO196672:BFO196721 BFO262157:BFO262206 BFO262208:BFO262257 BFO327693:BFO327742 BFO327744:BFO327793 BFO393229:BFO393278 BFO393280:BFO393329 BFO458765:BFO458814 BFO458816:BFO458865 BFO524301:BFO524350 BFO524352:BFO524401 BFO589837:BFO589886 BFO589888:BFO589937 BFO655373:BFO655422 BFO655424:BFO655473 BFO720909:BFO720958 BFO720960:BFO721009 BFO786445:BFO786494 BFO786496:BFO786545 BFO851981:BFO852030 BFO852032:BFO852081 BFO917517:BFO917566 BFO917568:BFO917617 BFO983053:BFO983102 BFO983104:BFO983153 BZH13:BZH63 BPK65549:BPK65598 BPK65600:BPK65649 BPK131085:BPK131134 BPK131136:BPK131185 BPK196621:BPK196670 BPK196672:BPK196721 BPK262157:BPK262206 BPK262208:BPK262257 BPK327693:BPK327742 BPK327744:BPK327793 BPK393229:BPK393278 BPK393280:BPK393329 BPK458765:BPK458814 BPK458816:BPK458865 BPK524301:BPK524350 BPK524352:BPK524401 BPK589837:BPK589886 BPK589888:BPK589937 BPK655373:BPK655422 BPK655424:BPK655473 BPK720909:BPK720958 BPK720960:BPK721009 BPK786445:BPK786494 BPK786496:BPK786545 BPK851981:BPK852030 BPK852032:BPK852081 BPK917517:BPK917566 BPK917568:BPK917617 BPK983053:BPK983102 BPK983104:BPK983153 CJD13:CJD63 BZG65549:BZG65598 BZG65600:BZG65649 BZG131085:BZG131134 BZG131136:BZG131185 BZG196621:BZG196670 BZG196672:BZG196721 BZG262157:BZG262206 BZG262208:BZG262257 BZG327693:BZG327742 BZG327744:BZG327793 BZG393229:BZG393278 BZG393280:BZG393329 BZG458765:BZG458814 BZG458816:BZG458865 BZG524301:BZG524350 BZG524352:BZG524401 BZG589837:BZG589886 BZG589888:BZG589937 BZG655373:BZG655422 BZG655424:BZG655473 BZG720909:BZG720958 BZG720960:BZG721009 BZG786445:BZG786494 BZG786496:BZG786545 BZG851981:BZG852030 BZG852032:BZG852081 BZG917517:BZG917566 BZG917568:BZG917617 BZG983053:BZG983102 BZG983104:BZG983153 CSZ13:CSZ63 CJC65549:CJC65598 CJC65600:CJC65649 CJC131085:CJC131134 CJC131136:CJC131185 CJC196621:CJC196670 CJC196672:CJC196721 CJC262157:CJC262206 CJC262208:CJC262257 CJC327693:CJC327742 CJC327744:CJC327793 CJC393229:CJC393278 CJC393280:CJC393329 CJC458765:CJC458814 CJC458816:CJC458865 CJC524301:CJC524350 CJC524352:CJC524401 CJC589837:CJC589886 CJC589888:CJC589937 CJC655373:CJC655422 CJC655424:CJC655473 CJC720909:CJC720958 CJC720960:CJC721009 CJC786445:CJC786494 CJC786496:CJC786545 CJC851981:CJC852030 CJC852032:CJC852081 CJC917517:CJC917566 CJC917568:CJC917617 CJC983053:CJC983102 CJC983104:CJC983153 DCV13:DCV63 CSY65549:CSY65598 CSY65600:CSY65649 CSY131085:CSY131134 CSY131136:CSY131185 CSY196621:CSY196670 CSY196672:CSY196721 CSY262157:CSY262206 CSY262208:CSY262257 CSY327693:CSY327742 CSY327744:CSY327793 CSY393229:CSY393278 CSY393280:CSY393329 CSY458765:CSY458814 CSY458816:CSY458865 CSY524301:CSY524350 CSY524352:CSY524401 CSY589837:CSY589886 CSY589888:CSY589937 CSY655373:CSY655422 CSY655424:CSY655473 CSY720909:CSY720958 CSY720960:CSY721009 CSY786445:CSY786494 CSY786496:CSY786545 CSY851981:CSY852030 CSY852032:CSY852081 CSY917517:CSY917566 CSY917568:CSY917617 CSY983053:CSY983102 CSY983104:CSY983153 DMR13:DMR63 DCU65549:DCU65598 DCU65600:DCU65649 DCU131085:DCU131134 DCU131136:DCU131185 DCU196621:DCU196670 DCU196672:DCU196721 DCU262157:DCU262206 DCU262208:DCU262257 DCU327693:DCU327742 DCU327744:DCU327793 DCU393229:DCU393278 DCU393280:DCU393329 DCU458765:DCU458814 DCU458816:DCU458865 DCU524301:DCU524350 DCU524352:DCU524401 DCU589837:DCU589886 DCU589888:DCU589937 DCU655373:DCU655422 DCU655424:DCU655473 DCU720909:DCU720958 DCU720960:DCU721009 DCU786445:DCU786494 DCU786496:DCU786545 DCU851981:DCU852030 DCU852032:DCU852081 DCU917517:DCU917566 DCU917568:DCU917617 DCU983053:DCU983102 DCU983104:DCU983153 DWN13:DWN63 DMQ65549:DMQ65598 DMQ65600:DMQ65649 DMQ131085:DMQ131134 DMQ131136:DMQ131185 DMQ196621:DMQ196670 DMQ196672:DMQ196721 DMQ262157:DMQ262206 DMQ262208:DMQ262257 DMQ327693:DMQ327742 DMQ327744:DMQ327793 DMQ393229:DMQ393278 DMQ393280:DMQ393329 DMQ458765:DMQ458814 DMQ458816:DMQ458865 DMQ524301:DMQ524350 DMQ524352:DMQ524401 DMQ589837:DMQ589886 DMQ589888:DMQ589937 DMQ655373:DMQ655422 DMQ655424:DMQ655473 DMQ720909:DMQ720958 DMQ720960:DMQ721009 DMQ786445:DMQ786494 DMQ786496:DMQ786545 DMQ851981:DMQ852030 DMQ852032:DMQ852081 DMQ917517:DMQ917566 DMQ917568:DMQ917617 DMQ983053:DMQ983102 DMQ983104:DMQ983153 EGJ13:EGJ63 DWM65549:DWM65598 DWM65600:DWM65649 DWM131085:DWM131134 DWM131136:DWM131185 DWM196621:DWM196670 DWM196672:DWM196721 DWM262157:DWM262206 DWM262208:DWM262257 DWM327693:DWM327742 DWM327744:DWM327793 DWM393229:DWM393278 DWM393280:DWM393329 DWM458765:DWM458814 DWM458816:DWM458865 DWM524301:DWM524350 DWM524352:DWM524401 DWM589837:DWM589886 DWM589888:DWM589937 DWM655373:DWM655422 DWM655424:DWM655473 DWM720909:DWM720958 DWM720960:DWM721009 DWM786445:DWM786494 DWM786496:DWM786545 DWM851981:DWM852030 DWM852032:DWM852081 DWM917517:DWM917566 DWM917568:DWM917617 DWM983053:DWM983102 DWM983104:DWM983153 EQF13:EQF63 EGI65549:EGI65598 EGI65600:EGI65649 EGI131085:EGI131134 EGI131136:EGI131185 EGI196621:EGI196670 EGI196672:EGI196721 EGI262157:EGI262206 EGI262208:EGI262257 EGI327693:EGI327742 EGI327744:EGI327793 EGI393229:EGI393278 EGI393280:EGI393329 EGI458765:EGI458814 EGI458816:EGI458865 EGI524301:EGI524350 EGI524352:EGI524401 EGI589837:EGI589886 EGI589888:EGI589937 EGI655373:EGI655422 EGI655424:EGI655473 EGI720909:EGI720958 EGI720960:EGI721009 EGI786445:EGI786494 EGI786496:EGI786545 EGI851981:EGI852030 EGI852032:EGI852081 EGI917517:EGI917566 EGI917568:EGI917617 EGI983053:EGI983102 EGI983104:EGI983153 FAB13:FAB63 EQE65549:EQE65598 EQE65600:EQE65649 EQE131085:EQE131134 EQE131136:EQE131185 EQE196621:EQE196670 EQE196672:EQE196721 EQE262157:EQE262206 EQE262208:EQE262257 EQE327693:EQE327742 EQE327744:EQE327793 EQE393229:EQE393278 EQE393280:EQE393329 EQE458765:EQE458814 EQE458816:EQE458865 EQE524301:EQE524350 EQE524352:EQE524401 EQE589837:EQE589886 EQE589888:EQE589937 EQE655373:EQE655422 EQE655424:EQE655473 EQE720909:EQE720958 EQE720960:EQE721009 EQE786445:EQE786494 EQE786496:EQE786545 EQE851981:EQE852030 EQE852032:EQE852081 EQE917517:EQE917566 EQE917568:EQE917617 EQE983053:EQE983102 EQE983104:EQE983153 FJX13:FJX63 FAA65549:FAA65598 FAA65600:FAA65649 FAA131085:FAA131134 FAA131136:FAA131185 FAA196621:FAA196670 FAA196672:FAA196721 FAA262157:FAA262206 FAA262208:FAA262257 FAA327693:FAA327742 FAA327744:FAA327793 FAA393229:FAA393278 FAA393280:FAA393329 FAA458765:FAA458814 FAA458816:FAA458865 FAA524301:FAA524350 FAA524352:FAA524401 FAA589837:FAA589886 FAA589888:FAA589937 FAA655373:FAA655422 FAA655424:FAA655473 FAA720909:FAA720958 FAA720960:FAA721009 FAA786445:FAA786494 FAA786496:FAA786545 FAA851981:FAA852030 FAA852032:FAA852081 FAA917517:FAA917566 FAA917568:FAA917617 FAA983053:FAA983102 FAA983104:FAA983153 FTT13:FTT63 FJW65549:FJW65598 FJW65600:FJW65649 FJW131085:FJW131134 FJW131136:FJW131185 FJW196621:FJW196670 FJW196672:FJW196721 FJW262157:FJW262206 FJW262208:FJW262257 FJW327693:FJW327742 FJW327744:FJW327793 FJW393229:FJW393278 FJW393280:FJW393329 FJW458765:FJW458814 FJW458816:FJW458865 FJW524301:FJW524350 FJW524352:FJW524401 FJW589837:FJW589886 FJW589888:FJW589937 FJW655373:FJW655422 FJW655424:FJW655473 FJW720909:FJW720958 FJW720960:FJW721009 FJW786445:FJW786494 FJW786496:FJW786545 FJW851981:FJW852030 FJW852032:FJW852081 FJW917517:FJW917566 FJW917568:FJW917617 FJW983053:FJW983102 FJW983104:FJW983153 GDP13:GDP63 FTS65549:FTS65598 FTS65600:FTS65649 FTS131085:FTS131134 FTS131136:FTS131185 FTS196621:FTS196670 FTS196672:FTS196721 FTS262157:FTS262206 FTS262208:FTS262257 FTS327693:FTS327742 FTS327744:FTS327793 FTS393229:FTS393278 FTS393280:FTS393329 FTS458765:FTS458814 FTS458816:FTS458865 FTS524301:FTS524350 FTS524352:FTS524401 FTS589837:FTS589886 FTS589888:FTS589937 FTS655373:FTS655422 FTS655424:FTS655473 FTS720909:FTS720958 FTS720960:FTS721009 FTS786445:FTS786494 FTS786496:FTS786545 FTS851981:FTS852030 FTS852032:FTS852081 FTS917517:FTS917566 FTS917568:FTS917617 FTS983053:FTS983102 FTS983104:FTS983153 GNL13:GNL63 GDO65549:GDO65598 GDO65600:GDO65649 GDO131085:GDO131134 GDO131136:GDO131185 GDO196621:GDO196670 GDO196672:GDO196721 GDO262157:GDO262206 GDO262208:GDO262257 GDO327693:GDO327742 GDO327744:GDO327793 GDO393229:GDO393278 GDO393280:GDO393329 GDO458765:GDO458814 GDO458816:GDO458865 GDO524301:GDO524350 GDO524352:GDO524401 GDO589837:GDO589886 GDO589888:GDO589937 GDO655373:GDO655422 GDO655424:GDO655473 GDO720909:GDO720958 GDO720960:GDO721009 GDO786445:GDO786494 GDO786496:GDO786545 GDO851981:GDO852030 GDO852032:GDO852081 GDO917517:GDO917566 GDO917568:GDO917617 GDO983053:GDO983102 GDO983104:GDO983153 GXH13:GXH63 GNK65549:GNK65598 GNK65600:GNK65649 GNK131085:GNK131134 GNK131136:GNK131185 GNK196621:GNK196670 GNK196672:GNK196721 GNK262157:GNK262206 GNK262208:GNK262257 GNK327693:GNK327742 GNK327744:GNK327793 GNK393229:GNK393278 GNK393280:GNK393329 GNK458765:GNK458814 GNK458816:GNK458865 GNK524301:GNK524350 GNK524352:GNK524401 GNK589837:GNK589886 GNK589888:GNK589937 GNK655373:GNK655422 GNK655424:GNK655473 GNK720909:GNK720958 GNK720960:GNK721009 GNK786445:GNK786494 GNK786496:GNK786545 GNK851981:GNK852030 GNK852032:GNK852081 GNK917517:GNK917566 GNK917568:GNK917617 GNK983053:GNK983102 GNK983104:GNK983153 HHD13:HHD63 GXG65549:GXG65598 GXG65600:GXG65649 GXG131085:GXG131134 GXG131136:GXG131185 GXG196621:GXG196670 GXG196672:GXG196721 GXG262157:GXG262206 GXG262208:GXG262257 GXG327693:GXG327742 GXG327744:GXG327793 GXG393229:GXG393278 GXG393280:GXG393329 GXG458765:GXG458814 GXG458816:GXG458865 GXG524301:GXG524350 GXG524352:GXG524401 GXG589837:GXG589886 GXG589888:GXG589937 GXG655373:GXG655422 GXG655424:GXG655473 GXG720909:GXG720958 GXG720960:GXG721009 GXG786445:GXG786494 GXG786496:GXG786545 GXG851981:GXG852030 GXG852032:GXG852081 GXG917517:GXG917566 GXG917568:GXG917617 GXG983053:GXG983102 GXG983104:GXG983153 HQZ13:HQZ63 HHC65549:HHC65598 HHC65600:HHC65649 HHC131085:HHC131134 HHC131136:HHC131185 HHC196621:HHC196670 HHC196672:HHC196721 HHC262157:HHC262206 HHC262208:HHC262257 HHC327693:HHC327742 HHC327744:HHC327793 HHC393229:HHC393278 HHC393280:HHC393329 HHC458765:HHC458814 HHC458816:HHC458865 HHC524301:HHC524350 HHC524352:HHC524401 HHC589837:HHC589886 HHC589888:HHC589937 HHC655373:HHC655422 HHC655424:HHC655473 HHC720909:HHC720958 HHC720960:HHC721009 HHC786445:HHC786494 HHC786496:HHC786545 HHC851981:HHC852030 HHC852032:HHC852081 HHC917517:HHC917566 HHC917568:HHC917617 HHC983053:HHC983102 HHC983104:HHC983153 IAV13:IAV63 HQY65549:HQY65598 HQY65600:HQY65649 HQY131085:HQY131134 HQY131136:HQY131185 HQY196621:HQY196670 HQY196672:HQY196721 HQY262157:HQY262206 HQY262208:HQY262257 HQY327693:HQY327742 HQY327744:HQY327793 HQY393229:HQY393278 HQY393280:HQY393329 HQY458765:HQY458814 HQY458816:HQY458865 HQY524301:HQY524350 HQY524352:HQY524401 HQY589837:HQY589886 HQY589888:HQY589937 HQY655373:HQY655422 HQY655424:HQY655473 HQY720909:HQY720958 HQY720960:HQY721009 HQY786445:HQY786494 HQY786496:HQY786545 HQY851981:HQY852030 HQY852032:HQY852081 HQY917517:HQY917566 HQY917568:HQY917617 HQY983053:HQY983102 HQY983104:HQY983153 IKR13:IKR63 IAU65549:IAU65598 IAU65600:IAU65649 IAU131085:IAU131134 IAU131136:IAU131185 IAU196621:IAU196670 IAU196672:IAU196721 IAU262157:IAU262206 IAU262208:IAU262257 IAU327693:IAU327742 IAU327744:IAU327793 IAU393229:IAU393278 IAU393280:IAU393329 IAU458765:IAU458814 IAU458816:IAU458865 IAU524301:IAU524350 IAU524352:IAU524401 IAU589837:IAU589886 IAU589888:IAU589937 IAU655373:IAU655422 IAU655424:IAU655473 IAU720909:IAU720958 IAU720960:IAU721009 IAU786445:IAU786494 IAU786496:IAU786545 IAU851981:IAU852030 IAU852032:IAU852081 IAU917517:IAU917566 IAU917568:IAU917617 IAU983053:IAU983102 IAU983104:IAU983153 IUN13:IUN63 IKQ65549:IKQ65598 IKQ65600:IKQ65649 IKQ131085:IKQ131134 IKQ131136:IKQ131185 IKQ196621:IKQ196670 IKQ196672:IKQ196721 IKQ262157:IKQ262206 IKQ262208:IKQ262257 IKQ327693:IKQ327742 IKQ327744:IKQ327793 IKQ393229:IKQ393278 IKQ393280:IKQ393329 IKQ458765:IKQ458814 IKQ458816:IKQ458865 IKQ524301:IKQ524350 IKQ524352:IKQ524401 IKQ589837:IKQ589886 IKQ589888:IKQ589937 IKQ655373:IKQ655422 IKQ655424:IKQ655473 IKQ720909:IKQ720958 IKQ720960:IKQ721009 IKQ786445:IKQ786494 IKQ786496:IKQ786545 IKQ851981:IKQ852030 IKQ852032:IKQ852081 IKQ917517:IKQ917566 IKQ917568:IKQ917617 IKQ983053:IKQ983102 IKQ983104:IKQ983153 JEJ13:JEJ63 IUM65549:IUM65598 IUM65600:IUM65649 IUM131085:IUM131134 IUM131136:IUM131185 IUM196621:IUM196670 IUM196672:IUM196721 IUM262157:IUM262206 IUM262208:IUM262257 IUM327693:IUM327742 IUM327744:IUM327793 IUM393229:IUM393278 IUM393280:IUM393329 IUM458765:IUM458814 IUM458816:IUM458865 IUM524301:IUM524350 IUM524352:IUM524401 IUM589837:IUM589886 IUM589888:IUM589937 IUM655373:IUM655422 IUM655424:IUM655473 IUM720909:IUM720958 IUM720960:IUM721009 IUM786445:IUM786494 IUM786496:IUM786545 IUM851981:IUM852030 IUM852032:IUM852081 IUM917517:IUM917566 IUM917568:IUM917617 IUM983053:IUM983102 IUM983104:IUM983153 JOF13:JOF63 JEI65549:JEI65598 JEI65600:JEI65649 JEI131085:JEI131134 JEI131136:JEI131185 JEI196621:JEI196670 JEI196672:JEI196721 JEI262157:JEI262206 JEI262208:JEI262257 JEI327693:JEI327742 JEI327744:JEI327793 JEI393229:JEI393278 JEI393280:JEI393329 JEI458765:JEI458814 JEI458816:JEI458865 JEI524301:JEI524350 JEI524352:JEI524401 JEI589837:JEI589886 JEI589888:JEI589937 JEI655373:JEI655422 JEI655424:JEI655473 JEI720909:JEI720958 JEI720960:JEI721009 JEI786445:JEI786494 JEI786496:JEI786545 JEI851981:JEI852030 JEI852032:JEI852081 JEI917517:JEI917566 JEI917568:JEI917617 JEI983053:JEI983102 JEI983104:JEI983153 JYB13:JYB63 JOE65549:JOE65598 JOE65600:JOE65649 JOE131085:JOE131134 JOE131136:JOE131185 JOE196621:JOE196670 JOE196672:JOE196721 JOE262157:JOE262206 JOE262208:JOE262257 JOE327693:JOE327742 JOE327744:JOE327793 JOE393229:JOE393278 JOE393280:JOE393329 JOE458765:JOE458814 JOE458816:JOE458865 JOE524301:JOE524350 JOE524352:JOE524401 JOE589837:JOE589886 JOE589888:JOE589937 JOE655373:JOE655422 JOE655424:JOE655473 JOE720909:JOE720958 JOE720960:JOE721009 JOE786445:JOE786494 JOE786496:JOE786545 JOE851981:JOE852030 JOE852032:JOE852081 JOE917517:JOE917566 JOE917568:JOE917617 JOE983053:JOE983102 JOE983104:JOE983153 KHX13:KHX63 JYA65549:JYA65598 JYA65600:JYA65649 JYA131085:JYA131134 JYA131136:JYA131185 JYA196621:JYA196670 JYA196672:JYA196721 JYA262157:JYA262206 JYA262208:JYA262257 JYA327693:JYA327742 JYA327744:JYA327793 JYA393229:JYA393278 JYA393280:JYA393329 JYA458765:JYA458814 JYA458816:JYA458865 JYA524301:JYA524350 JYA524352:JYA524401 JYA589837:JYA589886 JYA589888:JYA589937 JYA655373:JYA655422 JYA655424:JYA655473 JYA720909:JYA720958 JYA720960:JYA721009 JYA786445:JYA786494 JYA786496:JYA786545 JYA851981:JYA852030 JYA852032:JYA852081 JYA917517:JYA917566 JYA917568:JYA917617 JYA983053:JYA983102 JYA983104:JYA983153 KRT13:KRT63 KHW65549:KHW65598 KHW65600:KHW65649 KHW131085:KHW131134 KHW131136:KHW131185 KHW196621:KHW196670 KHW196672:KHW196721 KHW262157:KHW262206 KHW262208:KHW262257 KHW327693:KHW327742 KHW327744:KHW327793 KHW393229:KHW393278 KHW393280:KHW393329 KHW458765:KHW458814 KHW458816:KHW458865 KHW524301:KHW524350 KHW524352:KHW524401 KHW589837:KHW589886 KHW589888:KHW589937 KHW655373:KHW655422 KHW655424:KHW655473 KHW720909:KHW720958 KHW720960:KHW721009 KHW786445:KHW786494 KHW786496:KHW786545 KHW851981:KHW852030 KHW852032:KHW852081 KHW917517:KHW917566 KHW917568:KHW917617 KHW983053:KHW983102 KHW983104:KHW983153 LBP13:LBP63 KRS65549:KRS65598 KRS65600:KRS65649 KRS131085:KRS131134 KRS131136:KRS131185 KRS196621:KRS196670 KRS196672:KRS196721 KRS262157:KRS262206 KRS262208:KRS262257 KRS327693:KRS327742 KRS327744:KRS327793 KRS393229:KRS393278 KRS393280:KRS393329 KRS458765:KRS458814 KRS458816:KRS458865 KRS524301:KRS524350 KRS524352:KRS524401 KRS589837:KRS589886 KRS589888:KRS589937 KRS655373:KRS655422 KRS655424:KRS655473 KRS720909:KRS720958 KRS720960:KRS721009 KRS786445:KRS786494 KRS786496:KRS786545 KRS851981:KRS852030 KRS852032:KRS852081 KRS917517:KRS917566 KRS917568:KRS917617 KRS983053:KRS983102 KRS983104:KRS983153 LLL13:LLL63 LBO65549:LBO65598 LBO65600:LBO65649 LBO131085:LBO131134 LBO131136:LBO131185 LBO196621:LBO196670 LBO196672:LBO196721 LBO262157:LBO262206 LBO262208:LBO262257 LBO327693:LBO327742 LBO327744:LBO327793 LBO393229:LBO393278 LBO393280:LBO393329 LBO458765:LBO458814 LBO458816:LBO458865 LBO524301:LBO524350 LBO524352:LBO524401 LBO589837:LBO589886 LBO589888:LBO589937 LBO655373:LBO655422 LBO655424:LBO655473 LBO720909:LBO720958 LBO720960:LBO721009 LBO786445:LBO786494 LBO786496:LBO786545 LBO851981:LBO852030 LBO852032:LBO852081 LBO917517:LBO917566 LBO917568:LBO917617 LBO983053:LBO983102 LBO983104:LBO983153 LVH13:LVH63 LLK65549:LLK65598 LLK65600:LLK65649 LLK131085:LLK131134 LLK131136:LLK131185 LLK196621:LLK196670 LLK196672:LLK196721 LLK262157:LLK262206 LLK262208:LLK262257 LLK327693:LLK327742 LLK327744:LLK327793 LLK393229:LLK393278 LLK393280:LLK393329 LLK458765:LLK458814 LLK458816:LLK458865 LLK524301:LLK524350 LLK524352:LLK524401 LLK589837:LLK589886 LLK589888:LLK589937 LLK655373:LLK655422 LLK655424:LLK655473 LLK720909:LLK720958 LLK720960:LLK721009 LLK786445:LLK786494 LLK786496:LLK786545 LLK851981:LLK852030 LLK852032:LLK852081 LLK917517:LLK917566 LLK917568:LLK917617 LLK983053:LLK983102 LLK983104:LLK983153 MFD13:MFD63 LVG65549:LVG65598 LVG65600:LVG65649 LVG131085:LVG131134 LVG131136:LVG131185 LVG196621:LVG196670 LVG196672:LVG196721 LVG262157:LVG262206 LVG262208:LVG262257 LVG327693:LVG327742 LVG327744:LVG327793 LVG393229:LVG393278 LVG393280:LVG393329 LVG458765:LVG458814 LVG458816:LVG458865 LVG524301:LVG524350 LVG524352:LVG524401 LVG589837:LVG589886 LVG589888:LVG589937 LVG655373:LVG655422 LVG655424:LVG655473 LVG720909:LVG720958 LVG720960:LVG721009 LVG786445:LVG786494 LVG786496:LVG786545 LVG851981:LVG852030 LVG852032:LVG852081 LVG917517:LVG917566 LVG917568:LVG917617 LVG983053:LVG983102 LVG983104:LVG983153 MOZ13:MOZ63 MFC65549:MFC65598 MFC65600:MFC65649 MFC131085:MFC131134 MFC131136:MFC131185 MFC196621:MFC196670 MFC196672:MFC196721 MFC262157:MFC262206 MFC262208:MFC262257 MFC327693:MFC327742 MFC327744:MFC327793 MFC393229:MFC393278 MFC393280:MFC393329 MFC458765:MFC458814 MFC458816:MFC458865 MFC524301:MFC524350 MFC524352:MFC524401 MFC589837:MFC589886 MFC589888:MFC589937 MFC655373:MFC655422 MFC655424:MFC655473 MFC720909:MFC720958 MFC720960:MFC721009 MFC786445:MFC786494 MFC786496:MFC786545 MFC851981:MFC852030 MFC852032:MFC852081 MFC917517:MFC917566 MFC917568:MFC917617 MFC983053:MFC983102 MFC983104:MFC983153 MYV13:MYV63 MOY65549:MOY65598 MOY65600:MOY65649 MOY131085:MOY131134 MOY131136:MOY131185 MOY196621:MOY196670 MOY196672:MOY196721 MOY262157:MOY262206 MOY262208:MOY262257 MOY327693:MOY327742 MOY327744:MOY327793 MOY393229:MOY393278 MOY393280:MOY393329 MOY458765:MOY458814 MOY458816:MOY458865 MOY524301:MOY524350 MOY524352:MOY524401 MOY589837:MOY589886 MOY589888:MOY589937 MOY655373:MOY655422 MOY655424:MOY655473 MOY720909:MOY720958 MOY720960:MOY721009 MOY786445:MOY786494 MOY786496:MOY786545 MOY851981:MOY852030 MOY852032:MOY852081 MOY917517:MOY917566 MOY917568:MOY917617 MOY983053:MOY983102 MOY983104:MOY983153 NIR13:NIR63 MYU65549:MYU65598 MYU65600:MYU65649 MYU131085:MYU131134 MYU131136:MYU131185 MYU196621:MYU196670 MYU196672:MYU196721 MYU262157:MYU262206 MYU262208:MYU262257 MYU327693:MYU327742 MYU327744:MYU327793 MYU393229:MYU393278 MYU393280:MYU393329 MYU458765:MYU458814 MYU458816:MYU458865 MYU524301:MYU524350 MYU524352:MYU524401 MYU589837:MYU589886 MYU589888:MYU589937 MYU655373:MYU655422 MYU655424:MYU655473 MYU720909:MYU720958 MYU720960:MYU721009 MYU786445:MYU786494 MYU786496:MYU786545 MYU851981:MYU852030 MYU852032:MYU852081 MYU917517:MYU917566 MYU917568:MYU917617 MYU983053:MYU983102 MYU983104:MYU983153 NSN13:NSN63 NIQ65549:NIQ65598 NIQ65600:NIQ65649 NIQ131085:NIQ131134 NIQ131136:NIQ131185 NIQ196621:NIQ196670 NIQ196672:NIQ196721 NIQ262157:NIQ262206 NIQ262208:NIQ262257 NIQ327693:NIQ327742 NIQ327744:NIQ327793 NIQ393229:NIQ393278 NIQ393280:NIQ393329 NIQ458765:NIQ458814 NIQ458816:NIQ458865 NIQ524301:NIQ524350 NIQ524352:NIQ524401 NIQ589837:NIQ589886 NIQ589888:NIQ589937 NIQ655373:NIQ655422 NIQ655424:NIQ655473 NIQ720909:NIQ720958 NIQ720960:NIQ721009 NIQ786445:NIQ786494 NIQ786496:NIQ786545 NIQ851981:NIQ852030 NIQ852032:NIQ852081 NIQ917517:NIQ917566 NIQ917568:NIQ917617 NIQ983053:NIQ983102 NIQ983104:NIQ983153 OCJ13:OCJ63 NSM65549:NSM65598 NSM65600:NSM65649 NSM131085:NSM131134 NSM131136:NSM131185 NSM196621:NSM196670 NSM196672:NSM196721 NSM262157:NSM262206 NSM262208:NSM262257 NSM327693:NSM327742 NSM327744:NSM327793 NSM393229:NSM393278 NSM393280:NSM393329 NSM458765:NSM458814 NSM458816:NSM458865 NSM524301:NSM524350 NSM524352:NSM524401 NSM589837:NSM589886 NSM589888:NSM589937 NSM655373:NSM655422 NSM655424:NSM655473 NSM720909:NSM720958 NSM720960:NSM721009 NSM786445:NSM786494 NSM786496:NSM786545 NSM851981:NSM852030 NSM852032:NSM852081 NSM917517:NSM917566 NSM917568:NSM917617 NSM983053:NSM983102 NSM983104:NSM983153 OMF13:OMF63 OCI65549:OCI65598 OCI65600:OCI65649 OCI131085:OCI131134 OCI131136:OCI131185 OCI196621:OCI196670 OCI196672:OCI196721 OCI262157:OCI262206 OCI262208:OCI262257 OCI327693:OCI327742 OCI327744:OCI327793 OCI393229:OCI393278 OCI393280:OCI393329 OCI458765:OCI458814 OCI458816:OCI458865 OCI524301:OCI524350 OCI524352:OCI524401 OCI589837:OCI589886 OCI589888:OCI589937 OCI655373:OCI655422 OCI655424:OCI655473 OCI720909:OCI720958 OCI720960:OCI721009 OCI786445:OCI786494 OCI786496:OCI786545 OCI851981:OCI852030 OCI852032:OCI852081 OCI917517:OCI917566 OCI917568:OCI917617 OCI983053:OCI983102 OCI983104:OCI983153 OWB13:OWB63 OME65549:OME65598 OME65600:OME65649 OME131085:OME131134 OME131136:OME131185 OME196621:OME196670 OME196672:OME196721 OME262157:OME262206 OME262208:OME262257 OME327693:OME327742 OME327744:OME327793 OME393229:OME393278 OME393280:OME393329 OME458765:OME458814 OME458816:OME458865 OME524301:OME524350 OME524352:OME524401 OME589837:OME589886 OME589888:OME589937 OME655373:OME655422 OME655424:OME655473 OME720909:OME720958 OME720960:OME721009 OME786445:OME786494 OME786496:OME786545 OME851981:OME852030 OME852032:OME852081 OME917517:OME917566 OME917568:OME917617 OME983053:OME983102 OME983104:OME983153 PFX13:PFX63 OWA65549:OWA65598 OWA65600:OWA65649 OWA131085:OWA131134 OWA131136:OWA131185 OWA196621:OWA196670 OWA196672:OWA196721 OWA262157:OWA262206 OWA262208:OWA262257 OWA327693:OWA327742 OWA327744:OWA327793 OWA393229:OWA393278 OWA393280:OWA393329 OWA458765:OWA458814 OWA458816:OWA458865 OWA524301:OWA524350 OWA524352:OWA524401 OWA589837:OWA589886 OWA589888:OWA589937 OWA655373:OWA655422 OWA655424:OWA655473 OWA720909:OWA720958 OWA720960:OWA721009 OWA786445:OWA786494 OWA786496:OWA786545 OWA851981:OWA852030 OWA852032:OWA852081 OWA917517:OWA917566 OWA917568:OWA917617 OWA983053:OWA983102 OWA983104:OWA983153 PPT13:PPT63 PFW65549:PFW65598 PFW65600:PFW65649 PFW131085:PFW131134 PFW131136:PFW131185 PFW196621:PFW196670 PFW196672:PFW196721 PFW262157:PFW262206 PFW262208:PFW262257 PFW327693:PFW327742 PFW327744:PFW327793 PFW393229:PFW393278 PFW393280:PFW393329 PFW458765:PFW458814 PFW458816:PFW458865 PFW524301:PFW524350 PFW524352:PFW524401 PFW589837:PFW589886 PFW589888:PFW589937 PFW655373:PFW655422 PFW655424:PFW655473 PFW720909:PFW720958 PFW720960:PFW721009 PFW786445:PFW786494 PFW786496:PFW786545 PFW851981:PFW852030 PFW852032:PFW852081 PFW917517:PFW917566 PFW917568:PFW917617 PFW983053:PFW983102 PFW983104:PFW983153 PZP13:PZP63 PPS65549:PPS65598 PPS65600:PPS65649 PPS131085:PPS131134 PPS131136:PPS131185 PPS196621:PPS196670 PPS196672:PPS196721 PPS262157:PPS262206 PPS262208:PPS262257 PPS327693:PPS327742 PPS327744:PPS327793 PPS393229:PPS393278 PPS393280:PPS393329 PPS458765:PPS458814 PPS458816:PPS458865 PPS524301:PPS524350 PPS524352:PPS524401 PPS589837:PPS589886 PPS589888:PPS589937 PPS655373:PPS655422 PPS655424:PPS655473 PPS720909:PPS720958 PPS720960:PPS721009 PPS786445:PPS786494 PPS786496:PPS786545 PPS851981:PPS852030 PPS852032:PPS852081 PPS917517:PPS917566 PPS917568:PPS917617 PPS983053:PPS983102 PPS983104:PPS983153 QJL13:QJL63 PZO65549:PZO65598 PZO65600:PZO65649 PZO131085:PZO131134 PZO131136:PZO131185 PZO196621:PZO196670 PZO196672:PZO196721 PZO262157:PZO262206 PZO262208:PZO262257 PZO327693:PZO327742 PZO327744:PZO327793 PZO393229:PZO393278 PZO393280:PZO393329 PZO458765:PZO458814 PZO458816:PZO458865 PZO524301:PZO524350 PZO524352:PZO524401 PZO589837:PZO589886 PZO589888:PZO589937 PZO655373:PZO655422 PZO655424:PZO655473 PZO720909:PZO720958 PZO720960:PZO721009 PZO786445:PZO786494 PZO786496:PZO786545 PZO851981:PZO852030 PZO852032:PZO852081 PZO917517:PZO917566 PZO917568:PZO917617 PZO983053:PZO983102 PZO983104:PZO983153 QTH13:QTH63 QJK65549:QJK65598 QJK65600:QJK65649 QJK131085:QJK131134 QJK131136:QJK131185 QJK196621:QJK196670 QJK196672:QJK196721 QJK262157:QJK262206 QJK262208:QJK262257 QJK327693:QJK327742 QJK327744:QJK327793 QJK393229:QJK393278 QJK393280:QJK393329 QJK458765:QJK458814 QJK458816:QJK458865 QJK524301:QJK524350 QJK524352:QJK524401 QJK589837:QJK589886 QJK589888:QJK589937 QJK655373:QJK655422 QJK655424:QJK655473 QJK720909:QJK720958 QJK720960:QJK721009 QJK786445:QJK786494 QJK786496:QJK786545 QJK851981:QJK852030 QJK852032:QJK852081 QJK917517:QJK917566 QJK917568:QJK917617 QJK983053:QJK983102 QJK983104:QJK983153 RDD13:RDD63 QTG65549:QTG65598 QTG65600:QTG65649 QTG131085:QTG131134 QTG131136:QTG131185 QTG196621:QTG196670 QTG196672:QTG196721 QTG262157:QTG262206 QTG262208:QTG262257 QTG327693:QTG327742 QTG327744:QTG327793 QTG393229:QTG393278 QTG393280:QTG393329 QTG458765:QTG458814 QTG458816:QTG458865 QTG524301:QTG524350 QTG524352:QTG524401 QTG589837:QTG589886 QTG589888:QTG589937 QTG655373:QTG655422 QTG655424:QTG655473 QTG720909:QTG720958 QTG720960:QTG721009 QTG786445:QTG786494 QTG786496:QTG786545 QTG851981:QTG852030 QTG852032:QTG852081 QTG917517:QTG917566 QTG917568:QTG917617 QTG983053:QTG983102 QTG983104:QTG983153 RMZ13:RMZ63 RDC65549:RDC65598 RDC65600:RDC65649 RDC131085:RDC131134 RDC131136:RDC131185 RDC196621:RDC196670 RDC196672:RDC196721 RDC262157:RDC262206 RDC262208:RDC262257 RDC327693:RDC327742 RDC327744:RDC327793 RDC393229:RDC393278 RDC393280:RDC393329 RDC458765:RDC458814 RDC458816:RDC458865 RDC524301:RDC524350 RDC524352:RDC524401 RDC589837:RDC589886 RDC589888:RDC589937 RDC655373:RDC655422 RDC655424:RDC655473 RDC720909:RDC720958 RDC720960:RDC721009 RDC786445:RDC786494 RDC786496:RDC786545 RDC851981:RDC852030 RDC852032:RDC852081 RDC917517:RDC917566 RDC917568:RDC917617 RDC983053:RDC983102 RDC983104:RDC983153 RWV13:RWV63 RMY65549:RMY65598 RMY65600:RMY65649 RMY131085:RMY131134 RMY131136:RMY131185 RMY196621:RMY196670 RMY196672:RMY196721 RMY262157:RMY262206 RMY262208:RMY262257 RMY327693:RMY327742 RMY327744:RMY327793 RMY393229:RMY393278 RMY393280:RMY393329 RMY458765:RMY458814 RMY458816:RMY458865 RMY524301:RMY524350 RMY524352:RMY524401 RMY589837:RMY589886 RMY589888:RMY589937 RMY655373:RMY655422 RMY655424:RMY655473 RMY720909:RMY720958 RMY720960:RMY721009 RMY786445:RMY786494 RMY786496:RMY786545 RMY851981:RMY852030 RMY852032:RMY852081 RMY917517:RMY917566 RMY917568:RMY917617 RMY983053:RMY983102 RMY983104:RMY983153 SGR13:SGR63 RWU65549:RWU65598 RWU65600:RWU65649 RWU131085:RWU131134 RWU131136:RWU131185 RWU196621:RWU196670 RWU196672:RWU196721 RWU262157:RWU262206 RWU262208:RWU262257 RWU327693:RWU327742 RWU327744:RWU327793 RWU393229:RWU393278 RWU393280:RWU393329 RWU458765:RWU458814 RWU458816:RWU458865 RWU524301:RWU524350 RWU524352:RWU524401 RWU589837:RWU589886 RWU589888:RWU589937 RWU655373:RWU655422 RWU655424:RWU655473 RWU720909:RWU720958 RWU720960:RWU721009 RWU786445:RWU786494 RWU786496:RWU786545 RWU851981:RWU852030 RWU852032:RWU852081 RWU917517:RWU917566 RWU917568:RWU917617 RWU983053:RWU983102 RWU983104:RWU983153 SQN13:SQN63 SGQ65549:SGQ65598 SGQ65600:SGQ65649 SGQ131085:SGQ131134 SGQ131136:SGQ131185 SGQ196621:SGQ196670 SGQ196672:SGQ196721 SGQ262157:SGQ262206 SGQ262208:SGQ262257 SGQ327693:SGQ327742 SGQ327744:SGQ327793 SGQ393229:SGQ393278 SGQ393280:SGQ393329 SGQ458765:SGQ458814 SGQ458816:SGQ458865 SGQ524301:SGQ524350 SGQ524352:SGQ524401 SGQ589837:SGQ589886 SGQ589888:SGQ589937 SGQ655373:SGQ655422 SGQ655424:SGQ655473 SGQ720909:SGQ720958 SGQ720960:SGQ721009 SGQ786445:SGQ786494 SGQ786496:SGQ786545 SGQ851981:SGQ852030 SGQ852032:SGQ852081 SGQ917517:SGQ917566 SGQ917568:SGQ917617 SGQ983053:SGQ983102 SGQ983104:SGQ983153 TAJ13:TAJ63 SQM65549:SQM65598 SQM65600:SQM65649 SQM131085:SQM131134 SQM131136:SQM131185 SQM196621:SQM196670 SQM196672:SQM196721 SQM262157:SQM262206 SQM262208:SQM262257 SQM327693:SQM327742 SQM327744:SQM327793 SQM393229:SQM393278 SQM393280:SQM393329 SQM458765:SQM458814 SQM458816:SQM458865 SQM524301:SQM524350 SQM524352:SQM524401 SQM589837:SQM589886 SQM589888:SQM589937 SQM655373:SQM655422 SQM655424:SQM655473 SQM720909:SQM720958 SQM720960:SQM721009 SQM786445:SQM786494 SQM786496:SQM786545 SQM851981:SQM852030 SQM852032:SQM852081 SQM917517:SQM917566 SQM917568:SQM917617 SQM983053:SQM983102 SQM983104:SQM983153 TKF13:TKF63 TAI65549:TAI65598 TAI65600:TAI65649 TAI131085:TAI131134 TAI131136:TAI131185 TAI196621:TAI196670 TAI196672:TAI196721 TAI262157:TAI262206 TAI262208:TAI262257 TAI327693:TAI327742 TAI327744:TAI327793 TAI393229:TAI393278 TAI393280:TAI393329 TAI458765:TAI458814 TAI458816:TAI458865 TAI524301:TAI524350 TAI524352:TAI524401 TAI589837:TAI589886 TAI589888:TAI589937 TAI655373:TAI655422 TAI655424:TAI655473 TAI720909:TAI720958 TAI720960:TAI721009 TAI786445:TAI786494 TAI786496:TAI786545 TAI851981:TAI852030 TAI852032:TAI852081 TAI917517:TAI917566 TAI917568:TAI917617 TAI983053:TAI983102 TAI983104:TAI983153 TUB13:TUB63 TKE65549:TKE65598 TKE65600:TKE65649 TKE131085:TKE131134 TKE131136:TKE131185 TKE196621:TKE196670 TKE196672:TKE196721 TKE262157:TKE262206 TKE262208:TKE262257 TKE327693:TKE327742 TKE327744:TKE327793 TKE393229:TKE393278 TKE393280:TKE393329 TKE458765:TKE458814 TKE458816:TKE458865 TKE524301:TKE524350 TKE524352:TKE524401 TKE589837:TKE589886 TKE589888:TKE589937 TKE655373:TKE655422 TKE655424:TKE655473 TKE720909:TKE720958 TKE720960:TKE721009 TKE786445:TKE786494 TKE786496:TKE786545 TKE851981:TKE852030 TKE852032:TKE852081 TKE917517:TKE917566 TKE917568:TKE917617 TKE983053:TKE983102 TKE983104:TKE983153 UDX13:UDX63 TUA65549:TUA65598 TUA65600:TUA65649 TUA131085:TUA131134 TUA131136:TUA131185 TUA196621:TUA196670 TUA196672:TUA196721 TUA262157:TUA262206 TUA262208:TUA262257 TUA327693:TUA327742 TUA327744:TUA327793 TUA393229:TUA393278 TUA393280:TUA393329 TUA458765:TUA458814 TUA458816:TUA458865 TUA524301:TUA524350 TUA524352:TUA524401 TUA589837:TUA589886 TUA589888:TUA589937 TUA655373:TUA655422 TUA655424:TUA655473 TUA720909:TUA720958 TUA720960:TUA721009 TUA786445:TUA786494 TUA786496:TUA786545 TUA851981:TUA852030 TUA852032:TUA852081 TUA917517:TUA917566 TUA917568:TUA917617 TUA983053:TUA983102 TUA983104:TUA983153 UNT13:UNT63 UDW65549:UDW65598 UDW65600:UDW65649 UDW131085:UDW131134 UDW131136:UDW131185 UDW196621:UDW196670 UDW196672:UDW196721 UDW262157:UDW262206 UDW262208:UDW262257 UDW327693:UDW327742 UDW327744:UDW327793 UDW393229:UDW393278 UDW393280:UDW393329 UDW458765:UDW458814 UDW458816:UDW458865 UDW524301:UDW524350 UDW524352:UDW524401 UDW589837:UDW589886 UDW589888:UDW589937 UDW655373:UDW655422 UDW655424:UDW655473 UDW720909:UDW720958 UDW720960:UDW721009 UDW786445:UDW786494 UDW786496:UDW786545 UDW851981:UDW852030 UDW852032:UDW852081 UDW917517:UDW917566 UDW917568:UDW917617 UDW983053:UDW983102 UDW983104:UDW983153 UXP13:UXP63 UNS65549:UNS65598 UNS65600:UNS65649 UNS131085:UNS131134 UNS131136:UNS131185 UNS196621:UNS196670 UNS196672:UNS196721 UNS262157:UNS262206 UNS262208:UNS262257 UNS327693:UNS327742 UNS327744:UNS327793 UNS393229:UNS393278 UNS393280:UNS393329 UNS458765:UNS458814 UNS458816:UNS458865 UNS524301:UNS524350 UNS524352:UNS524401 UNS589837:UNS589886 UNS589888:UNS589937 UNS655373:UNS655422 UNS655424:UNS655473 UNS720909:UNS720958 UNS720960:UNS721009 UNS786445:UNS786494 UNS786496:UNS786545 UNS851981:UNS852030 UNS852032:UNS852081 UNS917517:UNS917566 UNS917568:UNS917617 UNS983053:UNS983102 UNS983104:UNS983153 VHL13:VHL63 UXO65549:UXO65598 UXO65600:UXO65649 UXO131085:UXO131134 UXO131136:UXO131185 UXO196621:UXO196670 UXO196672:UXO196721 UXO262157:UXO262206 UXO262208:UXO262257 UXO327693:UXO327742 UXO327744:UXO327793 UXO393229:UXO393278 UXO393280:UXO393329 UXO458765:UXO458814 UXO458816:UXO458865 UXO524301:UXO524350 UXO524352:UXO524401 UXO589837:UXO589886 UXO589888:UXO589937 UXO655373:UXO655422 UXO655424:UXO655473 UXO720909:UXO720958 UXO720960:UXO721009 UXO786445:UXO786494 UXO786496:UXO786545 UXO851981:UXO852030 UXO852032:UXO852081 UXO917517:UXO917566 UXO917568:UXO917617 UXO983053:UXO983102 UXO983104:UXO983153 VRH13:VRH63 VHK65549:VHK65598 VHK65600:VHK65649 VHK131085:VHK131134 VHK131136:VHK131185 VHK196621:VHK196670 VHK196672:VHK196721 VHK262157:VHK262206 VHK262208:VHK262257 VHK327693:VHK327742 VHK327744:VHK327793 VHK393229:VHK393278 VHK393280:VHK393329 VHK458765:VHK458814 VHK458816:VHK458865 VHK524301:VHK524350 VHK524352:VHK524401 VHK589837:VHK589886 VHK589888:VHK589937 VHK655373:VHK655422 VHK655424:VHK655473 VHK720909:VHK720958 VHK720960:VHK721009 VHK786445:VHK786494 VHK786496:VHK786545 VHK851981:VHK852030 VHK852032:VHK852081 VHK917517:VHK917566 VHK917568:VHK917617 VHK983053:VHK983102 VHK983104:VHK983153 WBD13:WBD63 VRG65549:VRG65598 VRG65600:VRG65649 VRG131085:VRG131134 VRG131136:VRG131185 VRG196621:VRG196670 VRG196672:VRG196721 VRG262157:VRG262206 VRG262208:VRG262257 VRG327693:VRG327742 VRG327744:VRG327793 VRG393229:VRG393278 VRG393280:VRG393329 VRG458765:VRG458814 VRG458816:VRG458865 VRG524301:VRG524350 VRG524352:VRG524401 VRG589837:VRG589886 VRG589888:VRG589937 VRG655373:VRG655422 VRG655424:VRG655473 VRG720909:VRG720958 VRG720960:VRG721009 VRG786445:VRG786494 VRG786496:VRG786545 VRG851981:VRG852030 VRG852032:VRG852081 VRG917517:VRG917566 VRG917568:VRG917617 VRG983053:VRG983102 VRG983104:VRG983153 WKZ13:WKZ63 WBC65549:WBC65598 WBC65600:WBC65649 WBC131085:WBC131134 WBC131136:WBC131185 WBC196621:WBC196670 WBC196672:WBC196721 WBC262157:WBC262206 WBC262208:WBC262257 WBC327693:WBC327742 WBC327744:WBC327793 WBC393229:WBC393278 WBC393280:WBC393329 WBC458765:WBC458814 WBC458816:WBC458865 WBC524301:WBC524350 WBC524352:WBC524401 WBC589837:WBC589886 WBC589888:WBC589937 WBC655373:WBC655422 WBC655424:WBC655473 WBC720909:WBC720958 WBC720960:WBC721009 WBC786445:WBC786494 WBC786496:WBC786545 WBC851981:WBC852030 WBC852032:WBC852081 WBC917517:WBC917566 WBC917568:WBC917617 WBC983053:WBC983102 WBC983104:WBC983153 WUV13:WUV63 WKY65549:WKY65598 WKY65600:WKY65649 WKY131085:WKY131134 WKY131136:WKY131185 WKY196621:WKY196670 WKY196672:WKY196721 WKY262157:WKY262206 WKY262208:WKY262257 WKY327693:WKY327742 WKY327744:WKY327793 WKY393229:WKY393278 WKY393280:WKY393329 WKY458765:WKY458814 WKY458816:WKY458865 WKY524301:WKY524350 WKY524352:WKY524401 WKY589837:WKY589886 WKY589888:WKY589937 WKY655373:WKY655422 WKY655424:WKY655473 WKY720909:WKY720958 WKY720960:WKY721009 WKY786445:WKY786494 WKY786496:WKY786545 WKY851981:WKY852030 WKY852032:WKY852081 WKY917517:WKY917566 WKY917568:WKY917617 WKY983053:WKY983102 WKY983104:WKY983153 WUU983104:WUU983153 WUU65549:WUU65598 WUU65600:WUU65649 WUU131085:WUU131134 WUU131136:WUU131185 WUU196621:WUU196670 WUU196672:WUU196721 WUU262157:WUU262206 WUU262208:WUU262257 WUU327693:WUU327742 WUU327744:WUU327793 WUU393229:WUU393278 WUU393280:WUU393329 WUU458765:WUU458814 WUU458816:WUU458865 WUU524301:WUU524350 WUU524352:WUU524401 WUU589837:WUU589886 WUU589888:WUU589937 WUU655373:WUU655422 WUU655424:WUU655473 WUU720909:WUU720958 WUU720960:WUU721009 WUU786445:WUU786494 WUU786496:WUU786545 WUU851981:WUU852030 WUU852032:WUU852081 WUU917517:WUU917566 WUU917568:WUU917617 WUU983053:WUU983102 IJ13:IJ63 WUV66:WUV114 WKZ66:WKZ114 WBD66:WBD114 VRH66:VRH114 VHL66:VHL114 UXP66:UXP114 UNT66:UNT114 UDX66:UDX114 TUB66:TUB114 TKF66:TKF114 TAJ66:TAJ114 SQN66:SQN114 SGR66:SGR114 RWV66:RWV114 RMZ66:RMZ114 RDD66:RDD114 QTH66:QTH114 QJL66:QJL114 PZP66:PZP114 PPT66:PPT114 PFX66:PFX114 OWB66:OWB114 OMF66:OMF114 OCJ66:OCJ114 NSN66:NSN114 NIR66:NIR114 MYV66:MYV114 MOZ66:MOZ114 MFD66:MFD114 LVH66:LVH114 LLL66:LLL114 LBP66:LBP114 KRT66:KRT114 KHX66:KHX114 JYB66:JYB114 JOF66:JOF114 JEJ66:JEJ114 IUN66:IUN114 IKR66:IKR114 IAV66:IAV114 HQZ66:HQZ114 HHD66:HHD114 GXH66:GXH114 GNL66:GNL114 GDP66:GDP114 FTT66:FTT114 FJX66:FJX114 FAB66:FAB114 EQF66:EQF114 EGJ66:EGJ114 DWN66:DWN114 DMR66:DMR114 DCV66:DCV114 CSZ66:CSZ114 CJD66:CJD114 BZH66:BZH114 BPL66:BPL114 BFP66:BFP114 AVT66:AVT114 ALX66:ALX114 ACB66:ACB114 SF66:SF114 IJ66:IJ114" xr:uid="{9A928B9A-8435-4F0A-B144-AAB599C5F198}"/>
    <dataValidation allowBlank="1" sqref="AB10:XFD12 A12:C12 A10 A114:C114 A63" xr:uid="{4A3593B4-BC59-487A-A679-200A7017FCB6}"/>
    <dataValidation allowBlank="1" showInputMessage="1" showErrorMessage="1" prompt="Written Works' Total Raw Score" sqref="I13:I63 I66:I114" xr:uid="{141ED842-58CF-41D5-821C-0E06CDEEB899}"/>
    <dataValidation allowBlank="1" showInputMessage="1" showErrorMessage="1" prompt="Performance Tasks' Total Raw Scores" sqref="O13:O63 O66:O114" xr:uid="{07483942-9AE0-480B-8910-45E10FEF37FF}"/>
    <dataValidation allowBlank="1" showInputMessage="1" prompt="Do not type name of learners here. Go to INPUT DATA sheet." sqref="A13:B62 A66:C113 C13:C63 B63" xr:uid="{0814D38A-729B-45D0-B18C-3D032054B24C}"/>
    <dataValidation allowBlank="1" showInputMessage="1" prompt="Written Works' Percentage Score" sqref="J10 J12:J63 J66:J114" xr:uid="{C9DF47DC-417D-41BA-B831-3CD00D9403CB}"/>
    <dataValidation allowBlank="1" showInputMessage="1" prompt="Performance Tasks' Percentage Score" sqref="P10 P12:P63 P66:P114" xr:uid="{CC7FCA4E-60AE-4706-B535-70B3164E5C0E}"/>
    <dataValidation allowBlank="1" showInputMessage="1" prompt="Written Works' Weighted Score" sqref="K10 K12:K63 K66:K114" xr:uid="{846C632F-FD21-4863-B747-009B4618ABB2}"/>
    <dataValidation allowBlank="1" showInputMessage="1" prompt="Performance Tasks' Weighted Score" sqref="Q10:S10 Q12:S12 Q13:Q63 Q66:Q114" xr:uid="{35BB46F6-D4D7-42CC-AAD5-968E7CCAE9CE}"/>
    <dataValidation allowBlank="1" showInputMessage="1" prompt="INITIAL GRADE" sqref="X13:X63 X66:X114" xr:uid="{E1B5D62C-C614-4068-B69C-AE0DA582F6AD}"/>
    <dataValidation allowBlank="1" showInputMessage="1" prompt="QUARTERLY GRADE (TRANSMUTED GRADE)" sqref="Y13:Y63 Y66:Y114" xr:uid="{0034EAAA-031A-4B19-8F9E-5317B259F5BF}"/>
    <dataValidation allowBlank="1" showErrorMessage="1" sqref="A11:B11 AB14:AE14 AC18:AE18 AC24:AE24 AC30:AE30 D11:Z11 A64:A65 B65:Q65 AW64:XFD65 Z64:AU65 B64 D64:Q64" xr:uid="{80C16C14-77A1-4D67-8263-69CCA56DD85B}"/>
    <dataValidation type="whole" operator="lessThanOrEqual" allowBlank="1" showInputMessage="1" showErrorMessage="1" error="INPUT NUMBER LESS THAN OR EQUAL THE HIGHEST POSSIBLE SCORE" prompt="Input Raw Score" sqref="JD13:JJ63 IR65549:IV65649 IR131085:IV131185 IR196621:IV196721 IR262157:IV262257 IR327693:IV327793 IR393229:IV393329 IR458765:IV458865 IR524301:IV524401 IR589837:IV589937 IR655373:IV655473 IR720909:IV721009 IR786445:IV786545 IR851981:IV852081 IR917517:IV917617 IR983053:IV983153 SO13:SS63 JC65549:JI65649 JC131085:JI131185 JC196621:JI196721 JC262157:JI262257 JC327693:JI327793 JC393229:JI393329 JC458765:JI458865 JC524301:JI524401 JC589837:JI589937 JC655373:JI655473 JC720909:JI721009 JC786445:JI786545 JC851981:JI852081 JC917517:JI917617 JC983053:JI983153 SZ13:TF63 SN65549:SR65649 SN131085:SR131185 SN196621:SR196721 SN262157:SR262257 SN327693:SR327793 SN393229:SR393329 SN458765:SR458865 SN524301:SR524401 SN589837:SR589937 SN655373:SR655473 SN720909:SR721009 SN786445:SR786545 SN851981:SR852081 SN917517:SR917617 SN983053:SR983153 ACK13:ACO63 SY65549:TE65649 SY131085:TE131185 SY196621:TE196721 SY262157:TE262257 SY327693:TE327793 SY393229:TE393329 SY458765:TE458865 SY524301:TE524401 SY589837:TE589937 SY655373:TE655473 SY720909:TE721009 SY786445:TE786545 SY851981:TE852081 SY917517:TE917617 SY983053:TE983153 ACV13:ADB63 ACJ65549:ACN65649 ACJ131085:ACN131185 ACJ196621:ACN196721 ACJ262157:ACN262257 ACJ327693:ACN327793 ACJ393229:ACN393329 ACJ458765:ACN458865 ACJ524301:ACN524401 ACJ589837:ACN589937 ACJ655373:ACN655473 ACJ720909:ACN721009 ACJ786445:ACN786545 ACJ851981:ACN852081 ACJ917517:ACN917617 ACJ983053:ACN983153 AMG13:AMK63 ACU65549:ADA65649 ACU131085:ADA131185 ACU196621:ADA196721 ACU262157:ADA262257 ACU327693:ADA327793 ACU393229:ADA393329 ACU458765:ADA458865 ACU524301:ADA524401 ACU589837:ADA589937 ACU655373:ADA655473 ACU720909:ADA721009 ACU786445:ADA786545 ACU851981:ADA852081 ACU917517:ADA917617 ACU983053:ADA983153 AMR13:AMX63 AMF65549:AMJ65649 AMF131085:AMJ131185 AMF196621:AMJ196721 AMF262157:AMJ262257 AMF327693:AMJ327793 AMF393229:AMJ393329 AMF458765:AMJ458865 AMF524301:AMJ524401 AMF589837:AMJ589937 AMF655373:AMJ655473 AMF720909:AMJ721009 AMF786445:AMJ786545 AMF851981:AMJ852081 AMF917517:AMJ917617 AMF983053:AMJ983153 AWC13:AWG63 AMQ65549:AMW65649 AMQ131085:AMW131185 AMQ196621:AMW196721 AMQ262157:AMW262257 AMQ327693:AMW327793 AMQ393229:AMW393329 AMQ458765:AMW458865 AMQ524301:AMW524401 AMQ589837:AMW589937 AMQ655373:AMW655473 AMQ720909:AMW721009 AMQ786445:AMW786545 AMQ851981:AMW852081 AMQ917517:AMW917617 AMQ983053:AMW983153 AWN13:AWT63 AWB65549:AWF65649 AWB131085:AWF131185 AWB196621:AWF196721 AWB262157:AWF262257 AWB327693:AWF327793 AWB393229:AWF393329 AWB458765:AWF458865 AWB524301:AWF524401 AWB589837:AWF589937 AWB655373:AWF655473 AWB720909:AWF721009 AWB786445:AWF786545 AWB851981:AWF852081 AWB917517:AWF917617 AWB983053:AWF983153 BFY13:BGC63 AWM65549:AWS65649 AWM131085:AWS131185 AWM196621:AWS196721 AWM262157:AWS262257 AWM327693:AWS327793 AWM393229:AWS393329 AWM458765:AWS458865 AWM524301:AWS524401 AWM589837:AWS589937 AWM655373:AWS655473 AWM720909:AWS721009 AWM786445:AWS786545 AWM851981:AWS852081 AWM917517:AWS917617 AWM983053:AWS983153 BGJ13:BGP63 BFX65549:BGB65649 BFX131085:BGB131185 BFX196621:BGB196721 BFX262157:BGB262257 BFX327693:BGB327793 BFX393229:BGB393329 BFX458765:BGB458865 BFX524301:BGB524401 BFX589837:BGB589937 BFX655373:BGB655473 BFX720909:BGB721009 BFX786445:BGB786545 BFX851981:BGB852081 BFX917517:BGB917617 BFX983053:BGB983153 BPU13:BPY63 BGI65549:BGO65649 BGI131085:BGO131185 BGI196621:BGO196721 BGI262157:BGO262257 BGI327693:BGO327793 BGI393229:BGO393329 BGI458765:BGO458865 BGI524301:BGO524401 BGI589837:BGO589937 BGI655373:BGO655473 BGI720909:BGO721009 BGI786445:BGO786545 BGI851981:BGO852081 BGI917517:BGO917617 BGI983053:BGO983153 BQF13:BQL63 BPT65549:BPX65649 BPT131085:BPX131185 BPT196621:BPX196721 BPT262157:BPX262257 BPT327693:BPX327793 BPT393229:BPX393329 BPT458765:BPX458865 BPT524301:BPX524401 BPT589837:BPX589937 BPT655373:BPX655473 BPT720909:BPX721009 BPT786445:BPX786545 BPT851981:BPX852081 BPT917517:BPX917617 BPT983053:BPX983153 BZQ13:BZU63 BQE65549:BQK65649 BQE131085:BQK131185 BQE196621:BQK196721 BQE262157:BQK262257 BQE327693:BQK327793 BQE393229:BQK393329 BQE458765:BQK458865 BQE524301:BQK524401 BQE589837:BQK589937 BQE655373:BQK655473 BQE720909:BQK721009 BQE786445:BQK786545 BQE851981:BQK852081 BQE917517:BQK917617 BQE983053:BQK983153 CAB13:CAH63 BZP65549:BZT65649 BZP131085:BZT131185 BZP196621:BZT196721 BZP262157:BZT262257 BZP327693:BZT327793 BZP393229:BZT393329 BZP458765:BZT458865 BZP524301:BZT524401 BZP589837:BZT589937 BZP655373:BZT655473 BZP720909:BZT721009 BZP786445:BZT786545 BZP851981:BZT852081 BZP917517:BZT917617 BZP983053:BZT983153 CJM13:CJQ63 CAA65549:CAG65649 CAA131085:CAG131185 CAA196621:CAG196721 CAA262157:CAG262257 CAA327693:CAG327793 CAA393229:CAG393329 CAA458765:CAG458865 CAA524301:CAG524401 CAA589837:CAG589937 CAA655373:CAG655473 CAA720909:CAG721009 CAA786445:CAG786545 CAA851981:CAG852081 CAA917517:CAG917617 CAA983053:CAG983153 CJX13:CKD63 CJL65549:CJP65649 CJL131085:CJP131185 CJL196621:CJP196721 CJL262157:CJP262257 CJL327693:CJP327793 CJL393229:CJP393329 CJL458765:CJP458865 CJL524301:CJP524401 CJL589837:CJP589937 CJL655373:CJP655473 CJL720909:CJP721009 CJL786445:CJP786545 CJL851981:CJP852081 CJL917517:CJP917617 CJL983053:CJP983153 CTI13:CTM63 CJW65549:CKC65649 CJW131085:CKC131185 CJW196621:CKC196721 CJW262157:CKC262257 CJW327693:CKC327793 CJW393229:CKC393329 CJW458765:CKC458865 CJW524301:CKC524401 CJW589837:CKC589937 CJW655373:CKC655473 CJW720909:CKC721009 CJW786445:CKC786545 CJW851981:CKC852081 CJW917517:CKC917617 CJW983053:CKC983153 CTT13:CTZ63 CTH65549:CTL65649 CTH131085:CTL131185 CTH196621:CTL196721 CTH262157:CTL262257 CTH327693:CTL327793 CTH393229:CTL393329 CTH458765:CTL458865 CTH524301:CTL524401 CTH589837:CTL589937 CTH655373:CTL655473 CTH720909:CTL721009 CTH786445:CTL786545 CTH851981:CTL852081 CTH917517:CTL917617 CTH983053:CTL983153 DDE13:DDI63 CTS65549:CTY65649 CTS131085:CTY131185 CTS196621:CTY196721 CTS262157:CTY262257 CTS327693:CTY327793 CTS393229:CTY393329 CTS458765:CTY458865 CTS524301:CTY524401 CTS589837:CTY589937 CTS655373:CTY655473 CTS720909:CTY721009 CTS786445:CTY786545 CTS851981:CTY852081 CTS917517:CTY917617 CTS983053:CTY983153 DDP13:DDV63 DDD65549:DDH65649 DDD131085:DDH131185 DDD196621:DDH196721 DDD262157:DDH262257 DDD327693:DDH327793 DDD393229:DDH393329 DDD458765:DDH458865 DDD524301:DDH524401 DDD589837:DDH589937 DDD655373:DDH655473 DDD720909:DDH721009 DDD786445:DDH786545 DDD851981:DDH852081 DDD917517:DDH917617 DDD983053:DDH983153 DNA13:DNE63 DDO65549:DDU65649 DDO131085:DDU131185 DDO196621:DDU196721 DDO262157:DDU262257 DDO327693:DDU327793 DDO393229:DDU393329 DDO458765:DDU458865 DDO524301:DDU524401 DDO589837:DDU589937 DDO655373:DDU655473 DDO720909:DDU721009 DDO786445:DDU786545 DDO851981:DDU852081 DDO917517:DDU917617 DDO983053:DDU983153 DNL13:DNR63 DMZ65549:DND65649 DMZ131085:DND131185 DMZ196621:DND196721 DMZ262157:DND262257 DMZ327693:DND327793 DMZ393229:DND393329 DMZ458765:DND458865 DMZ524301:DND524401 DMZ589837:DND589937 DMZ655373:DND655473 DMZ720909:DND721009 DMZ786445:DND786545 DMZ851981:DND852081 DMZ917517:DND917617 DMZ983053:DND983153 DWW13:DXA63 DNK65549:DNQ65649 DNK131085:DNQ131185 DNK196621:DNQ196721 DNK262157:DNQ262257 DNK327693:DNQ327793 DNK393229:DNQ393329 DNK458765:DNQ458865 DNK524301:DNQ524401 DNK589837:DNQ589937 DNK655373:DNQ655473 DNK720909:DNQ721009 DNK786445:DNQ786545 DNK851981:DNQ852081 DNK917517:DNQ917617 DNK983053:DNQ983153 DXH13:DXN63 DWV65549:DWZ65649 DWV131085:DWZ131185 DWV196621:DWZ196721 DWV262157:DWZ262257 DWV327693:DWZ327793 DWV393229:DWZ393329 DWV458765:DWZ458865 DWV524301:DWZ524401 DWV589837:DWZ589937 DWV655373:DWZ655473 DWV720909:DWZ721009 DWV786445:DWZ786545 DWV851981:DWZ852081 DWV917517:DWZ917617 DWV983053:DWZ983153 EGS13:EGW63 DXG65549:DXM65649 DXG131085:DXM131185 DXG196621:DXM196721 DXG262157:DXM262257 DXG327693:DXM327793 DXG393229:DXM393329 DXG458765:DXM458865 DXG524301:DXM524401 DXG589837:DXM589937 DXG655373:DXM655473 DXG720909:DXM721009 DXG786445:DXM786545 DXG851981:DXM852081 DXG917517:DXM917617 DXG983053:DXM983153 EHD13:EHJ63 EGR65549:EGV65649 EGR131085:EGV131185 EGR196621:EGV196721 EGR262157:EGV262257 EGR327693:EGV327793 EGR393229:EGV393329 EGR458765:EGV458865 EGR524301:EGV524401 EGR589837:EGV589937 EGR655373:EGV655473 EGR720909:EGV721009 EGR786445:EGV786545 EGR851981:EGV852081 EGR917517:EGV917617 EGR983053:EGV983153 EQO13:EQS63 EHC65549:EHI65649 EHC131085:EHI131185 EHC196621:EHI196721 EHC262157:EHI262257 EHC327693:EHI327793 EHC393229:EHI393329 EHC458765:EHI458865 EHC524301:EHI524401 EHC589837:EHI589937 EHC655373:EHI655473 EHC720909:EHI721009 EHC786445:EHI786545 EHC851981:EHI852081 EHC917517:EHI917617 EHC983053:EHI983153 EQZ13:ERF63 EQN65549:EQR65649 EQN131085:EQR131185 EQN196621:EQR196721 EQN262157:EQR262257 EQN327693:EQR327793 EQN393229:EQR393329 EQN458765:EQR458865 EQN524301:EQR524401 EQN589837:EQR589937 EQN655373:EQR655473 EQN720909:EQR721009 EQN786445:EQR786545 EQN851981:EQR852081 EQN917517:EQR917617 EQN983053:EQR983153 FAK13:FAO63 EQY65549:ERE65649 EQY131085:ERE131185 EQY196621:ERE196721 EQY262157:ERE262257 EQY327693:ERE327793 EQY393229:ERE393329 EQY458765:ERE458865 EQY524301:ERE524401 EQY589837:ERE589937 EQY655373:ERE655473 EQY720909:ERE721009 EQY786445:ERE786545 EQY851981:ERE852081 EQY917517:ERE917617 EQY983053:ERE983153 FAV13:FBB63 FAJ65549:FAN65649 FAJ131085:FAN131185 FAJ196621:FAN196721 FAJ262157:FAN262257 FAJ327693:FAN327793 FAJ393229:FAN393329 FAJ458765:FAN458865 FAJ524301:FAN524401 FAJ589837:FAN589937 FAJ655373:FAN655473 FAJ720909:FAN721009 FAJ786445:FAN786545 FAJ851981:FAN852081 FAJ917517:FAN917617 FAJ983053:FAN983153 FKG13:FKK63 FAU65549:FBA65649 FAU131085:FBA131185 FAU196621:FBA196721 FAU262157:FBA262257 FAU327693:FBA327793 FAU393229:FBA393329 FAU458765:FBA458865 FAU524301:FBA524401 FAU589837:FBA589937 FAU655373:FBA655473 FAU720909:FBA721009 FAU786445:FBA786545 FAU851981:FBA852081 FAU917517:FBA917617 FAU983053:FBA983153 FKR13:FKX63 FKF65549:FKJ65649 FKF131085:FKJ131185 FKF196621:FKJ196721 FKF262157:FKJ262257 FKF327693:FKJ327793 FKF393229:FKJ393329 FKF458765:FKJ458865 FKF524301:FKJ524401 FKF589837:FKJ589937 FKF655373:FKJ655473 FKF720909:FKJ721009 FKF786445:FKJ786545 FKF851981:FKJ852081 FKF917517:FKJ917617 FKF983053:FKJ983153 FUC13:FUG63 FKQ65549:FKW65649 FKQ131085:FKW131185 FKQ196621:FKW196721 FKQ262157:FKW262257 FKQ327693:FKW327793 FKQ393229:FKW393329 FKQ458765:FKW458865 FKQ524301:FKW524401 FKQ589837:FKW589937 FKQ655373:FKW655473 FKQ720909:FKW721009 FKQ786445:FKW786545 FKQ851981:FKW852081 FKQ917517:FKW917617 FKQ983053:FKW983153 FUN13:FUT63 FUB65549:FUF65649 FUB131085:FUF131185 FUB196621:FUF196721 FUB262157:FUF262257 FUB327693:FUF327793 FUB393229:FUF393329 FUB458765:FUF458865 FUB524301:FUF524401 FUB589837:FUF589937 FUB655373:FUF655473 FUB720909:FUF721009 FUB786445:FUF786545 FUB851981:FUF852081 FUB917517:FUF917617 FUB983053:FUF983153 GDY13:GEC63 FUM65549:FUS65649 FUM131085:FUS131185 FUM196621:FUS196721 FUM262157:FUS262257 FUM327693:FUS327793 FUM393229:FUS393329 FUM458765:FUS458865 FUM524301:FUS524401 FUM589837:FUS589937 FUM655373:FUS655473 FUM720909:FUS721009 FUM786445:FUS786545 FUM851981:FUS852081 FUM917517:FUS917617 FUM983053:FUS983153 GEJ13:GEP63 GDX65549:GEB65649 GDX131085:GEB131185 GDX196621:GEB196721 GDX262157:GEB262257 GDX327693:GEB327793 GDX393229:GEB393329 GDX458765:GEB458865 GDX524301:GEB524401 GDX589837:GEB589937 GDX655373:GEB655473 GDX720909:GEB721009 GDX786445:GEB786545 GDX851981:GEB852081 GDX917517:GEB917617 GDX983053:GEB983153 GNU13:GNY63 GEI65549:GEO65649 GEI131085:GEO131185 GEI196621:GEO196721 GEI262157:GEO262257 GEI327693:GEO327793 GEI393229:GEO393329 GEI458765:GEO458865 GEI524301:GEO524401 GEI589837:GEO589937 GEI655373:GEO655473 GEI720909:GEO721009 GEI786445:GEO786545 GEI851981:GEO852081 GEI917517:GEO917617 GEI983053:GEO983153 GOF13:GOL63 GNT65549:GNX65649 GNT131085:GNX131185 GNT196621:GNX196721 GNT262157:GNX262257 GNT327693:GNX327793 GNT393229:GNX393329 GNT458765:GNX458865 GNT524301:GNX524401 GNT589837:GNX589937 GNT655373:GNX655473 GNT720909:GNX721009 GNT786445:GNX786545 GNT851981:GNX852081 GNT917517:GNX917617 GNT983053:GNX983153 GXQ13:GXU63 GOE65549:GOK65649 GOE131085:GOK131185 GOE196621:GOK196721 GOE262157:GOK262257 GOE327693:GOK327793 GOE393229:GOK393329 GOE458765:GOK458865 GOE524301:GOK524401 GOE589837:GOK589937 GOE655373:GOK655473 GOE720909:GOK721009 GOE786445:GOK786545 GOE851981:GOK852081 GOE917517:GOK917617 GOE983053:GOK983153 GYB13:GYH63 GXP65549:GXT65649 GXP131085:GXT131185 GXP196621:GXT196721 GXP262157:GXT262257 GXP327693:GXT327793 GXP393229:GXT393329 GXP458765:GXT458865 GXP524301:GXT524401 GXP589837:GXT589937 GXP655373:GXT655473 GXP720909:GXT721009 GXP786445:GXT786545 GXP851981:GXT852081 GXP917517:GXT917617 GXP983053:GXT983153 HHM13:HHQ63 GYA65549:GYG65649 GYA131085:GYG131185 GYA196621:GYG196721 GYA262157:GYG262257 GYA327693:GYG327793 GYA393229:GYG393329 GYA458765:GYG458865 GYA524301:GYG524401 GYA589837:GYG589937 GYA655373:GYG655473 GYA720909:GYG721009 GYA786445:GYG786545 GYA851981:GYG852081 GYA917517:GYG917617 GYA983053:GYG983153 HHX13:HID63 HHL65549:HHP65649 HHL131085:HHP131185 HHL196621:HHP196721 HHL262157:HHP262257 HHL327693:HHP327793 HHL393229:HHP393329 HHL458765:HHP458865 HHL524301:HHP524401 HHL589837:HHP589937 HHL655373:HHP655473 HHL720909:HHP721009 HHL786445:HHP786545 HHL851981:HHP852081 HHL917517:HHP917617 HHL983053:HHP983153 HRI13:HRM63 HHW65549:HIC65649 HHW131085:HIC131185 HHW196621:HIC196721 HHW262157:HIC262257 HHW327693:HIC327793 HHW393229:HIC393329 HHW458765:HIC458865 HHW524301:HIC524401 HHW589837:HIC589937 HHW655373:HIC655473 HHW720909:HIC721009 HHW786445:HIC786545 HHW851981:HIC852081 HHW917517:HIC917617 HHW983053:HIC983153 HRT13:HRZ63 HRH65549:HRL65649 HRH131085:HRL131185 HRH196621:HRL196721 HRH262157:HRL262257 HRH327693:HRL327793 HRH393229:HRL393329 HRH458765:HRL458865 HRH524301:HRL524401 HRH589837:HRL589937 HRH655373:HRL655473 HRH720909:HRL721009 HRH786445:HRL786545 HRH851981:HRL852081 HRH917517:HRL917617 HRH983053:HRL983153 IBE13:IBI63 HRS65549:HRY65649 HRS131085:HRY131185 HRS196621:HRY196721 HRS262157:HRY262257 HRS327693:HRY327793 HRS393229:HRY393329 HRS458765:HRY458865 HRS524301:HRY524401 HRS589837:HRY589937 HRS655373:HRY655473 HRS720909:HRY721009 HRS786445:HRY786545 HRS851981:HRY852081 HRS917517:HRY917617 HRS983053:HRY983153 IBP13:IBV63 IBD65549:IBH65649 IBD131085:IBH131185 IBD196621:IBH196721 IBD262157:IBH262257 IBD327693:IBH327793 IBD393229:IBH393329 IBD458765:IBH458865 IBD524301:IBH524401 IBD589837:IBH589937 IBD655373:IBH655473 IBD720909:IBH721009 IBD786445:IBH786545 IBD851981:IBH852081 IBD917517:IBH917617 IBD983053:IBH983153 ILA13:ILE63 IBO65549:IBU65649 IBO131085:IBU131185 IBO196621:IBU196721 IBO262157:IBU262257 IBO327693:IBU327793 IBO393229:IBU393329 IBO458765:IBU458865 IBO524301:IBU524401 IBO589837:IBU589937 IBO655373:IBU655473 IBO720909:IBU721009 IBO786445:IBU786545 IBO851981:IBU852081 IBO917517:IBU917617 IBO983053:IBU983153 ILL13:ILR63 IKZ65549:ILD65649 IKZ131085:ILD131185 IKZ196621:ILD196721 IKZ262157:ILD262257 IKZ327693:ILD327793 IKZ393229:ILD393329 IKZ458765:ILD458865 IKZ524301:ILD524401 IKZ589837:ILD589937 IKZ655373:ILD655473 IKZ720909:ILD721009 IKZ786445:ILD786545 IKZ851981:ILD852081 IKZ917517:ILD917617 IKZ983053:ILD983153 IUW13:IVA63 ILK65549:ILQ65649 ILK131085:ILQ131185 ILK196621:ILQ196721 ILK262157:ILQ262257 ILK327693:ILQ327793 ILK393229:ILQ393329 ILK458765:ILQ458865 ILK524301:ILQ524401 ILK589837:ILQ589937 ILK655373:ILQ655473 ILK720909:ILQ721009 ILK786445:ILQ786545 ILK851981:ILQ852081 ILK917517:ILQ917617 ILK983053:ILQ983153 IVH13:IVN63 IUV65549:IUZ65649 IUV131085:IUZ131185 IUV196621:IUZ196721 IUV262157:IUZ262257 IUV327693:IUZ327793 IUV393229:IUZ393329 IUV458765:IUZ458865 IUV524301:IUZ524401 IUV589837:IUZ589937 IUV655373:IUZ655473 IUV720909:IUZ721009 IUV786445:IUZ786545 IUV851981:IUZ852081 IUV917517:IUZ917617 IUV983053:IUZ983153 JES13:JEW63 IVG65549:IVM65649 IVG131085:IVM131185 IVG196621:IVM196721 IVG262157:IVM262257 IVG327693:IVM327793 IVG393229:IVM393329 IVG458765:IVM458865 IVG524301:IVM524401 IVG589837:IVM589937 IVG655373:IVM655473 IVG720909:IVM721009 IVG786445:IVM786545 IVG851981:IVM852081 IVG917517:IVM917617 IVG983053:IVM983153 JFD13:JFJ63 JER65549:JEV65649 JER131085:JEV131185 JER196621:JEV196721 JER262157:JEV262257 JER327693:JEV327793 JER393229:JEV393329 JER458765:JEV458865 JER524301:JEV524401 JER589837:JEV589937 JER655373:JEV655473 JER720909:JEV721009 JER786445:JEV786545 JER851981:JEV852081 JER917517:JEV917617 JER983053:JEV983153 JOO13:JOS63 JFC65549:JFI65649 JFC131085:JFI131185 JFC196621:JFI196721 JFC262157:JFI262257 JFC327693:JFI327793 JFC393229:JFI393329 JFC458765:JFI458865 JFC524301:JFI524401 JFC589837:JFI589937 JFC655373:JFI655473 JFC720909:JFI721009 JFC786445:JFI786545 JFC851981:JFI852081 JFC917517:JFI917617 JFC983053:JFI983153 JOZ13:JPF63 JON65549:JOR65649 JON131085:JOR131185 JON196621:JOR196721 JON262157:JOR262257 JON327693:JOR327793 JON393229:JOR393329 JON458765:JOR458865 JON524301:JOR524401 JON589837:JOR589937 JON655373:JOR655473 JON720909:JOR721009 JON786445:JOR786545 JON851981:JOR852081 JON917517:JOR917617 JON983053:JOR983153 JYK13:JYO63 JOY65549:JPE65649 JOY131085:JPE131185 JOY196621:JPE196721 JOY262157:JPE262257 JOY327693:JPE327793 JOY393229:JPE393329 JOY458765:JPE458865 JOY524301:JPE524401 JOY589837:JPE589937 JOY655373:JPE655473 JOY720909:JPE721009 JOY786445:JPE786545 JOY851981:JPE852081 JOY917517:JPE917617 JOY983053:JPE983153 JYV13:JZB63 JYJ65549:JYN65649 JYJ131085:JYN131185 JYJ196621:JYN196721 JYJ262157:JYN262257 JYJ327693:JYN327793 JYJ393229:JYN393329 JYJ458765:JYN458865 JYJ524301:JYN524401 JYJ589837:JYN589937 JYJ655373:JYN655473 JYJ720909:JYN721009 JYJ786445:JYN786545 JYJ851981:JYN852081 JYJ917517:JYN917617 JYJ983053:JYN983153 KIG13:KIK63 JYU65549:JZA65649 JYU131085:JZA131185 JYU196621:JZA196721 JYU262157:JZA262257 JYU327693:JZA327793 JYU393229:JZA393329 JYU458765:JZA458865 JYU524301:JZA524401 JYU589837:JZA589937 JYU655373:JZA655473 JYU720909:JZA721009 JYU786445:JZA786545 JYU851981:JZA852081 JYU917517:JZA917617 JYU983053:JZA983153 KIR13:KIX63 KIF65549:KIJ65649 KIF131085:KIJ131185 KIF196621:KIJ196721 KIF262157:KIJ262257 KIF327693:KIJ327793 KIF393229:KIJ393329 KIF458765:KIJ458865 KIF524301:KIJ524401 KIF589837:KIJ589937 KIF655373:KIJ655473 KIF720909:KIJ721009 KIF786445:KIJ786545 KIF851981:KIJ852081 KIF917517:KIJ917617 KIF983053:KIJ983153 KSC13:KSG63 KIQ65549:KIW65649 KIQ131085:KIW131185 KIQ196621:KIW196721 KIQ262157:KIW262257 KIQ327693:KIW327793 KIQ393229:KIW393329 KIQ458765:KIW458865 KIQ524301:KIW524401 KIQ589837:KIW589937 KIQ655373:KIW655473 KIQ720909:KIW721009 KIQ786445:KIW786545 KIQ851981:KIW852081 KIQ917517:KIW917617 KIQ983053:KIW983153 KSN13:KST63 KSB65549:KSF65649 KSB131085:KSF131185 KSB196621:KSF196721 KSB262157:KSF262257 KSB327693:KSF327793 KSB393229:KSF393329 KSB458765:KSF458865 KSB524301:KSF524401 KSB589837:KSF589937 KSB655373:KSF655473 KSB720909:KSF721009 KSB786445:KSF786545 KSB851981:KSF852081 KSB917517:KSF917617 KSB983053:KSF983153 LBY13:LCC63 KSM65549:KSS65649 KSM131085:KSS131185 KSM196621:KSS196721 KSM262157:KSS262257 KSM327693:KSS327793 KSM393229:KSS393329 KSM458765:KSS458865 KSM524301:KSS524401 KSM589837:KSS589937 KSM655373:KSS655473 KSM720909:KSS721009 KSM786445:KSS786545 KSM851981:KSS852081 KSM917517:KSS917617 KSM983053:KSS983153 LCJ13:LCP63 LBX65549:LCB65649 LBX131085:LCB131185 LBX196621:LCB196721 LBX262157:LCB262257 LBX327693:LCB327793 LBX393229:LCB393329 LBX458765:LCB458865 LBX524301:LCB524401 LBX589837:LCB589937 LBX655373:LCB655473 LBX720909:LCB721009 LBX786445:LCB786545 LBX851981:LCB852081 LBX917517:LCB917617 LBX983053:LCB983153 LLU13:LLY63 LCI65549:LCO65649 LCI131085:LCO131185 LCI196621:LCO196721 LCI262157:LCO262257 LCI327693:LCO327793 LCI393229:LCO393329 LCI458765:LCO458865 LCI524301:LCO524401 LCI589837:LCO589937 LCI655373:LCO655473 LCI720909:LCO721009 LCI786445:LCO786545 LCI851981:LCO852081 LCI917517:LCO917617 LCI983053:LCO983153 LMF13:LML63 LLT65549:LLX65649 LLT131085:LLX131185 LLT196621:LLX196721 LLT262157:LLX262257 LLT327693:LLX327793 LLT393229:LLX393329 LLT458765:LLX458865 LLT524301:LLX524401 LLT589837:LLX589937 LLT655373:LLX655473 LLT720909:LLX721009 LLT786445:LLX786545 LLT851981:LLX852081 LLT917517:LLX917617 LLT983053:LLX983153 LVQ13:LVU63 LME65549:LMK65649 LME131085:LMK131185 LME196621:LMK196721 LME262157:LMK262257 LME327693:LMK327793 LME393229:LMK393329 LME458765:LMK458865 LME524301:LMK524401 LME589837:LMK589937 LME655373:LMK655473 LME720909:LMK721009 LME786445:LMK786545 LME851981:LMK852081 LME917517:LMK917617 LME983053:LMK983153 LWB13:LWH63 LVP65549:LVT65649 LVP131085:LVT131185 LVP196621:LVT196721 LVP262157:LVT262257 LVP327693:LVT327793 LVP393229:LVT393329 LVP458765:LVT458865 LVP524301:LVT524401 LVP589837:LVT589937 LVP655373:LVT655473 LVP720909:LVT721009 LVP786445:LVT786545 LVP851981:LVT852081 LVP917517:LVT917617 LVP983053:LVT983153 MFM13:MFQ63 LWA65549:LWG65649 LWA131085:LWG131185 LWA196621:LWG196721 LWA262157:LWG262257 LWA327693:LWG327793 LWA393229:LWG393329 LWA458765:LWG458865 LWA524301:LWG524401 LWA589837:LWG589937 LWA655373:LWG655473 LWA720909:LWG721009 LWA786445:LWG786545 LWA851981:LWG852081 LWA917517:LWG917617 LWA983053:LWG983153 MFX13:MGD63 MFL65549:MFP65649 MFL131085:MFP131185 MFL196621:MFP196721 MFL262157:MFP262257 MFL327693:MFP327793 MFL393229:MFP393329 MFL458765:MFP458865 MFL524301:MFP524401 MFL589837:MFP589937 MFL655373:MFP655473 MFL720909:MFP721009 MFL786445:MFP786545 MFL851981:MFP852081 MFL917517:MFP917617 MFL983053:MFP983153 MPI13:MPM63 MFW65549:MGC65649 MFW131085:MGC131185 MFW196621:MGC196721 MFW262157:MGC262257 MFW327693:MGC327793 MFW393229:MGC393329 MFW458765:MGC458865 MFW524301:MGC524401 MFW589837:MGC589937 MFW655373:MGC655473 MFW720909:MGC721009 MFW786445:MGC786545 MFW851981:MGC852081 MFW917517:MGC917617 MFW983053:MGC983153 MPT13:MPZ63 MPH65549:MPL65649 MPH131085:MPL131185 MPH196621:MPL196721 MPH262157:MPL262257 MPH327693:MPL327793 MPH393229:MPL393329 MPH458765:MPL458865 MPH524301:MPL524401 MPH589837:MPL589937 MPH655373:MPL655473 MPH720909:MPL721009 MPH786445:MPL786545 MPH851981:MPL852081 MPH917517:MPL917617 MPH983053:MPL983153 MZE13:MZI63 MPS65549:MPY65649 MPS131085:MPY131185 MPS196621:MPY196721 MPS262157:MPY262257 MPS327693:MPY327793 MPS393229:MPY393329 MPS458765:MPY458865 MPS524301:MPY524401 MPS589837:MPY589937 MPS655373:MPY655473 MPS720909:MPY721009 MPS786445:MPY786545 MPS851981:MPY852081 MPS917517:MPY917617 MPS983053:MPY983153 MZP13:MZV63 MZD65549:MZH65649 MZD131085:MZH131185 MZD196621:MZH196721 MZD262157:MZH262257 MZD327693:MZH327793 MZD393229:MZH393329 MZD458765:MZH458865 MZD524301:MZH524401 MZD589837:MZH589937 MZD655373:MZH655473 MZD720909:MZH721009 MZD786445:MZH786545 MZD851981:MZH852081 MZD917517:MZH917617 MZD983053:MZH983153 NJA13:NJE63 MZO65549:MZU65649 MZO131085:MZU131185 MZO196621:MZU196721 MZO262157:MZU262257 MZO327693:MZU327793 MZO393229:MZU393329 MZO458765:MZU458865 MZO524301:MZU524401 MZO589837:MZU589937 MZO655373:MZU655473 MZO720909:MZU721009 MZO786445:MZU786545 MZO851981:MZU852081 MZO917517:MZU917617 MZO983053:MZU983153 NJL13:NJR63 NIZ65549:NJD65649 NIZ131085:NJD131185 NIZ196621:NJD196721 NIZ262157:NJD262257 NIZ327693:NJD327793 NIZ393229:NJD393329 NIZ458765:NJD458865 NIZ524301:NJD524401 NIZ589837:NJD589937 NIZ655373:NJD655473 NIZ720909:NJD721009 NIZ786445:NJD786545 NIZ851981:NJD852081 NIZ917517:NJD917617 NIZ983053:NJD983153 NSW13:NTA63 NJK65549:NJQ65649 NJK131085:NJQ131185 NJK196621:NJQ196721 NJK262157:NJQ262257 NJK327693:NJQ327793 NJK393229:NJQ393329 NJK458765:NJQ458865 NJK524301:NJQ524401 NJK589837:NJQ589937 NJK655373:NJQ655473 NJK720909:NJQ721009 NJK786445:NJQ786545 NJK851981:NJQ852081 NJK917517:NJQ917617 NJK983053:NJQ983153 NTH13:NTN63 NSV65549:NSZ65649 NSV131085:NSZ131185 NSV196621:NSZ196721 NSV262157:NSZ262257 NSV327693:NSZ327793 NSV393229:NSZ393329 NSV458765:NSZ458865 NSV524301:NSZ524401 NSV589837:NSZ589937 NSV655373:NSZ655473 NSV720909:NSZ721009 NSV786445:NSZ786545 NSV851981:NSZ852081 NSV917517:NSZ917617 NSV983053:NSZ983153 OCS13:OCW63 NTG65549:NTM65649 NTG131085:NTM131185 NTG196621:NTM196721 NTG262157:NTM262257 NTG327693:NTM327793 NTG393229:NTM393329 NTG458765:NTM458865 NTG524301:NTM524401 NTG589837:NTM589937 NTG655373:NTM655473 NTG720909:NTM721009 NTG786445:NTM786545 NTG851981:NTM852081 NTG917517:NTM917617 NTG983053:NTM983153 ODD13:ODJ63 OCR65549:OCV65649 OCR131085:OCV131185 OCR196621:OCV196721 OCR262157:OCV262257 OCR327693:OCV327793 OCR393229:OCV393329 OCR458765:OCV458865 OCR524301:OCV524401 OCR589837:OCV589937 OCR655373:OCV655473 OCR720909:OCV721009 OCR786445:OCV786545 OCR851981:OCV852081 OCR917517:OCV917617 OCR983053:OCV983153 OMO13:OMS63 ODC65549:ODI65649 ODC131085:ODI131185 ODC196621:ODI196721 ODC262157:ODI262257 ODC327693:ODI327793 ODC393229:ODI393329 ODC458765:ODI458865 ODC524301:ODI524401 ODC589837:ODI589937 ODC655373:ODI655473 ODC720909:ODI721009 ODC786445:ODI786545 ODC851981:ODI852081 ODC917517:ODI917617 ODC983053:ODI983153 OMZ13:ONF63 OMN65549:OMR65649 OMN131085:OMR131185 OMN196621:OMR196721 OMN262157:OMR262257 OMN327693:OMR327793 OMN393229:OMR393329 OMN458765:OMR458865 OMN524301:OMR524401 OMN589837:OMR589937 OMN655373:OMR655473 OMN720909:OMR721009 OMN786445:OMR786545 OMN851981:OMR852081 OMN917517:OMR917617 OMN983053:OMR983153 OWK13:OWO63 OMY65549:ONE65649 OMY131085:ONE131185 OMY196621:ONE196721 OMY262157:ONE262257 OMY327693:ONE327793 OMY393229:ONE393329 OMY458765:ONE458865 OMY524301:ONE524401 OMY589837:ONE589937 OMY655373:ONE655473 OMY720909:ONE721009 OMY786445:ONE786545 OMY851981:ONE852081 OMY917517:ONE917617 OMY983053:ONE983153 OWV13:OXB63 OWJ65549:OWN65649 OWJ131085:OWN131185 OWJ196621:OWN196721 OWJ262157:OWN262257 OWJ327693:OWN327793 OWJ393229:OWN393329 OWJ458765:OWN458865 OWJ524301:OWN524401 OWJ589837:OWN589937 OWJ655373:OWN655473 OWJ720909:OWN721009 OWJ786445:OWN786545 OWJ851981:OWN852081 OWJ917517:OWN917617 OWJ983053:OWN983153 PGG13:PGK63 OWU65549:OXA65649 OWU131085:OXA131185 OWU196621:OXA196721 OWU262157:OXA262257 OWU327693:OXA327793 OWU393229:OXA393329 OWU458765:OXA458865 OWU524301:OXA524401 OWU589837:OXA589937 OWU655373:OXA655473 OWU720909:OXA721009 OWU786445:OXA786545 OWU851981:OXA852081 OWU917517:OXA917617 OWU983053:OXA983153 PGR13:PGX63 PGF65549:PGJ65649 PGF131085:PGJ131185 PGF196621:PGJ196721 PGF262157:PGJ262257 PGF327693:PGJ327793 PGF393229:PGJ393329 PGF458765:PGJ458865 PGF524301:PGJ524401 PGF589837:PGJ589937 PGF655373:PGJ655473 PGF720909:PGJ721009 PGF786445:PGJ786545 PGF851981:PGJ852081 PGF917517:PGJ917617 PGF983053:PGJ983153 PQC13:PQG63 PGQ65549:PGW65649 PGQ131085:PGW131185 PGQ196621:PGW196721 PGQ262157:PGW262257 PGQ327693:PGW327793 PGQ393229:PGW393329 PGQ458765:PGW458865 PGQ524301:PGW524401 PGQ589837:PGW589937 PGQ655373:PGW655473 PGQ720909:PGW721009 PGQ786445:PGW786545 PGQ851981:PGW852081 PGQ917517:PGW917617 PGQ983053:PGW983153 PQN13:PQT63 PQB65549:PQF65649 PQB131085:PQF131185 PQB196621:PQF196721 PQB262157:PQF262257 PQB327693:PQF327793 PQB393229:PQF393329 PQB458765:PQF458865 PQB524301:PQF524401 PQB589837:PQF589937 PQB655373:PQF655473 PQB720909:PQF721009 PQB786445:PQF786545 PQB851981:PQF852081 PQB917517:PQF917617 PQB983053:PQF983153 PZY13:QAC63 PQM65549:PQS65649 PQM131085:PQS131185 PQM196621:PQS196721 PQM262157:PQS262257 PQM327693:PQS327793 PQM393229:PQS393329 PQM458765:PQS458865 PQM524301:PQS524401 PQM589837:PQS589937 PQM655373:PQS655473 PQM720909:PQS721009 PQM786445:PQS786545 PQM851981:PQS852081 PQM917517:PQS917617 PQM983053:PQS983153 QAJ13:QAP63 PZX65549:QAB65649 PZX131085:QAB131185 PZX196621:QAB196721 PZX262157:QAB262257 PZX327693:QAB327793 PZX393229:QAB393329 PZX458765:QAB458865 PZX524301:QAB524401 PZX589837:QAB589937 PZX655373:QAB655473 PZX720909:QAB721009 PZX786445:QAB786545 PZX851981:QAB852081 PZX917517:QAB917617 PZX983053:QAB983153 QJU13:QJY63 QAI65549:QAO65649 QAI131085:QAO131185 QAI196621:QAO196721 QAI262157:QAO262257 QAI327693:QAO327793 QAI393229:QAO393329 QAI458765:QAO458865 QAI524301:QAO524401 QAI589837:QAO589937 QAI655373:QAO655473 QAI720909:QAO721009 QAI786445:QAO786545 QAI851981:QAO852081 QAI917517:QAO917617 QAI983053:QAO983153 QKF13:QKL63 QJT65549:QJX65649 QJT131085:QJX131185 QJT196621:QJX196721 QJT262157:QJX262257 QJT327693:QJX327793 QJT393229:QJX393329 QJT458765:QJX458865 QJT524301:QJX524401 QJT589837:QJX589937 QJT655373:QJX655473 QJT720909:QJX721009 QJT786445:QJX786545 QJT851981:QJX852081 QJT917517:QJX917617 QJT983053:QJX983153 QTQ13:QTU63 QKE65549:QKK65649 QKE131085:QKK131185 QKE196621:QKK196721 QKE262157:QKK262257 QKE327693:QKK327793 QKE393229:QKK393329 QKE458765:QKK458865 QKE524301:QKK524401 QKE589837:QKK589937 QKE655373:QKK655473 QKE720909:QKK721009 QKE786445:QKK786545 QKE851981:QKK852081 QKE917517:QKK917617 QKE983053:QKK983153 QUB13:QUH63 QTP65549:QTT65649 QTP131085:QTT131185 QTP196621:QTT196721 QTP262157:QTT262257 QTP327693:QTT327793 QTP393229:QTT393329 QTP458765:QTT458865 QTP524301:QTT524401 QTP589837:QTT589937 QTP655373:QTT655473 QTP720909:QTT721009 QTP786445:QTT786545 QTP851981:QTT852081 QTP917517:QTT917617 QTP983053:QTT983153 RDM13:RDQ63 QUA65549:QUG65649 QUA131085:QUG131185 QUA196621:QUG196721 QUA262157:QUG262257 QUA327693:QUG327793 QUA393229:QUG393329 QUA458765:QUG458865 QUA524301:QUG524401 QUA589837:QUG589937 QUA655373:QUG655473 QUA720909:QUG721009 QUA786445:QUG786545 QUA851981:QUG852081 QUA917517:QUG917617 QUA983053:QUG983153 RDX13:RED63 RDL65549:RDP65649 RDL131085:RDP131185 RDL196621:RDP196721 RDL262157:RDP262257 RDL327693:RDP327793 RDL393229:RDP393329 RDL458765:RDP458865 RDL524301:RDP524401 RDL589837:RDP589937 RDL655373:RDP655473 RDL720909:RDP721009 RDL786445:RDP786545 RDL851981:RDP852081 RDL917517:RDP917617 RDL983053:RDP983153 RNI13:RNM63 RDW65549:REC65649 RDW131085:REC131185 RDW196621:REC196721 RDW262157:REC262257 RDW327693:REC327793 RDW393229:REC393329 RDW458765:REC458865 RDW524301:REC524401 RDW589837:REC589937 RDW655373:REC655473 RDW720909:REC721009 RDW786445:REC786545 RDW851981:REC852081 RDW917517:REC917617 RDW983053:REC983153 RNT13:RNZ63 RNH65549:RNL65649 RNH131085:RNL131185 RNH196621:RNL196721 RNH262157:RNL262257 RNH327693:RNL327793 RNH393229:RNL393329 RNH458765:RNL458865 RNH524301:RNL524401 RNH589837:RNL589937 RNH655373:RNL655473 RNH720909:RNL721009 RNH786445:RNL786545 RNH851981:RNL852081 RNH917517:RNL917617 RNH983053:RNL983153 RXE13:RXI63 RNS65549:RNY65649 RNS131085:RNY131185 RNS196621:RNY196721 RNS262157:RNY262257 RNS327693:RNY327793 RNS393229:RNY393329 RNS458765:RNY458865 RNS524301:RNY524401 RNS589837:RNY589937 RNS655373:RNY655473 RNS720909:RNY721009 RNS786445:RNY786545 RNS851981:RNY852081 RNS917517:RNY917617 RNS983053:RNY983153 RXP13:RXV63 RXD65549:RXH65649 RXD131085:RXH131185 RXD196621:RXH196721 RXD262157:RXH262257 RXD327693:RXH327793 RXD393229:RXH393329 RXD458765:RXH458865 RXD524301:RXH524401 RXD589837:RXH589937 RXD655373:RXH655473 RXD720909:RXH721009 RXD786445:RXH786545 RXD851981:RXH852081 RXD917517:RXH917617 RXD983053:RXH983153 SHA13:SHE63 RXO65549:RXU65649 RXO131085:RXU131185 RXO196621:RXU196721 RXO262157:RXU262257 RXO327693:RXU327793 RXO393229:RXU393329 RXO458765:RXU458865 RXO524301:RXU524401 RXO589837:RXU589937 RXO655373:RXU655473 RXO720909:RXU721009 RXO786445:RXU786545 RXO851981:RXU852081 RXO917517:RXU917617 RXO983053:RXU983153 SHL13:SHR63 SGZ65549:SHD65649 SGZ131085:SHD131185 SGZ196621:SHD196721 SGZ262157:SHD262257 SGZ327693:SHD327793 SGZ393229:SHD393329 SGZ458765:SHD458865 SGZ524301:SHD524401 SGZ589837:SHD589937 SGZ655373:SHD655473 SGZ720909:SHD721009 SGZ786445:SHD786545 SGZ851981:SHD852081 SGZ917517:SHD917617 SGZ983053:SHD983153 SQW13:SRA63 SHK65549:SHQ65649 SHK131085:SHQ131185 SHK196621:SHQ196721 SHK262157:SHQ262257 SHK327693:SHQ327793 SHK393229:SHQ393329 SHK458765:SHQ458865 SHK524301:SHQ524401 SHK589837:SHQ589937 SHK655373:SHQ655473 SHK720909:SHQ721009 SHK786445:SHQ786545 SHK851981:SHQ852081 SHK917517:SHQ917617 SHK983053:SHQ983153 SRH13:SRN63 SQV65549:SQZ65649 SQV131085:SQZ131185 SQV196621:SQZ196721 SQV262157:SQZ262257 SQV327693:SQZ327793 SQV393229:SQZ393329 SQV458765:SQZ458865 SQV524301:SQZ524401 SQV589837:SQZ589937 SQV655373:SQZ655473 SQV720909:SQZ721009 SQV786445:SQZ786545 SQV851981:SQZ852081 SQV917517:SQZ917617 SQV983053:SQZ983153 TAS13:TAW63 SRG65549:SRM65649 SRG131085:SRM131185 SRG196621:SRM196721 SRG262157:SRM262257 SRG327693:SRM327793 SRG393229:SRM393329 SRG458765:SRM458865 SRG524301:SRM524401 SRG589837:SRM589937 SRG655373:SRM655473 SRG720909:SRM721009 SRG786445:SRM786545 SRG851981:SRM852081 SRG917517:SRM917617 SRG983053:SRM983153 TBD13:TBJ63 TAR65549:TAV65649 TAR131085:TAV131185 TAR196621:TAV196721 TAR262157:TAV262257 TAR327693:TAV327793 TAR393229:TAV393329 TAR458765:TAV458865 TAR524301:TAV524401 TAR589837:TAV589937 TAR655373:TAV655473 TAR720909:TAV721009 TAR786445:TAV786545 TAR851981:TAV852081 TAR917517:TAV917617 TAR983053:TAV983153 TKO13:TKS63 TBC65549:TBI65649 TBC131085:TBI131185 TBC196621:TBI196721 TBC262157:TBI262257 TBC327693:TBI327793 TBC393229:TBI393329 TBC458765:TBI458865 TBC524301:TBI524401 TBC589837:TBI589937 TBC655373:TBI655473 TBC720909:TBI721009 TBC786445:TBI786545 TBC851981:TBI852081 TBC917517:TBI917617 TBC983053:TBI983153 TKZ13:TLF63 TKN65549:TKR65649 TKN131085:TKR131185 TKN196621:TKR196721 TKN262157:TKR262257 TKN327693:TKR327793 TKN393229:TKR393329 TKN458765:TKR458865 TKN524301:TKR524401 TKN589837:TKR589937 TKN655373:TKR655473 TKN720909:TKR721009 TKN786445:TKR786545 TKN851981:TKR852081 TKN917517:TKR917617 TKN983053:TKR983153 TUK13:TUO63 TKY65549:TLE65649 TKY131085:TLE131185 TKY196621:TLE196721 TKY262157:TLE262257 TKY327693:TLE327793 TKY393229:TLE393329 TKY458765:TLE458865 TKY524301:TLE524401 TKY589837:TLE589937 TKY655373:TLE655473 TKY720909:TLE721009 TKY786445:TLE786545 TKY851981:TLE852081 TKY917517:TLE917617 TKY983053:TLE983153 TUV13:TVB63 TUJ65549:TUN65649 TUJ131085:TUN131185 TUJ196621:TUN196721 TUJ262157:TUN262257 TUJ327693:TUN327793 TUJ393229:TUN393329 TUJ458765:TUN458865 TUJ524301:TUN524401 TUJ589837:TUN589937 TUJ655373:TUN655473 TUJ720909:TUN721009 TUJ786445:TUN786545 TUJ851981:TUN852081 TUJ917517:TUN917617 TUJ983053:TUN983153 UEG13:UEK63 TUU65549:TVA65649 TUU131085:TVA131185 TUU196621:TVA196721 TUU262157:TVA262257 TUU327693:TVA327793 TUU393229:TVA393329 TUU458765:TVA458865 TUU524301:TVA524401 TUU589837:TVA589937 TUU655373:TVA655473 TUU720909:TVA721009 TUU786445:TVA786545 TUU851981:TVA852081 TUU917517:TVA917617 TUU983053:TVA983153 UER13:UEX63 UEF65549:UEJ65649 UEF131085:UEJ131185 UEF196621:UEJ196721 UEF262157:UEJ262257 UEF327693:UEJ327793 UEF393229:UEJ393329 UEF458765:UEJ458865 UEF524301:UEJ524401 UEF589837:UEJ589937 UEF655373:UEJ655473 UEF720909:UEJ721009 UEF786445:UEJ786545 UEF851981:UEJ852081 UEF917517:UEJ917617 UEF983053:UEJ983153 UOC13:UOG63 UEQ65549:UEW65649 UEQ131085:UEW131185 UEQ196621:UEW196721 UEQ262157:UEW262257 UEQ327693:UEW327793 UEQ393229:UEW393329 UEQ458765:UEW458865 UEQ524301:UEW524401 UEQ589837:UEW589937 UEQ655373:UEW655473 UEQ720909:UEW721009 UEQ786445:UEW786545 UEQ851981:UEW852081 UEQ917517:UEW917617 UEQ983053:UEW983153 UON13:UOT63 UOB65549:UOF65649 UOB131085:UOF131185 UOB196621:UOF196721 UOB262157:UOF262257 UOB327693:UOF327793 UOB393229:UOF393329 UOB458765:UOF458865 UOB524301:UOF524401 UOB589837:UOF589937 UOB655373:UOF655473 UOB720909:UOF721009 UOB786445:UOF786545 UOB851981:UOF852081 UOB917517:UOF917617 UOB983053:UOF983153 UXY13:UYC63 UOM65549:UOS65649 UOM131085:UOS131185 UOM196621:UOS196721 UOM262157:UOS262257 UOM327693:UOS327793 UOM393229:UOS393329 UOM458765:UOS458865 UOM524301:UOS524401 UOM589837:UOS589937 UOM655373:UOS655473 UOM720909:UOS721009 UOM786445:UOS786545 UOM851981:UOS852081 UOM917517:UOS917617 UOM983053:UOS983153 UYJ13:UYP63 UXX65549:UYB65649 UXX131085:UYB131185 UXX196621:UYB196721 UXX262157:UYB262257 UXX327693:UYB327793 UXX393229:UYB393329 UXX458765:UYB458865 UXX524301:UYB524401 UXX589837:UYB589937 UXX655373:UYB655473 UXX720909:UYB721009 UXX786445:UYB786545 UXX851981:UYB852081 UXX917517:UYB917617 UXX983053:UYB983153 VHU13:VHY63 UYI65549:UYO65649 UYI131085:UYO131185 UYI196621:UYO196721 UYI262157:UYO262257 UYI327693:UYO327793 UYI393229:UYO393329 UYI458765:UYO458865 UYI524301:UYO524401 UYI589837:UYO589937 UYI655373:UYO655473 UYI720909:UYO721009 UYI786445:UYO786545 UYI851981:UYO852081 UYI917517:UYO917617 UYI983053:UYO983153 VIF13:VIL63 VHT65549:VHX65649 VHT131085:VHX131185 VHT196621:VHX196721 VHT262157:VHX262257 VHT327693:VHX327793 VHT393229:VHX393329 VHT458765:VHX458865 VHT524301:VHX524401 VHT589837:VHX589937 VHT655373:VHX655473 VHT720909:VHX721009 VHT786445:VHX786545 VHT851981:VHX852081 VHT917517:VHX917617 VHT983053:VHX983153 VRQ13:VRU63 VIE65549:VIK65649 VIE131085:VIK131185 VIE196621:VIK196721 VIE262157:VIK262257 VIE327693:VIK327793 VIE393229:VIK393329 VIE458765:VIK458865 VIE524301:VIK524401 VIE589837:VIK589937 VIE655373:VIK655473 VIE720909:VIK721009 VIE786445:VIK786545 VIE851981:VIK852081 VIE917517:VIK917617 VIE983053:VIK983153 VSB13:VSH63 VRP65549:VRT65649 VRP131085:VRT131185 VRP196621:VRT196721 VRP262157:VRT262257 VRP327693:VRT327793 VRP393229:VRT393329 VRP458765:VRT458865 VRP524301:VRT524401 VRP589837:VRT589937 VRP655373:VRT655473 VRP720909:VRT721009 VRP786445:VRT786545 VRP851981:VRT852081 VRP917517:VRT917617 VRP983053:VRT983153 WBM13:WBQ63 VSA65549:VSG65649 VSA131085:VSG131185 VSA196621:VSG196721 VSA262157:VSG262257 VSA327693:VSG327793 VSA393229:VSG393329 VSA458765:VSG458865 VSA524301:VSG524401 VSA589837:VSG589937 VSA655373:VSG655473 VSA720909:VSG721009 VSA786445:VSG786545 VSA851981:VSG852081 VSA917517:VSG917617 VSA983053:VSG983153 WBX13:WCD63 WBL65549:WBP65649 WBL131085:WBP131185 WBL196621:WBP196721 WBL262157:WBP262257 WBL327693:WBP327793 WBL393229:WBP393329 WBL458765:WBP458865 WBL524301:WBP524401 WBL589837:WBP589937 WBL655373:WBP655473 WBL720909:WBP721009 WBL786445:WBP786545 WBL851981:WBP852081 WBL917517:WBP917617 WBL983053:WBP983153 WLI13:WLM63 WBW65549:WCC65649 WBW131085:WCC131185 WBW196621:WCC196721 WBW262157:WCC262257 WBW327693:WCC327793 WBW393229:WCC393329 WBW458765:WCC458865 WBW524301:WCC524401 WBW589837:WCC589937 WBW655373:WCC655473 WBW720909:WCC721009 WBW786445:WCC786545 WBW851981:WCC852081 WBW917517:WCC917617 WBW983053:WCC983153 WLT13:WLZ63 WLH65549:WLL65649 WLH131085:WLL131185 WLH196621:WLL196721 WLH262157:WLL262257 WLH327693:WLL327793 WLH393229:WLL393329 WLH458765:WLL458865 WLH524301:WLL524401 WLH589837:WLL589937 WLH655373:WLL655473 WLH720909:WLL721009 WLH786445:WLL786545 WLH851981:WLL852081 WLH917517:WLL917617 WLH983053:WLL983153 WVE13:WVI63 WLS65549:WLY65649 WLS131085:WLY131185 WLS196621:WLY196721 WLS262157:WLY262257 WLS327693:WLY327793 WLS393229:WLY393329 WLS458765:WLY458865 WLS524301:WLY524401 WLS589837:WLY589937 WLS655373:WLY655473 WLS720909:WLY721009 WLS786445:WLY786545 WLS851981:WLY852081 WLS917517:WLY917617 WLS983053:WLY983153 WVP13:WVV63 WVD65549:WVH65649 WVD131085:WVH131185 WVD196621:WVH196721 WVD262157:WVH262257 WVD327693:WVH327793 WVD393229:WVH393329 WVD458765:WVH458865 WVD524301:WVH524401 WVD589837:WVH589937 WVD655373:WVH655473 WVD720909:WVH721009 WVD786445:WVH786545 WVD851981:WVH852081 WVD917517:WVH917617 WVD983053:WVH983153 WVO983053:WVU983153 WVO65549:WVU65649 WVO131085:WVU131185 WVO196621:WVU196721 WVO262157:WVU262257 WVO327693:WVU327793 WVO393229:WVU393329 WVO458765:WVU458865 WVO524301:WVU524401 WVO589837:WVU589937 WVO655373:WVU655473 WVO720909:WVU721009 WVO786445:WVU786545 WVO851981:WVU852081 WVO917517:WVU917617 IS13:IW63 WVP66:WVV114 WVE66:WVI114 WLT66:WLZ114 WLI66:WLM114 WBX66:WCD114 WBM66:WBQ114 VSB66:VSH114 VRQ66:VRU114 VIF66:VIL114 VHU66:VHY114 UYJ66:UYP114 UXY66:UYC114 UON66:UOT114 UOC66:UOG114 UER66:UEX114 UEG66:UEK114 TUV66:TVB114 TUK66:TUO114 TKZ66:TLF114 TKO66:TKS114 TBD66:TBJ114 TAS66:TAW114 SRH66:SRN114 SQW66:SRA114 SHL66:SHR114 SHA66:SHE114 RXP66:RXV114 RXE66:RXI114 RNT66:RNZ114 RNI66:RNM114 RDX66:RED114 RDM66:RDQ114 QUB66:QUH114 QTQ66:QTU114 QKF66:QKL114 QJU66:QJY114 QAJ66:QAP114 PZY66:QAC114 PQN66:PQT114 PQC66:PQG114 PGR66:PGX114 PGG66:PGK114 OWV66:OXB114 OWK66:OWO114 OMZ66:ONF114 OMO66:OMS114 ODD66:ODJ114 OCS66:OCW114 NTH66:NTN114 NSW66:NTA114 NJL66:NJR114 NJA66:NJE114 MZP66:MZV114 MZE66:MZI114 MPT66:MPZ114 MPI66:MPM114 MFX66:MGD114 MFM66:MFQ114 LWB66:LWH114 LVQ66:LVU114 LMF66:LML114 LLU66:LLY114 LCJ66:LCP114 LBY66:LCC114 KSN66:KST114 KSC66:KSG114 KIR66:KIX114 KIG66:KIK114 JYV66:JZB114 JYK66:JYO114 JOZ66:JPF114 JOO66:JOS114 JFD66:JFJ114 JES66:JEW114 IVH66:IVN114 IUW66:IVA114 ILL66:ILR114 ILA66:ILE114 IBP66:IBV114 IBE66:IBI114 HRT66:HRZ114 HRI66:HRM114 HHX66:HID114 HHM66:HHQ114 GYB66:GYH114 GXQ66:GXU114 GOF66:GOL114 GNU66:GNY114 GEJ66:GEP114 GDY66:GEC114 FUN66:FUT114 FUC66:FUG114 FKR66:FKX114 FKG66:FKK114 FAV66:FBB114 FAK66:FAO114 EQZ66:ERF114 EQO66:EQS114 EHD66:EHJ114 EGS66:EGW114 DXH66:DXN114 DWW66:DXA114 DNL66:DNR114 DNA66:DNE114 DDP66:DDV114 DDE66:DDI114 CTT66:CTZ114 CTI66:CTM114 CJX66:CKD114 CJM66:CJQ114 CAB66:CAH114 BZQ66:BZU114 BQF66:BQL114 BPU66:BPY114 BGJ66:BGP114 BFY66:BGC114 AWN66:AWT114 AWC66:AWG114 AMR66:AMX114 AMG66:AMK114 ACV66:ADB114 ACK66:ACO114 SZ66:TF114 SO66:SS114 JD66:JJ114 IS66:IW114" xr:uid="{BA7D4DD0-CEF9-473C-A7C1-41D01C6CD5C8}">
      <formula1>#REF!</formula1>
    </dataValidation>
    <dataValidation type="whole" operator="lessThanOrEqual" allowBlank="1" showInputMessage="1" showErrorMessage="1" error="INPUT NUMBER LESS THAN OR EQUAL THE HPS" prompt="Encode learner's raw score." sqref="L13:N63 D13:H63 L66:N114 D66:H114" xr:uid="{08249EC3-2796-467D-B2B6-A2E2358B5A47}">
      <formula1>D$10</formula1>
    </dataValidation>
    <dataValidation type="whole" operator="lessThanOrEqual" allowBlank="1" showInputMessage="1" showErrorMessage="1" error="INPUT NUMBER LESS THAN OR EQUAL THE HPS" prompt="Encode Learners' Raw Score" sqref="S13:S63 S66:S114" xr:uid="{08E85D84-9791-4727-A183-E8AA80BAD127}">
      <formula1>$S$10</formula1>
    </dataValidation>
    <dataValidation type="whole" operator="lessThanOrEqual" allowBlank="1" showInputMessage="1" showErrorMessage="1" error="INPUT NUMBER LESS THAN OR EQUAL THE HPS" prompt="Encode Learners' Raw Score" sqref="R13:R63 R66:R114" xr:uid="{AE6CEA31-088D-479F-9C5B-A6982B239D4C}">
      <formula1>$R$10</formula1>
    </dataValidation>
    <dataValidation type="whole" operator="lessThanOrEqual" allowBlank="1" showInputMessage="1" showErrorMessage="1" error="INPUT NUMBER LESS THAN OR EQUAL THE HPS" prompt="Encode learner's raw score" sqref="T13:T63 T66:T114"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7" right="0.7" top="0.75" bottom="0.75" header="0.3" footer="0.3"/>
  <rowBreaks count="1" manualBreakCount="1">
    <brk id="63" max="2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DCBA-87A9-4969-9CAF-9A9FEDF7A07D}">
  <sheetPr>
    <tabColor rgb="FFFF9933"/>
  </sheetPr>
  <dimension ref="A1:BH120"/>
  <sheetViews>
    <sheetView showGridLines="0" topLeftCell="A87" zoomScale="85" zoomScaleNormal="85" workbookViewId="0">
      <selection activeCell="C23" sqref="C23"/>
    </sheetView>
  </sheetViews>
  <sheetFormatPr defaultColWidth="4.7109375" defaultRowHeight="15"/>
  <cols>
    <col min="1" max="1" width="9.425781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240"/>
      <c r="B1" s="240"/>
      <c r="C1" s="240"/>
      <c r="D1" s="354" t="s">
        <v>0</v>
      </c>
      <c r="E1" s="354"/>
      <c r="F1" s="354"/>
      <c r="G1" s="354"/>
      <c r="H1" s="354"/>
      <c r="I1" s="354"/>
      <c r="J1" s="354"/>
      <c r="K1" s="354"/>
      <c r="L1" s="354"/>
      <c r="M1" s="240"/>
      <c r="N1" s="240"/>
      <c r="O1" s="354" t="e" vm="3">
        <f>INPUT!AH2</f>
        <v>#VALUE!</v>
      </c>
      <c r="P1" s="354"/>
      <c r="Q1" s="354"/>
      <c r="R1" s="354"/>
      <c r="S1" s="354"/>
      <c r="T1" s="354"/>
      <c r="U1" s="240"/>
      <c r="V1" s="240"/>
      <c r="W1" s="240"/>
      <c r="X1" s="240"/>
      <c r="Y1" s="6"/>
    </row>
    <row r="2" spans="1:50" ht="15" customHeight="1">
      <c r="A2" s="240"/>
      <c r="B2" s="354" t="e" vm="3">
        <f>INPUT!AC2</f>
        <v>#VALUE!</v>
      </c>
      <c r="C2" s="240"/>
      <c r="D2" s="354"/>
      <c r="E2" s="354"/>
      <c r="F2" s="354"/>
      <c r="G2" s="354"/>
      <c r="H2" s="354"/>
      <c r="I2" s="354"/>
      <c r="J2" s="354"/>
      <c r="K2" s="354"/>
      <c r="L2" s="354"/>
      <c r="M2" s="240"/>
      <c r="N2" s="240"/>
      <c r="O2" s="354"/>
      <c r="P2" s="354"/>
      <c r="Q2" s="354"/>
      <c r="R2" s="354"/>
      <c r="S2" s="354"/>
      <c r="T2" s="354"/>
      <c r="U2" s="240"/>
      <c r="V2" s="240"/>
      <c r="W2" s="240"/>
      <c r="X2" s="240"/>
      <c r="Y2" s="6"/>
    </row>
    <row r="3" spans="1:50" ht="15" customHeight="1">
      <c r="A3" s="124"/>
      <c r="B3" s="354"/>
      <c r="C3" s="124"/>
      <c r="D3" s="124"/>
      <c r="E3" s="124"/>
      <c r="F3" s="124"/>
      <c r="G3" s="124"/>
      <c r="H3" s="124"/>
      <c r="I3" s="124"/>
      <c r="J3" s="124"/>
      <c r="K3" s="124"/>
      <c r="L3" s="124"/>
      <c r="M3" s="124"/>
      <c r="N3" s="124"/>
      <c r="O3" s="354"/>
      <c r="P3" s="354"/>
      <c r="Q3" s="354"/>
      <c r="R3" s="354"/>
      <c r="S3" s="354"/>
      <c r="T3" s="354"/>
      <c r="U3" s="124"/>
      <c r="V3" s="124"/>
      <c r="W3" s="124"/>
      <c r="X3" s="124"/>
      <c r="Y3" s="6"/>
    </row>
    <row r="4" spans="1:50" ht="21" customHeight="1">
      <c r="A4" s="47"/>
      <c r="B4" s="354"/>
      <c r="C4" s="161" t="s">
        <v>2</v>
      </c>
      <c r="D4" s="332">
        <f>INPUT!H4</f>
        <v>10</v>
      </c>
      <c r="E4" s="334"/>
      <c r="F4" s="351" t="s">
        <v>3</v>
      </c>
      <c r="G4" s="352"/>
      <c r="H4" s="353"/>
      <c r="I4" s="332" t="str">
        <f>INPUT!M4</f>
        <v>CDO</v>
      </c>
      <c r="J4" s="333"/>
      <c r="K4" s="333"/>
      <c r="L4" s="334"/>
      <c r="M4" s="50"/>
      <c r="N4" s="8"/>
      <c r="O4" s="354"/>
      <c r="P4" s="354"/>
      <c r="Q4" s="354"/>
      <c r="R4" s="354"/>
      <c r="S4" s="354"/>
      <c r="T4" s="354"/>
      <c r="U4" s="122"/>
      <c r="V4" s="51"/>
      <c r="W4" s="51"/>
      <c r="X4" s="13"/>
      <c r="Y4" s="13"/>
      <c r="Z4" s="12"/>
      <c r="AA4" s="12"/>
      <c r="AB4" s="12"/>
      <c r="AC4" s="12"/>
    </row>
    <row r="5" spans="1:50" ht="21" customHeight="1">
      <c r="A5" s="47"/>
      <c r="B5" s="354"/>
      <c r="C5" s="161" t="s">
        <v>5</v>
      </c>
      <c r="D5" s="332" t="str">
        <f>INPUT!H5</f>
        <v>{school_name}</v>
      </c>
      <c r="E5" s="333"/>
      <c r="F5" s="333"/>
      <c r="G5" s="333"/>
      <c r="H5" s="333"/>
      <c r="I5" s="333"/>
      <c r="J5" s="333"/>
      <c r="K5" s="333"/>
      <c r="L5" s="334"/>
      <c r="M5" s="50"/>
      <c r="N5" s="271" t="s">
        <v>6</v>
      </c>
      <c r="O5" s="335"/>
      <c r="P5" s="336">
        <f>INPUT!T5</f>
        <v>405198</v>
      </c>
      <c r="Q5" s="337"/>
      <c r="R5" s="338"/>
      <c r="S5" s="339" t="s">
        <v>7</v>
      </c>
      <c r="T5" s="314"/>
      <c r="U5" s="314"/>
      <c r="V5" s="340"/>
      <c r="W5" s="336" t="str">
        <f>INPUT!Z5</f>
        <v>{school_year}</v>
      </c>
      <c r="X5" s="338"/>
      <c r="Y5" s="13"/>
      <c r="Z5" s="12"/>
      <c r="AA5" s="12"/>
      <c r="AB5" s="12"/>
      <c r="AC5" s="12"/>
    </row>
    <row r="6" spans="1:50" ht="14.65" customHeight="1" thickBot="1">
      <c r="B6" s="241"/>
    </row>
    <row r="7" spans="1:50" ht="23.25" customHeight="1" thickBot="1">
      <c r="A7" s="357" t="s">
        <v>36</v>
      </c>
      <c r="B7" s="358"/>
      <c r="C7" s="359"/>
      <c r="D7" s="170" t="s">
        <v>8</v>
      </c>
      <c r="E7" s="171"/>
      <c r="F7" s="170"/>
      <c r="G7" s="169"/>
      <c r="H7" s="169"/>
      <c r="I7" s="341" t="str">
        <f>INPUT!K7</f>
        <v>{class}</v>
      </c>
      <c r="J7" s="341"/>
      <c r="K7" s="342"/>
      <c r="L7" s="343" t="s">
        <v>9</v>
      </c>
      <c r="M7" s="279"/>
      <c r="N7" s="279"/>
      <c r="O7" s="344" t="str">
        <f>INPUT!R7</f>
        <v>{subject_teacher}</v>
      </c>
      <c r="P7" s="344"/>
      <c r="Q7" s="345"/>
      <c r="R7" s="346" t="s">
        <v>10</v>
      </c>
      <c r="S7" s="347"/>
      <c r="T7" s="347"/>
      <c r="U7" s="344" t="str">
        <f>INPUT!Z7</f>
        <v>{subject_name}</v>
      </c>
      <c r="V7" s="344"/>
      <c r="W7" s="345"/>
      <c r="X7" s="172"/>
      <c r="Y7" s="6"/>
    </row>
    <row r="8" spans="1:50" s="4" customFormat="1" ht="46.9" customHeight="1">
      <c r="A8" s="365"/>
      <c r="B8" s="367" t="s">
        <v>70</v>
      </c>
      <c r="C8" s="369" t="s">
        <v>11</v>
      </c>
      <c r="D8" s="371" t="str">
        <f>INPUT!AD7 &amp; " (" &amp; TEXT(INPUT!AL7, "0%") &amp; ")"</f>
        <v>WRITTEN / ORAL WORKS (20%)</v>
      </c>
      <c r="E8" s="372"/>
      <c r="F8" s="372"/>
      <c r="G8" s="372"/>
      <c r="H8" s="372"/>
      <c r="I8" s="372"/>
      <c r="J8" s="372"/>
      <c r="K8" s="373"/>
      <c r="L8" s="348" t="str">
        <f>INPUT!AD8 &amp; " (" &amp; TEXT(INPUT!AL8, "0%") &amp; ")"</f>
        <v>PRODUCT / PERFORMANCE TASKS (80%)</v>
      </c>
      <c r="M8" s="349"/>
      <c r="N8" s="349"/>
      <c r="O8" s="349"/>
      <c r="P8" s="349"/>
      <c r="Q8" s="350"/>
      <c r="R8" s="348" t="str">
        <f>INPUT!AD9 &amp; " (" &amp; TEXT(INPUT!AL9, "0%") &amp; ")"</f>
        <v>PLACEHOLDER (20%)</v>
      </c>
      <c r="S8" s="349"/>
      <c r="T8" s="349"/>
      <c r="U8" s="349"/>
      <c r="V8" s="349"/>
      <c r="W8" s="350"/>
      <c r="X8" s="329" t="s">
        <v>16</v>
      </c>
      <c r="Y8" s="329" t="s">
        <v>37</v>
      </c>
      <c r="Z8" s="329" t="s">
        <v>17</v>
      </c>
      <c r="AA8" s="18"/>
      <c r="AS8" s="19"/>
      <c r="AT8" s="19"/>
      <c r="AU8" s="19"/>
      <c r="AV8" s="19"/>
      <c r="AW8" s="19"/>
      <c r="AX8" s="19"/>
    </row>
    <row r="9" spans="1:50" s="20" customFormat="1" ht="18" customHeight="1">
      <c r="A9" s="366"/>
      <c r="B9" s="368"/>
      <c r="C9" s="370"/>
      <c r="D9" s="53">
        <v>1</v>
      </c>
      <c r="E9" s="52">
        <v>2</v>
      </c>
      <c r="F9" s="52">
        <v>3</v>
      </c>
      <c r="G9" s="52">
        <v>4</v>
      </c>
      <c r="H9" s="52">
        <v>5</v>
      </c>
      <c r="I9" s="54" t="s">
        <v>18</v>
      </c>
      <c r="J9" s="55" t="s">
        <v>19</v>
      </c>
      <c r="K9" s="56" t="s">
        <v>20</v>
      </c>
      <c r="L9" s="53">
        <v>1</v>
      </c>
      <c r="M9" s="52">
        <v>2</v>
      </c>
      <c r="N9" s="52">
        <v>3</v>
      </c>
      <c r="O9" s="54" t="s">
        <v>18</v>
      </c>
      <c r="P9" s="55" t="s">
        <v>19</v>
      </c>
      <c r="Q9" s="56" t="s">
        <v>20</v>
      </c>
      <c r="R9" s="57" t="s">
        <v>67</v>
      </c>
      <c r="S9" s="58" t="s">
        <v>65</v>
      </c>
      <c r="T9" s="52" t="s">
        <v>66</v>
      </c>
      <c r="U9" s="54" t="s">
        <v>18</v>
      </c>
      <c r="V9" s="55" t="s">
        <v>19</v>
      </c>
      <c r="W9" s="56" t="s">
        <v>20</v>
      </c>
      <c r="X9" s="330"/>
      <c r="Y9" s="330"/>
      <c r="Z9" s="330"/>
      <c r="AA9" s="18"/>
      <c r="AD9" s="59"/>
      <c r="AE9" s="59"/>
      <c r="AF9" s="59"/>
      <c r="AG9" s="59"/>
      <c r="AH9" s="59"/>
      <c r="AI9" s="59"/>
      <c r="AJ9" s="59"/>
      <c r="AK9" s="59"/>
      <c r="AL9" s="59"/>
      <c r="AM9" s="59"/>
      <c r="AN9" s="59"/>
      <c r="AO9" s="59"/>
      <c r="AP9" s="59"/>
      <c r="AQ9" s="59"/>
      <c r="AR9" s="59"/>
      <c r="AS9" s="22"/>
      <c r="AT9" s="22"/>
      <c r="AU9" s="22"/>
      <c r="AV9" s="22"/>
      <c r="AW9" s="27"/>
      <c r="AX9" s="27"/>
    </row>
    <row r="10" spans="1:50" s="23" customFormat="1" ht="18" customHeight="1" thickBot="1">
      <c r="A10" s="360" t="s">
        <v>12</v>
      </c>
      <c r="B10" s="361"/>
      <c r="C10" s="362"/>
      <c r="D10" s="60"/>
      <c r="E10" s="61"/>
      <c r="F10" s="61"/>
      <c r="G10" s="61"/>
      <c r="H10" s="61"/>
      <c r="I10" s="54" t="str">
        <f>IF(COUNT($D10:$H10)=0,"",SUM($D10:$H10))</f>
        <v/>
      </c>
      <c r="J10" s="55">
        <v>100</v>
      </c>
      <c r="K10" s="62">
        <f>INPUT!AL7</f>
        <v>0.2</v>
      </c>
      <c r="L10" s="60"/>
      <c r="M10" s="61"/>
      <c r="N10" s="61"/>
      <c r="O10" s="54" t="str">
        <f>IF(COUNT($L10:$N10)=0,"",SUM($L10:$N10))</f>
        <v/>
      </c>
      <c r="P10" s="55">
        <v>100</v>
      </c>
      <c r="Q10" s="62">
        <f>INPUT!AL8</f>
        <v>0.8</v>
      </c>
      <c r="R10" s="63"/>
      <c r="S10" s="64"/>
      <c r="T10" s="61"/>
      <c r="U10" s="65">
        <f t="array" ref="U10">IF(COUNT($R10:$T10=0),"",SUM($R10:$T10))</f>
        <v>0</v>
      </c>
      <c r="V10" s="55">
        <v>100</v>
      </c>
      <c r="W10" s="62">
        <f>INPUT!AL9</f>
        <v>0.2</v>
      </c>
      <c r="X10" s="331"/>
      <c r="Y10" s="331"/>
      <c r="Z10" s="331"/>
      <c r="AA10" s="18"/>
      <c r="AB10" s="66"/>
      <c r="AC10" s="67"/>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237"/>
      <c r="B11" s="363" t="s">
        <v>13</v>
      </c>
      <c r="C11" s="364"/>
      <c r="D11" s="68"/>
      <c r="E11" s="69"/>
      <c r="F11" s="69"/>
      <c r="G11" s="69"/>
      <c r="H11" s="69"/>
      <c r="I11" s="70"/>
      <c r="J11" s="71"/>
      <c r="K11" s="72"/>
      <c r="L11" s="68"/>
      <c r="M11" s="69"/>
      <c r="N11" s="69"/>
      <c r="O11" s="70"/>
      <c r="P11" s="71"/>
      <c r="Q11" s="72"/>
      <c r="R11" s="73"/>
      <c r="S11" s="70"/>
      <c r="T11" s="69"/>
      <c r="U11" s="69"/>
      <c r="V11" s="71"/>
      <c r="W11" s="72"/>
      <c r="X11" s="74"/>
      <c r="Y11" s="75"/>
      <c r="Z11" s="76"/>
      <c r="AA11" s="18"/>
      <c r="AB11" s="66"/>
      <c r="AC11" s="67"/>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211" t="s">
        <v>71</v>
      </c>
      <c r="B12" s="210" t="s">
        <v>72</v>
      </c>
      <c r="C12" s="173" t="s">
        <v>73</v>
      </c>
      <c r="D12" s="175" t="s">
        <v>74</v>
      </c>
      <c r="E12" s="175" t="s">
        <v>74</v>
      </c>
      <c r="F12" s="175" t="s">
        <v>74</v>
      </c>
      <c r="G12" s="175" t="s">
        <v>74</v>
      </c>
      <c r="H12" s="175" t="s">
        <v>74</v>
      </c>
      <c r="I12" s="176" t="s">
        <v>75</v>
      </c>
      <c r="J12" s="177" t="s">
        <v>76</v>
      </c>
      <c r="K12" s="177" t="s">
        <v>77</v>
      </c>
      <c r="L12" s="175" t="s">
        <v>78</v>
      </c>
      <c r="M12" s="175" t="s">
        <v>78</v>
      </c>
      <c r="N12" s="175" t="s">
        <v>78</v>
      </c>
      <c r="O12" s="176" t="s">
        <v>79</v>
      </c>
      <c r="P12" s="177" t="s">
        <v>80</v>
      </c>
      <c r="Q12" s="177" t="s">
        <v>81</v>
      </c>
      <c r="R12" s="179" t="s">
        <v>88</v>
      </c>
      <c r="S12" s="180" t="s">
        <v>89</v>
      </c>
      <c r="T12" s="181" t="s">
        <v>90</v>
      </c>
      <c r="U12" s="175" t="s">
        <v>82</v>
      </c>
      <c r="V12" s="177" t="s">
        <v>83</v>
      </c>
      <c r="W12" s="177" t="s">
        <v>84</v>
      </c>
      <c r="X12" s="182" t="s">
        <v>85</v>
      </c>
      <c r="Y12" s="183" t="s">
        <v>86</v>
      </c>
      <c r="Z12" s="178" t="s">
        <v>87</v>
      </c>
      <c r="AA12" s="18"/>
      <c r="AB12" s="66"/>
      <c r="AC12" s="67"/>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68">
        <f>INPUT!A12</f>
        <v>0</v>
      </c>
      <c r="B13" s="168">
        <f>INPUT!B12</f>
        <v>0</v>
      </c>
      <c r="C13" s="168">
        <f>INPUT!C12</f>
        <v>0</v>
      </c>
      <c r="D13" s="77"/>
      <c r="E13" s="78"/>
      <c r="F13" s="78"/>
      <c r="G13" s="78"/>
      <c r="H13" s="78"/>
      <c r="I13" s="79" t="str">
        <f t="shared" ref="I13:I78" si="0">IF(COUNT($D13:$H13)=0,"",SUM($D13:$H13))</f>
        <v/>
      </c>
      <c r="J13" s="80" t="str">
        <f t="shared" ref="J13:J78" si="1">IF(ISERROR(IF($I13="","",ROUND(($I13/$I$10)*$J$10,2))),"",IF($I13="","",ROUND(($I13/$I$10)*$J$10,2)))</f>
        <v/>
      </c>
      <c r="K13" s="81" t="str">
        <f t="shared" ref="K13:K78" si="2">IF($J13="","",ROUND($J13*$K$10,2))</f>
        <v/>
      </c>
      <c r="L13" s="77"/>
      <c r="M13" s="78"/>
      <c r="N13" s="78"/>
      <c r="O13" s="79" t="str">
        <f t="shared" ref="O13:O78" si="3">IF(COUNT($L13:$N13)=0,"",SUM($L13:$N13))</f>
        <v/>
      </c>
      <c r="P13" s="80" t="str">
        <f t="shared" ref="P13:P78" si="4">IF(ISERROR(IF($O13="","",ROUND(($O13/$O$10)*$P$10,2))),"",IF($O13="","",ROUND(($O13/$O$10)*$P$10,2)))</f>
        <v/>
      </c>
      <c r="Q13" s="81" t="str">
        <f t="shared" ref="Q13:Q78" si="5">IF($P13="","",ROUND($P13*$Q$10,2))</f>
        <v/>
      </c>
      <c r="R13" s="77"/>
      <c r="S13" s="78"/>
      <c r="T13" s="78"/>
      <c r="U13" s="79" t="str">
        <f t="shared" ref="U13:U78" si="6">IF(COUNT($R13:$T13)=0,"",SUM($R13:$T13))</f>
        <v/>
      </c>
      <c r="V13" s="80" t="str">
        <f t="shared" ref="V13:V78" si="7">IF(ISERROR(IF($U13="","",ROUND(($U13/$U$10)*$V$10,2))),"",IF($U13="","",ROUND(($U13/$U$10)*$V$10,2)))</f>
        <v/>
      </c>
      <c r="W13" s="81" t="str">
        <f t="shared" ref="W13:W78" si="8">IF($V13="","",ROUND($V13*$W$10,2))</f>
        <v/>
      </c>
      <c r="X13" s="82" t="str">
        <f>IF(ISERROR(IF($U13="","",ROUND(SUM($K13,$Q13,$W13),2))),"",IF($U13="","",ROUND(SUM($K13,$Q13,$W13),2)))</f>
        <v/>
      </c>
      <c r="Y13" s="83" t="str">
        <f>IF(ISERROR(IF($U13="","",VLOOKUP(X13,NewTransmu,4,TRUE))),"",IF($U13="","",VLOOKUP(X13,NewTransmu,4,TRUE)))</f>
        <v/>
      </c>
      <c r="Z13" s="84" t="str">
        <f t="shared" ref="Z13:Z78" si="9">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 t="shared" ref="AT13:AT78" si="10">(R13/$R$10)*100</f>
        <v>#DIV/0!</v>
      </c>
      <c r="AU13" s="41" t="e">
        <f t="shared" ref="AU13:AU78" si="11">(S13/$S$10)*100</f>
        <v>#DIV/0!</v>
      </c>
      <c r="AV13" s="41" t="e">
        <f t="shared" ref="AV13:AV78" si="12">(T13/$T$10)*100</f>
        <v>#DIV/0!</v>
      </c>
      <c r="AX13" s="6"/>
    </row>
    <row r="14" spans="1:50" ht="18" customHeight="1">
      <c r="A14" s="168">
        <f>INPUT!A13</f>
        <v>0</v>
      </c>
      <c r="B14" s="168">
        <f>INPUT!B13</f>
        <v>0</v>
      </c>
      <c r="C14" s="168">
        <f>INPUT!C13</f>
        <v>0</v>
      </c>
      <c r="D14" s="85"/>
      <c r="E14" s="86"/>
      <c r="F14" s="86"/>
      <c r="G14" s="86"/>
      <c r="H14" s="86"/>
      <c r="I14" s="87" t="str">
        <f t="shared" si="0"/>
        <v/>
      </c>
      <c r="J14" s="55" t="str">
        <f t="shared" si="1"/>
        <v/>
      </c>
      <c r="K14" s="88" t="str">
        <f t="shared" si="2"/>
        <v/>
      </c>
      <c r="L14" s="85"/>
      <c r="M14" s="86"/>
      <c r="N14" s="86"/>
      <c r="O14" s="87" t="str">
        <f t="shared" si="3"/>
        <v/>
      </c>
      <c r="P14" s="55" t="str">
        <f t="shared" si="4"/>
        <v/>
      </c>
      <c r="Q14" s="88" t="str">
        <f t="shared" si="5"/>
        <v/>
      </c>
      <c r="R14" s="85"/>
      <c r="S14" s="86"/>
      <c r="T14" s="86"/>
      <c r="U14" s="87" t="str">
        <f t="shared" si="6"/>
        <v/>
      </c>
      <c r="V14" s="55" t="str">
        <f t="shared" si="7"/>
        <v/>
      </c>
      <c r="W14" s="88" t="str">
        <f t="shared" si="8"/>
        <v/>
      </c>
      <c r="X14" s="89" t="str">
        <f t="shared" ref="X14:X79" si="13">IF(ISERROR(IF($T14="","",ROUND(SUM($K14,$Q14,$W14),2))),"",IF($T14="","",ROUND(SUM($K14,$Q14,$W14),2)))</f>
        <v/>
      </c>
      <c r="Y14" s="90" t="str">
        <f t="shared" ref="Y14:Y79" si="14">IF(ISERROR(IF($T14="","",VLOOKUP(X14,NewTransmu,4,TRUE))),"",IF($T14="","",VLOOKUP(X14,NewTransmu,4,TRUE)))</f>
        <v/>
      </c>
      <c r="Z14" s="91" t="str">
        <f t="shared" si="9"/>
        <v/>
      </c>
      <c r="AB14" s="92"/>
      <c r="AC14" s="92" t="s">
        <v>67</v>
      </c>
      <c r="AD14" s="92" t="s">
        <v>65</v>
      </c>
      <c r="AE14" s="92" t="s">
        <v>66</v>
      </c>
      <c r="AF14" s="23"/>
      <c r="AG14" s="23"/>
      <c r="AH14" s="23"/>
      <c r="AI14" s="23"/>
      <c r="AJ14" s="23"/>
      <c r="AK14" s="23"/>
      <c r="AL14" s="23"/>
      <c r="AM14" s="23"/>
      <c r="AN14" s="23"/>
      <c r="AO14" s="23"/>
      <c r="AP14" s="23"/>
      <c r="AQ14" s="23"/>
      <c r="AR14" s="23"/>
      <c r="AS14" s="41"/>
      <c r="AT14" s="41" t="e">
        <f t="shared" si="10"/>
        <v>#DIV/0!</v>
      </c>
      <c r="AU14" s="41" t="e">
        <f t="shared" si="11"/>
        <v>#DIV/0!</v>
      </c>
      <c r="AV14" s="41" t="e">
        <f t="shared" si="12"/>
        <v>#DIV/0!</v>
      </c>
      <c r="AX14" s="6"/>
    </row>
    <row r="15" spans="1:50" ht="18" customHeight="1">
      <c r="A15" s="168">
        <f>INPUT!A14</f>
        <v>0</v>
      </c>
      <c r="B15" s="168">
        <f>INPUT!B14</f>
        <v>0</v>
      </c>
      <c r="C15" s="168">
        <f>INPUT!C14</f>
        <v>0</v>
      </c>
      <c r="D15" s="85"/>
      <c r="E15" s="86"/>
      <c r="F15" s="86"/>
      <c r="G15" s="86"/>
      <c r="H15" s="86"/>
      <c r="I15" s="87" t="str">
        <f t="shared" si="0"/>
        <v/>
      </c>
      <c r="J15" s="55" t="str">
        <f t="shared" si="1"/>
        <v/>
      </c>
      <c r="K15" s="88" t="str">
        <f t="shared" si="2"/>
        <v/>
      </c>
      <c r="L15" s="85"/>
      <c r="M15" s="86"/>
      <c r="N15" s="86"/>
      <c r="O15" s="87" t="str">
        <f t="shared" si="3"/>
        <v/>
      </c>
      <c r="P15" s="55" t="str">
        <f t="shared" si="4"/>
        <v/>
      </c>
      <c r="Q15" s="88" t="str">
        <f t="shared" si="5"/>
        <v/>
      </c>
      <c r="R15" s="162"/>
      <c r="S15" s="86"/>
      <c r="T15" s="163"/>
      <c r="U15" s="87" t="str">
        <f t="shared" si="6"/>
        <v/>
      </c>
      <c r="V15" s="55" t="str">
        <f t="shared" si="7"/>
        <v/>
      </c>
      <c r="W15" s="88" t="str">
        <f t="shared" si="8"/>
        <v/>
      </c>
      <c r="X15" s="89" t="str">
        <f t="shared" si="13"/>
        <v/>
      </c>
      <c r="Y15" s="90" t="str">
        <f t="shared" si="14"/>
        <v/>
      </c>
      <c r="Z15" s="91" t="str">
        <f t="shared" si="9"/>
        <v/>
      </c>
      <c r="AB15" s="93" t="s">
        <v>21</v>
      </c>
      <c r="AC15" s="94">
        <f>COUNTA(R13:R113)</f>
        <v>0</v>
      </c>
      <c r="AD15" s="94">
        <f>COUNTA(S13:S113)</f>
        <v>0</v>
      </c>
      <c r="AE15" s="94">
        <f>COUNTA(T13:T113)</f>
        <v>0</v>
      </c>
      <c r="AF15" s="23"/>
      <c r="AG15" s="23"/>
      <c r="AH15" s="23"/>
      <c r="AI15" s="23"/>
      <c r="AJ15" s="23"/>
      <c r="AK15" s="23"/>
      <c r="AL15" s="23"/>
      <c r="AM15" s="23"/>
      <c r="AN15" s="23"/>
      <c r="AO15" s="23"/>
      <c r="AP15" s="23"/>
      <c r="AQ15" s="23"/>
      <c r="AR15" s="23"/>
      <c r="AS15" s="41"/>
      <c r="AT15" s="41" t="e">
        <f t="shared" si="10"/>
        <v>#DIV/0!</v>
      </c>
      <c r="AU15" s="41" t="e">
        <f t="shared" si="11"/>
        <v>#DIV/0!</v>
      </c>
      <c r="AV15" s="41" t="e">
        <f t="shared" si="12"/>
        <v>#DIV/0!</v>
      </c>
      <c r="AX15" s="6"/>
    </row>
    <row r="16" spans="1:50" ht="18" customHeight="1">
      <c r="A16" s="168">
        <f>INPUT!A15</f>
        <v>0</v>
      </c>
      <c r="B16" s="168">
        <f>INPUT!B15</f>
        <v>0</v>
      </c>
      <c r="C16" s="168">
        <f>INPUT!C15</f>
        <v>0</v>
      </c>
      <c r="D16" s="85"/>
      <c r="E16" s="86"/>
      <c r="F16" s="86"/>
      <c r="G16" s="86"/>
      <c r="H16" s="86"/>
      <c r="I16" s="87" t="str">
        <f t="shared" si="0"/>
        <v/>
      </c>
      <c r="J16" s="55" t="str">
        <f t="shared" si="1"/>
        <v/>
      </c>
      <c r="K16" s="88" t="str">
        <f t="shared" si="2"/>
        <v/>
      </c>
      <c r="L16" s="85"/>
      <c r="M16" s="86"/>
      <c r="N16" s="86"/>
      <c r="O16" s="87" t="str">
        <f t="shared" si="3"/>
        <v/>
      </c>
      <c r="P16" s="55" t="str">
        <f t="shared" si="4"/>
        <v/>
      </c>
      <c r="Q16" s="88" t="str">
        <f t="shared" si="5"/>
        <v/>
      </c>
      <c r="R16" s="85"/>
      <c r="S16" s="86"/>
      <c r="T16" s="86"/>
      <c r="U16" s="87" t="str">
        <f t="shared" si="6"/>
        <v/>
      </c>
      <c r="V16" s="55" t="str">
        <f t="shared" si="7"/>
        <v/>
      </c>
      <c r="W16" s="88" t="str">
        <f t="shared" si="8"/>
        <v/>
      </c>
      <c r="X16" s="89" t="str">
        <f t="shared" si="13"/>
        <v/>
      </c>
      <c r="Y16" s="90" t="str">
        <f t="shared" si="14"/>
        <v/>
      </c>
      <c r="Z16" s="91" t="str">
        <f t="shared" si="9"/>
        <v/>
      </c>
      <c r="AB16" s="95" t="s">
        <v>22</v>
      </c>
      <c r="AC16" s="94">
        <f>R10</f>
        <v>0</v>
      </c>
      <c r="AD16" s="94">
        <f>S10</f>
        <v>0</v>
      </c>
      <c r="AE16" s="94">
        <f>T10</f>
        <v>0</v>
      </c>
      <c r="AF16" s="23"/>
      <c r="AG16" s="23"/>
      <c r="AH16" s="23"/>
      <c r="AI16" s="23"/>
      <c r="AJ16" s="23"/>
      <c r="AK16" s="23"/>
      <c r="AL16" s="23"/>
      <c r="AM16" s="23"/>
      <c r="AN16" s="23"/>
      <c r="AO16" s="23"/>
      <c r="AP16" s="23"/>
      <c r="AQ16" s="23"/>
      <c r="AR16" s="23"/>
      <c r="AS16" s="41"/>
      <c r="AT16" s="41" t="e">
        <f t="shared" si="10"/>
        <v>#DIV/0!</v>
      </c>
      <c r="AU16" s="41" t="e">
        <f t="shared" si="11"/>
        <v>#DIV/0!</v>
      </c>
      <c r="AV16" s="41" t="e">
        <f t="shared" si="12"/>
        <v>#DIV/0!</v>
      </c>
      <c r="AX16" s="6"/>
    </row>
    <row r="17" spans="1:50" ht="18" customHeight="1">
      <c r="A17" s="168">
        <f>INPUT!A16</f>
        <v>0</v>
      </c>
      <c r="B17" s="168">
        <f>INPUT!B16</f>
        <v>0</v>
      </c>
      <c r="C17" s="168">
        <f>INPUT!C16</f>
        <v>0</v>
      </c>
      <c r="D17" s="85"/>
      <c r="E17" s="86"/>
      <c r="F17" s="86"/>
      <c r="G17" s="86"/>
      <c r="H17" s="86"/>
      <c r="I17" s="87" t="str">
        <f t="shared" si="0"/>
        <v/>
      </c>
      <c r="J17" s="55" t="str">
        <f t="shared" si="1"/>
        <v/>
      </c>
      <c r="K17" s="88" t="str">
        <f t="shared" si="2"/>
        <v/>
      </c>
      <c r="L17" s="85"/>
      <c r="M17" s="86"/>
      <c r="N17" s="86"/>
      <c r="O17" s="87" t="str">
        <f t="shared" si="3"/>
        <v/>
      </c>
      <c r="P17" s="55" t="str">
        <f t="shared" si="4"/>
        <v/>
      </c>
      <c r="Q17" s="88" t="str">
        <f t="shared" si="5"/>
        <v/>
      </c>
      <c r="R17" s="85"/>
      <c r="S17" s="86"/>
      <c r="T17" s="86"/>
      <c r="U17" s="87" t="str">
        <f t="shared" si="6"/>
        <v/>
      </c>
      <c r="V17" s="55" t="str">
        <f t="shared" si="7"/>
        <v/>
      </c>
      <c r="W17" s="88" t="str">
        <f t="shared" si="8"/>
        <v/>
      </c>
      <c r="X17" s="89" t="str">
        <f t="shared" si="13"/>
        <v/>
      </c>
      <c r="Y17" s="90" t="str">
        <f t="shared" si="14"/>
        <v/>
      </c>
      <c r="Z17" s="91" t="str">
        <f t="shared" si="9"/>
        <v/>
      </c>
      <c r="AB17" s="96"/>
      <c r="AC17" s="96"/>
      <c r="AD17" s="96"/>
      <c r="AE17" s="96"/>
      <c r="AF17" s="23"/>
      <c r="AG17" s="23"/>
      <c r="AH17" s="23"/>
      <c r="AI17" s="23"/>
      <c r="AJ17" s="23"/>
      <c r="AK17" s="23"/>
      <c r="AL17" s="23"/>
      <c r="AM17" s="23"/>
      <c r="AN17" s="23"/>
      <c r="AO17" s="23"/>
      <c r="AP17" s="23"/>
      <c r="AQ17" s="23"/>
      <c r="AR17" s="23"/>
      <c r="AS17" s="41"/>
      <c r="AT17" s="41" t="e">
        <f t="shared" si="10"/>
        <v>#DIV/0!</v>
      </c>
      <c r="AU17" s="41" t="e">
        <f t="shared" si="11"/>
        <v>#DIV/0!</v>
      </c>
      <c r="AV17" s="41" t="e">
        <f t="shared" si="12"/>
        <v>#DIV/0!</v>
      </c>
      <c r="AX17" s="6"/>
    </row>
    <row r="18" spans="1:50" ht="18" customHeight="1">
      <c r="A18" s="168">
        <f>INPUT!A17</f>
        <v>0</v>
      </c>
      <c r="B18" s="168">
        <f>INPUT!B17</f>
        <v>0</v>
      </c>
      <c r="C18" s="168">
        <f>INPUT!C17</f>
        <v>0</v>
      </c>
      <c r="D18" s="85"/>
      <c r="E18" s="86"/>
      <c r="F18" s="86"/>
      <c r="G18" s="86"/>
      <c r="H18" s="86"/>
      <c r="I18" s="87" t="str">
        <f t="shared" si="0"/>
        <v/>
      </c>
      <c r="J18" s="55" t="str">
        <f t="shared" si="1"/>
        <v/>
      </c>
      <c r="K18" s="88" t="str">
        <f t="shared" si="2"/>
        <v/>
      </c>
      <c r="L18" s="85"/>
      <c r="M18" s="86"/>
      <c r="N18" s="86"/>
      <c r="O18" s="87" t="str">
        <f t="shared" si="3"/>
        <v/>
      </c>
      <c r="P18" s="55" t="str">
        <f t="shared" si="4"/>
        <v/>
      </c>
      <c r="Q18" s="88" t="str">
        <f t="shared" si="5"/>
        <v/>
      </c>
      <c r="R18" s="85"/>
      <c r="S18" s="86"/>
      <c r="T18" s="86"/>
      <c r="U18" s="87" t="str">
        <f t="shared" si="6"/>
        <v/>
      </c>
      <c r="V18" s="55" t="str">
        <f t="shared" si="7"/>
        <v/>
      </c>
      <c r="W18" s="88" t="str">
        <f t="shared" si="8"/>
        <v/>
      </c>
      <c r="X18" s="89" t="str">
        <f t="shared" si="13"/>
        <v/>
      </c>
      <c r="Y18" s="90" t="str">
        <f t="shared" si="14"/>
        <v/>
      </c>
      <c r="Z18" s="91" t="str">
        <f t="shared" si="9"/>
        <v/>
      </c>
      <c r="AB18" s="97" t="s">
        <v>23</v>
      </c>
      <c r="AC18" s="92" t="s">
        <v>67</v>
      </c>
      <c r="AD18" s="92" t="s">
        <v>65</v>
      </c>
      <c r="AE18" s="92" t="s">
        <v>66</v>
      </c>
      <c r="AF18" s="23"/>
      <c r="AG18" s="23"/>
      <c r="AH18" s="23"/>
      <c r="AI18" s="23"/>
      <c r="AJ18" s="23"/>
      <c r="AK18" s="23"/>
      <c r="AL18" s="23"/>
      <c r="AM18" s="23"/>
      <c r="AN18" s="23"/>
      <c r="AO18" s="23"/>
      <c r="AP18" s="23"/>
      <c r="AQ18" s="23"/>
      <c r="AR18" s="23"/>
      <c r="AS18" s="41"/>
      <c r="AT18" s="41" t="e">
        <f t="shared" si="10"/>
        <v>#DIV/0!</v>
      </c>
      <c r="AU18" s="41" t="e">
        <f t="shared" si="11"/>
        <v>#DIV/0!</v>
      </c>
      <c r="AV18" s="41" t="e">
        <f t="shared" si="12"/>
        <v>#DIV/0!</v>
      </c>
      <c r="AX18" s="6"/>
    </row>
    <row r="19" spans="1:50" ht="18" customHeight="1">
      <c r="A19" s="168">
        <f>INPUT!A18</f>
        <v>0</v>
      </c>
      <c r="B19" s="168">
        <f>INPUT!B18</f>
        <v>0</v>
      </c>
      <c r="C19" s="168">
        <f>INPUT!C18</f>
        <v>0</v>
      </c>
      <c r="D19" s="85"/>
      <c r="E19" s="86"/>
      <c r="F19" s="86"/>
      <c r="G19" s="86"/>
      <c r="H19" s="86"/>
      <c r="I19" s="87" t="str">
        <f t="shared" si="0"/>
        <v/>
      </c>
      <c r="J19" s="55" t="str">
        <f t="shared" si="1"/>
        <v/>
      </c>
      <c r="K19" s="88" t="str">
        <f t="shared" si="2"/>
        <v/>
      </c>
      <c r="L19" s="85"/>
      <c r="M19" s="86"/>
      <c r="N19" s="86"/>
      <c r="O19" s="87" t="str">
        <f t="shared" si="3"/>
        <v/>
      </c>
      <c r="P19" s="55" t="str">
        <f t="shared" si="4"/>
        <v/>
      </c>
      <c r="Q19" s="88" t="str">
        <f t="shared" si="5"/>
        <v/>
      </c>
      <c r="R19" s="85"/>
      <c r="S19" s="86"/>
      <c r="T19" s="86"/>
      <c r="U19" s="87" t="str">
        <f t="shared" si="6"/>
        <v/>
      </c>
      <c r="V19" s="55" t="str">
        <f t="shared" si="7"/>
        <v/>
      </c>
      <c r="W19" s="88" t="str">
        <f t="shared" si="8"/>
        <v/>
      </c>
      <c r="X19" s="89" t="str">
        <f t="shared" si="13"/>
        <v/>
      </c>
      <c r="Y19" s="90" t="str">
        <f t="shared" si="14"/>
        <v/>
      </c>
      <c r="Z19" s="91" t="str">
        <f t="shared" si="9"/>
        <v/>
      </c>
      <c r="AB19" s="98" t="s">
        <v>24</v>
      </c>
      <c r="AC19" s="99">
        <f>COUNTIF(AT13:AT113,"&gt;=75")</f>
        <v>0</v>
      </c>
      <c r="AD19" s="99">
        <f>COUNTIF(AU13:AU113,"&gt;=75")</f>
        <v>0</v>
      </c>
      <c r="AE19" s="99">
        <f>COUNTIF(AV13:AV113,"&gt;=75")</f>
        <v>0</v>
      </c>
      <c r="AF19" s="23"/>
      <c r="AG19" s="23"/>
      <c r="AH19" s="23"/>
      <c r="AI19" s="23"/>
      <c r="AJ19" s="23"/>
      <c r="AK19" s="23"/>
      <c r="AL19" s="23"/>
      <c r="AM19" s="23"/>
      <c r="AN19" s="23"/>
      <c r="AO19" s="23"/>
      <c r="AP19" s="23"/>
      <c r="AQ19" s="23"/>
      <c r="AR19" s="23"/>
      <c r="AS19" s="41"/>
      <c r="AT19" s="41" t="e">
        <f t="shared" si="10"/>
        <v>#DIV/0!</v>
      </c>
      <c r="AU19" s="41" t="e">
        <f t="shared" si="11"/>
        <v>#DIV/0!</v>
      </c>
      <c r="AV19" s="41" t="e">
        <f t="shared" si="12"/>
        <v>#DIV/0!</v>
      </c>
      <c r="AX19" s="6"/>
    </row>
    <row r="20" spans="1:50" ht="18" customHeight="1">
      <c r="A20" s="168">
        <f>INPUT!A19</f>
        <v>0</v>
      </c>
      <c r="B20" s="168">
        <f>INPUT!B19</f>
        <v>0</v>
      </c>
      <c r="C20" s="168">
        <f>INPUT!C19</f>
        <v>0</v>
      </c>
      <c r="D20" s="85"/>
      <c r="E20" s="86"/>
      <c r="F20" s="86"/>
      <c r="G20" s="86"/>
      <c r="H20" s="86"/>
      <c r="I20" s="87" t="str">
        <f t="shared" si="0"/>
        <v/>
      </c>
      <c r="J20" s="55" t="str">
        <f t="shared" si="1"/>
        <v/>
      </c>
      <c r="K20" s="88" t="str">
        <f t="shared" si="2"/>
        <v/>
      </c>
      <c r="L20" s="85"/>
      <c r="M20" s="86"/>
      <c r="N20" s="86"/>
      <c r="O20" s="87" t="str">
        <f t="shared" si="3"/>
        <v/>
      </c>
      <c r="P20" s="55" t="str">
        <f t="shared" si="4"/>
        <v/>
      </c>
      <c r="Q20" s="88" t="str">
        <f t="shared" si="5"/>
        <v/>
      </c>
      <c r="R20" s="85"/>
      <c r="S20" s="86"/>
      <c r="T20" s="86"/>
      <c r="U20" s="87" t="str">
        <f t="shared" si="6"/>
        <v/>
      </c>
      <c r="V20" s="55" t="str">
        <f t="shared" si="7"/>
        <v/>
      </c>
      <c r="W20" s="88" t="str">
        <f t="shared" si="8"/>
        <v/>
      </c>
      <c r="X20" s="89" t="str">
        <f t="shared" si="13"/>
        <v/>
      </c>
      <c r="Y20" s="90" t="str">
        <f t="shared" si="14"/>
        <v/>
      </c>
      <c r="Z20" s="91" t="str">
        <f t="shared" si="9"/>
        <v/>
      </c>
      <c r="AB20" s="98" t="s">
        <v>25</v>
      </c>
      <c r="AC20" s="100" t="str">
        <f>IFERROR(AC19/AC15,"")</f>
        <v/>
      </c>
      <c r="AD20" s="100" t="str">
        <f>IFERROR(AD19/AD15,"")</f>
        <v/>
      </c>
      <c r="AE20" s="100" t="str">
        <f>IFERROR(AE19/AE15,"")</f>
        <v/>
      </c>
      <c r="AF20" s="23"/>
      <c r="AG20" s="23"/>
      <c r="AH20" s="23"/>
      <c r="AI20" s="23"/>
      <c r="AJ20" s="23"/>
      <c r="AK20" s="23"/>
      <c r="AL20" s="23"/>
      <c r="AM20" s="23"/>
      <c r="AN20" s="23"/>
      <c r="AO20" s="23"/>
      <c r="AP20" s="23"/>
      <c r="AQ20" s="23"/>
      <c r="AR20" s="23"/>
      <c r="AS20" s="41"/>
      <c r="AT20" s="41" t="e">
        <f t="shared" si="10"/>
        <v>#DIV/0!</v>
      </c>
      <c r="AU20" s="41" t="e">
        <f t="shared" si="11"/>
        <v>#DIV/0!</v>
      </c>
      <c r="AV20" s="41" t="e">
        <f t="shared" si="12"/>
        <v>#DIV/0!</v>
      </c>
      <c r="AX20" s="6"/>
    </row>
    <row r="21" spans="1:50" ht="18" customHeight="1">
      <c r="A21" s="168">
        <f>INPUT!A20</f>
        <v>0</v>
      </c>
      <c r="B21" s="168">
        <f>INPUT!B20</f>
        <v>0</v>
      </c>
      <c r="C21" s="168">
        <f>INPUT!C20</f>
        <v>0</v>
      </c>
      <c r="D21" s="85"/>
      <c r="E21" s="86"/>
      <c r="F21" s="86"/>
      <c r="G21" s="86"/>
      <c r="H21" s="86"/>
      <c r="I21" s="87" t="str">
        <f t="shared" si="0"/>
        <v/>
      </c>
      <c r="J21" s="55" t="str">
        <f t="shared" si="1"/>
        <v/>
      </c>
      <c r="K21" s="88" t="str">
        <f t="shared" si="2"/>
        <v/>
      </c>
      <c r="L21" s="85"/>
      <c r="M21" s="86"/>
      <c r="N21" s="86"/>
      <c r="O21" s="87" t="str">
        <f t="shared" si="3"/>
        <v/>
      </c>
      <c r="P21" s="55" t="str">
        <f t="shared" si="4"/>
        <v/>
      </c>
      <c r="Q21" s="88" t="str">
        <f t="shared" si="5"/>
        <v/>
      </c>
      <c r="R21" s="85"/>
      <c r="S21" s="86"/>
      <c r="T21" s="86"/>
      <c r="U21" s="87" t="str">
        <f t="shared" si="6"/>
        <v/>
      </c>
      <c r="V21" s="55" t="str">
        <f t="shared" si="7"/>
        <v/>
      </c>
      <c r="W21" s="88" t="str">
        <f t="shared" si="8"/>
        <v/>
      </c>
      <c r="X21" s="89" t="str">
        <f t="shared" si="13"/>
        <v/>
      </c>
      <c r="Y21" s="90" t="str">
        <f t="shared" si="14"/>
        <v/>
      </c>
      <c r="Z21" s="91" t="str">
        <f t="shared" si="9"/>
        <v/>
      </c>
      <c r="AB21" s="98" t="s">
        <v>26</v>
      </c>
      <c r="AC21" s="99">
        <f>AC15-AC19</f>
        <v>0</v>
      </c>
      <c r="AD21" s="99">
        <f>AD15-AD19</f>
        <v>0</v>
      </c>
      <c r="AE21" s="99">
        <f>AE15-AE19</f>
        <v>0</v>
      </c>
      <c r="AF21" s="23"/>
      <c r="AG21" s="23"/>
      <c r="AH21" s="23"/>
      <c r="AI21" s="23"/>
      <c r="AJ21" s="23"/>
      <c r="AK21" s="23"/>
      <c r="AL21" s="23"/>
      <c r="AM21" s="23"/>
      <c r="AN21" s="23"/>
      <c r="AO21" s="23"/>
      <c r="AP21" s="23"/>
      <c r="AQ21" s="23"/>
      <c r="AR21" s="23"/>
      <c r="AS21" s="41"/>
      <c r="AT21" s="41" t="e">
        <f t="shared" si="10"/>
        <v>#DIV/0!</v>
      </c>
      <c r="AU21" s="41" t="e">
        <f t="shared" si="11"/>
        <v>#DIV/0!</v>
      </c>
      <c r="AV21" s="41" t="e">
        <f t="shared" si="12"/>
        <v>#DIV/0!</v>
      </c>
      <c r="AX21" s="6"/>
    </row>
    <row r="22" spans="1:50" ht="18" customHeight="1">
      <c r="A22" s="168">
        <f>INPUT!A21</f>
        <v>0</v>
      </c>
      <c r="B22" s="168">
        <f>INPUT!B21</f>
        <v>0</v>
      </c>
      <c r="C22" s="168">
        <f>INPUT!C21</f>
        <v>0</v>
      </c>
      <c r="D22" s="85"/>
      <c r="E22" s="86"/>
      <c r="F22" s="86"/>
      <c r="G22" s="86"/>
      <c r="H22" s="86"/>
      <c r="I22" s="87" t="str">
        <f t="shared" si="0"/>
        <v/>
      </c>
      <c r="J22" s="55" t="str">
        <f t="shared" si="1"/>
        <v/>
      </c>
      <c r="K22" s="88" t="str">
        <f t="shared" si="2"/>
        <v/>
      </c>
      <c r="L22" s="85"/>
      <c r="M22" s="86"/>
      <c r="N22" s="86"/>
      <c r="O22" s="87" t="str">
        <f t="shared" si="3"/>
        <v/>
      </c>
      <c r="P22" s="55" t="str">
        <f t="shared" si="4"/>
        <v/>
      </c>
      <c r="Q22" s="88" t="str">
        <f t="shared" si="5"/>
        <v/>
      </c>
      <c r="R22" s="85"/>
      <c r="S22" s="86"/>
      <c r="T22" s="86"/>
      <c r="U22" s="87" t="str">
        <f t="shared" si="6"/>
        <v/>
      </c>
      <c r="V22" s="55" t="str">
        <f t="shared" si="7"/>
        <v/>
      </c>
      <c r="W22" s="88" t="str">
        <f t="shared" si="8"/>
        <v/>
      </c>
      <c r="X22" s="89" t="str">
        <f t="shared" si="13"/>
        <v/>
      </c>
      <c r="Y22" s="90" t="str">
        <f t="shared" si="14"/>
        <v/>
      </c>
      <c r="Z22" s="91" t="str">
        <f t="shared" si="9"/>
        <v/>
      </c>
      <c r="AB22" s="98" t="s">
        <v>25</v>
      </c>
      <c r="AC22" s="100" t="str">
        <f>IFERROR(1-AC20,"")</f>
        <v/>
      </c>
      <c r="AD22" s="100" t="str">
        <f>IFERROR(1-AD20,"")</f>
        <v/>
      </c>
      <c r="AE22" s="100" t="str">
        <f>IFERROR(1-AE20,"")</f>
        <v/>
      </c>
      <c r="AF22" s="23"/>
      <c r="AG22" s="23"/>
      <c r="AH22" s="23"/>
      <c r="AI22" s="23"/>
      <c r="AJ22" s="23"/>
      <c r="AK22" s="23"/>
      <c r="AL22" s="23"/>
      <c r="AM22" s="23"/>
      <c r="AN22" s="23"/>
      <c r="AO22" s="23"/>
      <c r="AP22" s="23"/>
      <c r="AQ22" s="23"/>
      <c r="AR22" s="23"/>
      <c r="AS22" s="41"/>
      <c r="AT22" s="41" t="e">
        <f t="shared" si="10"/>
        <v>#DIV/0!</v>
      </c>
      <c r="AU22" s="41" t="e">
        <f t="shared" si="11"/>
        <v>#DIV/0!</v>
      </c>
      <c r="AV22" s="41" t="e">
        <f t="shared" si="12"/>
        <v>#DIV/0!</v>
      </c>
      <c r="AX22" s="6"/>
    </row>
    <row r="23" spans="1:50" ht="18" customHeight="1">
      <c r="A23" s="168">
        <f>INPUT!A22</f>
        <v>0</v>
      </c>
      <c r="B23" s="168">
        <f>INPUT!B22</f>
        <v>0</v>
      </c>
      <c r="C23" s="168">
        <f>INPUT!C22</f>
        <v>0</v>
      </c>
      <c r="D23" s="85"/>
      <c r="E23" s="86"/>
      <c r="F23" s="86"/>
      <c r="G23" s="86"/>
      <c r="H23" s="86"/>
      <c r="I23" s="87" t="str">
        <f t="shared" si="0"/>
        <v/>
      </c>
      <c r="J23" s="55" t="str">
        <f t="shared" si="1"/>
        <v/>
      </c>
      <c r="K23" s="88" t="str">
        <f t="shared" si="2"/>
        <v/>
      </c>
      <c r="L23" s="85"/>
      <c r="M23" s="86"/>
      <c r="N23" s="86"/>
      <c r="O23" s="87" t="str">
        <f t="shared" si="3"/>
        <v/>
      </c>
      <c r="P23" s="55" t="str">
        <f t="shared" si="4"/>
        <v/>
      </c>
      <c r="Q23" s="88" t="str">
        <f t="shared" si="5"/>
        <v/>
      </c>
      <c r="R23" s="85"/>
      <c r="S23" s="86"/>
      <c r="T23" s="86"/>
      <c r="U23" s="87" t="str">
        <f t="shared" si="6"/>
        <v/>
      </c>
      <c r="V23" s="55" t="str">
        <f t="shared" si="7"/>
        <v/>
      </c>
      <c r="W23" s="88" t="str">
        <f t="shared" si="8"/>
        <v/>
      </c>
      <c r="X23" s="89" t="str">
        <f t="shared" si="13"/>
        <v/>
      </c>
      <c r="Y23" s="90" t="str">
        <f t="shared" si="14"/>
        <v/>
      </c>
      <c r="Z23" s="91" t="str">
        <f t="shared" si="9"/>
        <v/>
      </c>
      <c r="AB23" s="96"/>
      <c r="AC23" s="96"/>
      <c r="AD23" s="96"/>
      <c r="AE23" s="96"/>
      <c r="AR23" s="48"/>
      <c r="AT23" s="41" t="e">
        <f t="shared" si="10"/>
        <v>#DIV/0!</v>
      </c>
      <c r="AU23" s="41" t="e">
        <f t="shared" si="11"/>
        <v>#DIV/0!</v>
      </c>
      <c r="AV23" s="41" t="e">
        <f t="shared" si="12"/>
        <v>#DIV/0!</v>
      </c>
      <c r="AX23" s="6"/>
    </row>
    <row r="24" spans="1:50" ht="18" customHeight="1">
      <c r="A24" s="168">
        <f>INPUT!A23</f>
        <v>0</v>
      </c>
      <c r="B24" s="168">
        <f>INPUT!B23</f>
        <v>0</v>
      </c>
      <c r="C24" s="168">
        <f>INPUT!C23</f>
        <v>0</v>
      </c>
      <c r="D24" s="85"/>
      <c r="E24" s="86"/>
      <c r="F24" s="86"/>
      <c r="G24" s="86"/>
      <c r="H24" s="86"/>
      <c r="I24" s="87" t="str">
        <f t="shared" si="0"/>
        <v/>
      </c>
      <c r="J24" s="55" t="str">
        <f t="shared" si="1"/>
        <v/>
      </c>
      <c r="K24" s="88" t="str">
        <f t="shared" si="2"/>
        <v/>
      </c>
      <c r="L24" s="85"/>
      <c r="M24" s="86"/>
      <c r="N24" s="86"/>
      <c r="O24" s="87" t="str">
        <f t="shared" si="3"/>
        <v/>
      </c>
      <c r="P24" s="55" t="str">
        <f t="shared" si="4"/>
        <v/>
      </c>
      <c r="Q24" s="88" t="str">
        <f t="shared" si="5"/>
        <v/>
      </c>
      <c r="R24" s="85"/>
      <c r="S24" s="86"/>
      <c r="T24" s="86"/>
      <c r="U24" s="87" t="str">
        <f t="shared" si="6"/>
        <v/>
      </c>
      <c r="V24" s="55" t="str">
        <f t="shared" si="7"/>
        <v/>
      </c>
      <c r="W24" s="88" t="str">
        <f t="shared" si="8"/>
        <v/>
      </c>
      <c r="X24" s="89" t="str">
        <f t="shared" si="13"/>
        <v/>
      </c>
      <c r="Y24" s="90" t="str">
        <f t="shared" si="14"/>
        <v/>
      </c>
      <c r="Z24" s="91" t="str">
        <f t="shared" si="9"/>
        <v/>
      </c>
      <c r="AB24" s="97" t="s">
        <v>27</v>
      </c>
      <c r="AC24" s="92" t="s">
        <v>67</v>
      </c>
      <c r="AD24" s="92" t="s">
        <v>65</v>
      </c>
      <c r="AE24" s="92" t="s">
        <v>66</v>
      </c>
      <c r="AF24" s="101"/>
      <c r="AG24" s="101"/>
      <c r="AH24" s="101"/>
      <c r="AI24" s="101"/>
      <c r="AJ24" s="101"/>
      <c r="AK24" s="101"/>
      <c r="AL24" s="101"/>
      <c r="AM24" s="101"/>
      <c r="AN24" s="101"/>
      <c r="AO24" s="101"/>
      <c r="AP24" s="101"/>
      <c r="AQ24" s="101"/>
      <c r="AR24" s="101"/>
      <c r="AS24" s="42"/>
      <c r="AT24" s="41" t="e">
        <f t="shared" si="10"/>
        <v>#DIV/0!</v>
      </c>
      <c r="AU24" s="41" t="e">
        <f t="shared" si="11"/>
        <v>#DIV/0!</v>
      </c>
      <c r="AV24" s="41" t="e">
        <f t="shared" si="12"/>
        <v>#DIV/0!</v>
      </c>
      <c r="AX24" s="6"/>
    </row>
    <row r="25" spans="1:50" ht="18" customHeight="1">
      <c r="A25" s="168">
        <f>INPUT!A24</f>
        <v>0</v>
      </c>
      <c r="B25" s="168">
        <f>INPUT!B24</f>
        <v>0</v>
      </c>
      <c r="C25" s="168">
        <f>INPUT!C24</f>
        <v>0</v>
      </c>
      <c r="D25" s="85"/>
      <c r="E25" s="86"/>
      <c r="F25" s="86"/>
      <c r="G25" s="86"/>
      <c r="H25" s="86"/>
      <c r="I25" s="87" t="str">
        <f t="shared" si="0"/>
        <v/>
      </c>
      <c r="J25" s="55" t="str">
        <f t="shared" si="1"/>
        <v/>
      </c>
      <c r="K25" s="88" t="str">
        <f t="shared" si="2"/>
        <v/>
      </c>
      <c r="L25" s="85"/>
      <c r="M25" s="86"/>
      <c r="N25" s="86"/>
      <c r="O25" s="87" t="str">
        <f t="shared" si="3"/>
        <v/>
      </c>
      <c r="P25" s="55" t="str">
        <f t="shared" si="4"/>
        <v/>
      </c>
      <c r="Q25" s="88" t="str">
        <f t="shared" si="5"/>
        <v/>
      </c>
      <c r="R25" s="85"/>
      <c r="S25" s="86"/>
      <c r="T25" s="86"/>
      <c r="U25" s="87" t="str">
        <f t="shared" si="6"/>
        <v/>
      </c>
      <c r="V25" s="55" t="str">
        <f t="shared" si="7"/>
        <v/>
      </c>
      <c r="W25" s="88" t="str">
        <f t="shared" si="8"/>
        <v/>
      </c>
      <c r="X25" s="89" t="str">
        <f t="shared" si="13"/>
        <v/>
      </c>
      <c r="Y25" s="90" t="str">
        <f t="shared" si="14"/>
        <v/>
      </c>
      <c r="Z25" s="91" t="str">
        <f t="shared" si="9"/>
        <v/>
      </c>
      <c r="AB25" s="98" t="s">
        <v>28</v>
      </c>
      <c r="AC25" s="102" t="str">
        <f>IFERROR(AVERAGE(R13:R113),"")</f>
        <v/>
      </c>
      <c r="AD25" s="102" t="str">
        <f>IFERROR(AVERAGE(S13:S113),"")</f>
        <v/>
      </c>
      <c r="AE25" s="102" t="str">
        <f>IFERROR(AVERAGE(T13:T113),"")</f>
        <v/>
      </c>
      <c r="AF25" s="101"/>
      <c r="AG25" s="101"/>
      <c r="AH25" s="101"/>
      <c r="AI25" s="101"/>
      <c r="AJ25" s="101"/>
      <c r="AK25" s="101"/>
      <c r="AL25" s="101"/>
      <c r="AM25" s="101"/>
      <c r="AN25" s="101"/>
      <c r="AO25" s="101"/>
      <c r="AP25" s="101"/>
      <c r="AQ25" s="101"/>
      <c r="AR25" s="101"/>
      <c r="AS25" s="42"/>
      <c r="AT25" s="41" t="e">
        <f t="shared" si="10"/>
        <v>#DIV/0!</v>
      </c>
      <c r="AU25" s="41" t="e">
        <f t="shared" si="11"/>
        <v>#DIV/0!</v>
      </c>
      <c r="AV25" s="41" t="e">
        <f t="shared" si="12"/>
        <v>#DIV/0!</v>
      </c>
      <c r="AX25" s="6"/>
    </row>
    <row r="26" spans="1:50" ht="18" customHeight="1">
      <c r="A26" s="168">
        <f>INPUT!A25</f>
        <v>0</v>
      </c>
      <c r="B26" s="168">
        <f>INPUT!B25</f>
        <v>0</v>
      </c>
      <c r="C26" s="168">
        <f>INPUT!C25</f>
        <v>0</v>
      </c>
      <c r="D26" s="85"/>
      <c r="E26" s="86"/>
      <c r="F26" s="86"/>
      <c r="G26" s="86"/>
      <c r="H26" s="86"/>
      <c r="I26" s="87" t="str">
        <f t="shared" si="0"/>
        <v/>
      </c>
      <c r="J26" s="55" t="str">
        <f t="shared" si="1"/>
        <v/>
      </c>
      <c r="K26" s="88" t="str">
        <f t="shared" si="2"/>
        <v/>
      </c>
      <c r="L26" s="85"/>
      <c r="M26" s="86"/>
      <c r="N26" s="86"/>
      <c r="O26" s="87" t="str">
        <f t="shared" si="3"/>
        <v/>
      </c>
      <c r="P26" s="55" t="str">
        <f t="shared" si="4"/>
        <v/>
      </c>
      <c r="Q26" s="88" t="str">
        <f t="shared" si="5"/>
        <v/>
      </c>
      <c r="R26" s="85"/>
      <c r="S26" s="86"/>
      <c r="T26" s="86"/>
      <c r="U26" s="87" t="str">
        <f t="shared" si="6"/>
        <v/>
      </c>
      <c r="V26" s="55" t="str">
        <f t="shared" si="7"/>
        <v/>
      </c>
      <c r="W26" s="88" t="str">
        <f t="shared" si="8"/>
        <v/>
      </c>
      <c r="X26" s="89" t="str">
        <f t="shared" si="13"/>
        <v/>
      </c>
      <c r="Y26" s="90" t="str">
        <f t="shared" si="14"/>
        <v/>
      </c>
      <c r="Z26" s="91" t="str">
        <f t="shared" si="9"/>
        <v/>
      </c>
      <c r="AB26" s="98" t="s">
        <v>29</v>
      </c>
      <c r="AC26" s="102" t="str">
        <f>IFERROR(MEDIAN(R13:R113),"")</f>
        <v/>
      </c>
      <c r="AD26" s="102" t="str">
        <f>IFERROR(MEDIAN(S13:S113),"")</f>
        <v/>
      </c>
      <c r="AE26" s="102" t="str">
        <f>IFERROR(MEDIAN(T13:T113),"")</f>
        <v/>
      </c>
      <c r="AF26" s="101"/>
      <c r="AG26" s="101"/>
      <c r="AH26" s="101"/>
      <c r="AI26" s="101"/>
      <c r="AJ26" s="101"/>
      <c r="AK26" s="101"/>
      <c r="AL26" s="101"/>
      <c r="AM26" s="101"/>
      <c r="AN26" s="101"/>
      <c r="AO26" s="101"/>
      <c r="AP26" s="101"/>
      <c r="AQ26" s="101"/>
      <c r="AR26" s="101"/>
      <c r="AS26" s="42"/>
      <c r="AT26" s="41" t="e">
        <f t="shared" si="10"/>
        <v>#DIV/0!</v>
      </c>
      <c r="AU26" s="41" t="e">
        <f t="shared" si="11"/>
        <v>#DIV/0!</v>
      </c>
      <c r="AV26" s="41" t="e">
        <f t="shared" si="12"/>
        <v>#DIV/0!</v>
      </c>
      <c r="AX26" s="6"/>
    </row>
    <row r="27" spans="1:50" ht="18" customHeight="1">
      <c r="A27" s="168">
        <f>INPUT!A26</f>
        <v>0</v>
      </c>
      <c r="B27" s="168">
        <f>INPUT!B26</f>
        <v>0</v>
      </c>
      <c r="C27" s="168">
        <f>INPUT!C26</f>
        <v>0</v>
      </c>
      <c r="D27" s="85"/>
      <c r="E27" s="86"/>
      <c r="F27" s="86"/>
      <c r="G27" s="86"/>
      <c r="H27" s="86"/>
      <c r="I27" s="87" t="str">
        <f t="shared" si="0"/>
        <v/>
      </c>
      <c r="J27" s="55" t="str">
        <f t="shared" si="1"/>
        <v/>
      </c>
      <c r="K27" s="88" t="str">
        <f t="shared" si="2"/>
        <v/>
      </c>
      <c r="L27" s="85"/>
      <c r="M27" s="86"/>
      <c r="N27" s="86"/>
      <c r="O27" s="87" t="str">
        <f t="shared" si="3"/>
        <v/>
      </c>
      <c r="P27" s="55" t="str">
        <f t="shared" si="4"/>
        <v/>
      </c>
      <c r="Q27" s="88" t="str">
        <f t="shared" si="5"/>
        <v/>
      </c>
      <c r="R27" s="85"/>
      <c r="S27" s="86"/>
      <c r="T27" s="86"/>
      <c r="U27" s="87" t="str">
        <f t="shared" si="6"/>
        <v/>
      </c>
      <c r="V27" s="55" t="str">
        <f t="shared" si="7"/>
        <v/>
      </c>
      <c r="W27" s="88" t="str">
        <f t="shared" si="8"/>
        <v/>
      </c>
      <c r="X27" s="89" t="str">
        <f t="shared" si="13"/>
        <v/>
      </c>
      <c r="Y27" s="90" t="str">
        <f t="shared" si="14"/>
        <v/>
      </c>
      <c r="Z27" s="91" t="str">
        <f t="shared" si="9"/>
        <v/>
      </c>
      <c r="AB27" s="98" t="s">
        <v>30</v>
      </c>
      <c r="AC27" s="102" t="str">
        <f>IFERROR(_xlfn.STDEV.S(R13:R113),"")</f>
        <v/>
      </c>
      <c r="AD27" s="102" t="e">
        <f>_xlfn.STDEV.S(S13:S113)</f>
        <v>#DIV/0!</v>
      </c>
      <c r="AE27" s="102" t="e">
        <f>_xlfn.STDEV.S(T13:T113)</f>
        <v>#DIV/0!</v>
      </c>
      <c r="AR27" s="48"/>
      <c r="AT27" s="41" t="e">
        <f t="shared" si="10"/>
        <v>#DIV/0!</v>
      </c>
      <c r="AU27" s="41" t="e">
        <f t="shared" si="11"/>
        <v>#DIV/0!</v>
      </c>
      <c r="AV27" s="41" t="e">
        <f t="shared" si="12"/>
        <v>#DIV/0!</v>
      </c>
      <c r="AX27" s="6"/>
    </row>
    <row r="28" spans="1:50" ht="18" customHeight="1">
      <c r="A28" s="168">
        <f>INPUT!A27</f>
        <v>0</v>
      </c>
      <c r="B28" s="168">
        <f>INPUT!B27</f>
        <v>0</v>
      </c>
      <c r="C28" s="168">
        <f>INPUT!C27</f>
        <v>0</v>
      </c>
      <c r="D28" s="85"/>
      <c r="E28" s="86"/>
      <c r="F28" s="86"/>
      <c r="G28" s="86"/>
      <c r="H28" s="86"/>
      <c r="I28" s="87" t="str">
        <f t="shared" si="0"/>
        <v/>
      </c>
      <c r="J28" s="55" t="str">
        <f t="shared" si="1"/>
        <v/>
      </c>
      <c r="K28" s="88" t="str">
        <f t="shared" si="2"/>
        <v/>
      </c>
      <c r="L28" s="85"/>
      <c r="M28" s="86"/>
      <c r="N28" s="86"/>
      <c r="O28" s="87" t="str">
        <f t="shared" si="3"/>
        <v/>
      </c>
      <c r="P28" s="55" t="str">
        <f t="shared" si="4"/>
        <v/>
      </c>
      <c r="Q28" s="88" t="str">
        <f t="shared" si="5"/>
        <v/>
      </c>
      <c r="R28" s="85"/>
      <c r="S28" s="86"/>
      <c r="T28" s="86"/>
      <c r="U28" s="87" t="str">
        <f t="shared" si="6"/>
        <v/>
      </c>
      <c r="V28" s="55" t="str">
        <f t="shared" si="7"/>
        <v/>
      </c>
      <c r="W28" s="88" t="str">
        <f t="shared" si="8"/>
        <v/>
      </c>
      <c r="X28" s="89" t="str">
        <f t="shared" si="13"/>
        <v/>
      </c>
      <c r="Y28" s="90" t="str">
        <f t="shared" si="14"/>
        <v/>
      </c>
      <c r="Z28" s="91" t="str">
        <f t="shared" si="9"/>
        <v/>
      </c>
      <c r="AB28" s="98" t="s">
        <v>31</v>
      </c>
      <c r="AC28" s="103" t="str">
        <f>IFERROR(AC25/AC16,"")</f>
        <v/>
      </c>
      <c r="AD28" s="103" t="str">
        <f>IFERROR(AD25/AD16,"")</f>
        <v/>
      </c>
      <c r="AE28" s="103" t="str">
        <f>IFERROR(AE25/AE16,"")</f>
        <v/>
      </c>
      <c r="AR28" s="48"/>
      <c r="AT28" s="41" t="e">
        <f t="shared" si="10"/>
        <v>#DIV/0!</v>
      </c>
      <c r="AU28" s="41" t="e">
        <f t="shared" si="11"/>
        <v>#DIV/0!</v>
      </c>
      <c r="AV28" s="41" t="e">
        <f t="shared" si="12"/>
        <v>#DIV/0!</v>
      </c>
      <c r="AX28" s="6"/>
    </row>
    <row r="29" spans="1:50" ht="18" customHeight="1">
      <c r="A29" s="168">
        <f>INPUT!A28</f>
        <v>0</v>
      </c>
      <c r="B29" s="168">
        <f>INPUT!B28</f>
        <v>0</v>
      </c>
      <c r="C29" s="168">
        <f>INPUT!C28</f>
        <v>0</v>
      </c>
      <c r="D29" s="85"/>
      <c r="E29" s="86"/>
      <c r="F29" s="86"/>
      <c r="G29" s="86"/>
      <c r="H29" s="86"/>
      <c r="I29" s="87" t="str">
        <f t="shared" si="0"/>
        <v/>
      </c>
      <c r="J29" s="55" t="str">
        <f t="shared" si="1"/>
        <v/>
      </c>
      <c r="K29" s="88" t="str">
        <f t="shared" si="2"/>
        <v/>
      </c>
      <c r="L29" s="85"/>
      <c r="M29" s="86"/>
      <c r="N29" s="86"/>
      <c r="O29" s="87" t="str">
        <f t="shared" si="3"/>
        <v/>
      </c>
      <c r="P29" s="55" t="str">
        <f t="shared" si="4"/>
        <v/>
      </c>
      <c r="Q29" s="88" t="str">
        <f t="shared" si="5"/>
        <v/>
      </c>
      <c r="R29" s="85"/>
      <c r="S29" s="86"/>
      <c r="T29" s="86"/>
      <c r="U29" s="87" t="str">
        <f t="shared" si="6"/>
        <v/>
      </c>
      <c r="V29" s="55" t="str">
        <f t="shared" si="7"/>
        <v/>
      </c>
      <c r="W29" s="88" t="str">
        <f t="shared" si="8"/>
        <v/>
      </c>
      <c r="X29" s="89" t="str">
        <f t="shared" si="13"/>
        <v/>
      </c>
      <c r="Y29" s="90" t="str">
        <f t="shared" si="14"/>
        <v/>
      </c>
      <c r="Z29" s="91" t="str">
        <f t="shared" si="9"/>
        <v/>
      </c>
      <c r="AB29" s="6"/>
      <c r="AC29" s="6"/>
      <c r="AD29" s="6"/>
      <c r="AE29" s="6"/>
      <c r="AR29" s="48"/>
      <c r="AT29" s="41" t="e">
        <f t="shared" si="10"/>
        <v>#DIV/0!</v>
      </c>
      <c r="AU29" s="41" t="e">
        <f t="shared" si="11"/>
        <v>#DIV/0!</v>
      </c>
      <c r="AV29" s="41" t="e">
        <f t="shared" si="12"/>
        <v>#DIV/0!</v>
      </c>
      <c r="AX29" s="6"/>
    </row>
    <row r="30" spans="1:50" ht="18" customHeight="1">
      <c r="A30" s="168">
        <f>INPUT!A29</f>
        <v>0</v>
      </c>
      <c r="B30" s="168">
        <f>INPUT!B29</f>
        <v>0</v>
      </c>
      <c r="C30" s="168">
        <f>INPUT!C29</f>
        <v>0</v>
      </c>
      <c r="D30" s="85"/>
      <c r="E30" s="86"/>
      <c r="F30" s="86"/>
      <c r="G30" s="86"/>
      <c r="H30" s="86"/>
      <c r="I30" s="87" t="str">
        <f t="shared" si="0"/>
        <v/>
      </c>
      <c r="J30" s="55" t="str">
        <f t="shared" si="1"/>
        <v/>
      </c>
      <c r="K30" s="88" t="str">
        <f t="shared" si="2"/>
        <v/>
      </c>
      <c r="L30" s="85"/>
      <c r="M30" s="86"/>
      <c r="N30" s="86"/>
      <c r="O30" s="87" t="str">
        <f t="shared" si="3"/>
        <v/>
      </c>
      <c r="P30" s="55" t="str">
        <f t="shared" si="4"/>
        <v/>
      </c>
      <c r="Q30" s="88" t="str">
        <f t="shared" si="5"/>
        <v/>
      </c>
      <c r="R30" s="85"/>
      <c r="S30" s="86"/>
      <c r="T30" s="86"/>
      <c r="U30" s="87" t="str">
        <f t="shared" si="6"/>
        <v/>
      </c>
      <c r="V30" s="55" t="str">
        <f t="shared" si="7"/>
        <v/>
      </c>
      <c r="W30" s="88" t="str">
        <f t="shared" si="8"/>
        <v/>
      </c>
      <c r="X30" s="89" t="str">
        <f t="shared" si="13"/>
        <v/>
      </c>
      <c r="Y30" s="90" t="str">
        <f t="shared" si="14"/>
        <v/>
      </c>
      <c r="Z30" s="91" t="str">
        <f t="shared" si="9"/>
        <v/>
      </c>
      <c r="AB30" s="97" t="s">
        <v>32</v>
      </c>
      <c r="AC30" s="92" t="s">
        <v>67</v>
      </c>
      <c r="AD30" s="92" t="s">
        <v>65</v>
      </c>
      <c r="AE30" s="92" t="s">
        <v>66</v>
      </c>
      <c r="AR30" s="48"/>
      <c r="AT30" s="41" t="e">
        <f t="shared" si="10"/>
        <v>#DIV/0!</v>
      </c>
      <c r="AU30" s="41" t="e">
        <f t="shared" si="11"/>
        <v>#DIV/0!</v>
      </c>
      <c r="AV30" s="41" t="e">
        <f t="shared" si="12"/>
        <v>#DIV/0!</v>
      </c>
      <c r="AX30" s="6"/>
    </row>
    <row r="31" spans="1:50" ht="18" customHeight="1">
      <c r="A31" s="168">
        <f>INPUT!A30</f>
        <v>0</v>
      </c>
      <c r="B31" s="168">
        <f>INPUT!B30</f>
        <v>0</v>
      </c>
      <c r="C31" s="168">
        <f>INPUT!C30</f>
        <v>0</v>
      </c>
      <c r="D31" s="85"/>
      <c r="E31" s="86"/>
      <c r="F31" s="86"/>
      <c r="G31" s="86"/>
      <c r="H31" s="86"/>
      <c r="I31" s="87" t="str">
        <f t="shared" si="0"/>
        <v/>
      </c>
      <c r="J31" s="55" t="str">
        <f t="shared" si="1"/>
        <v/>
      </c>
      <c r="K31" s="88" t="str">
        <f t="shared" si="2"/>
        <v/>
      </c>
      <c r="L31" s="85"/>
      <c r="M31" s="86"/>
      <c r="N31" s="86"/>
      <c r="O31" s="87" t="str">
        <f t="shared" si="3"/>
        <v/>
      </c>
      <c r="P31" s="55" t="str">
        <f t="shared" si="4"/>
        <v/>
      </c>
      <c r="Q31" s="88" t="str">
        <f t="shared" si="5"/>
        <v/>
      </c>
      <c r="R31" s="85"/>
      <c r="S31" s="86"/>
      <c r="T31" s="86"/>
      <c r="U31" s="87" t="str">
        <f t="shared" si="6"/>
        <v/>
      </c>
      <c r="V31" s="55" t="str">
        <f t="shared" si="7"/>
        <v/>
      </c>
      <c r="W31" s="88" t="str">
        <f t="shared" si="8"/>
        <v/>
      </c>
      <c r="X31" s="89" t="str">
        <f t="shared" si="13"/>
        <v/>
      </c>
      <c r="Y31" s="90" t="str">
        <f t="shared" si="14"/>
        <v/>
      </c>
      <c r="Z31" s="91" t="str">
        <f t="shared" si="9"/>
        <v/>
      </c>
      <c r="AB31" s="98" t="s">
        <v>33</v>
      </c>
      <c r="AC31" s="104" t="str">
        <f>IF(COUNTA(R13:R113)=0,"",MAX(R13:R113))</f>
        <v/>
      </c>
      <c r="AD31" s="104" t="str">
        <f>IF(COUNTA(S13:S113)=0,"",MAX(S13:S113))</f>
        <v/>
      </c>
      <c r="AE31" s="104" t="str">
        <f>IF(COUNTA(T13:T113)=0,"",MAX(T13:T113))</f>
        <v/>
      </c>
      <c r="AR31" s="48"/>
      <c r="AT31" s="41" t="e">
        <f t="shared" si="10"/>
        <v>#DIV/0!</v>
      </c>
      <c r="AU31" s="41" t="e">
        <f t="shared" si="11"/>
        <v>#DIV/0!</v>
      </c>
      <c r="AV31" s="41" t="e">
        <f t="shared" si="12"/>
        <v>#DIV/0!</v>
      </c>
      <c r="AX31" s="6"/>
    </row>
    <row r="32" spans="1:50" ht="18" customHeight="1">
      <c r="A32" s="168">
        <f>INPUT!A31</f>
        <v>0</v>
      </c>
      <c r="B32" s="168">
        <f>INPUT!B31</f>
        <v>0</v>
      </c>
      <c r="C32" s="168">
        <f>INPUT!C31</f>
        <v>0</v>
      </c>
      <c r="D32" s="85"/>
      <c r="E32" s="86"/>
      <c r="F32" s="86"/>
      <c r="G32" s="86"/>
      <c r="H32" s="86"/>
      <c r="I32" s="87" t="str">
        <f t="shared" si="0"/>
        <v/>
      </c>
      <c r="J32" s="55" t="str">
        <f t="shared" si="1"/>
        <v/>
      </c>
      <c r="K32" s="88" t="str">
        <f t="shared" si="2"/>
        <v/>
      </c>
      <c r="L32" s="85"/>
      <c r="M32" s="86"/>
      <c r="N32" s="86"/>
      <c r="O32" s="87" t="str">
        <f t="shared" si="3"/>
        <v/>
      </c>
      <c r="P32" s="55" t="str">
        <f t="shared" si="4"/>
        <v/>
      </c>
      <c r="Q32" s="88" t="str">
        <f t="shared" si="5"/>
        <v/>
      </c>
      <c r="R32" s="85"/>
      <c r="S32" s="86"/>
      <c r="T32" s="86"/>
      <c r="U32" s="87" t="str">
        <f t="shared" si="6"/>
        <v/>
      </c>
      <c r="V32" s="55" t="str">
        <f t="shared" si="7"/>
        <v/>
      </c>
      <c r="W32" s="88" t="str">
        <f t="shared" si="8"/>
        <v/>
      </c>
      <c r="X32" s="89" t="str">
        <f t="shared" si="13"/>
        <v/>
      </c>
      <c r="Y32" s="90" t="str">
        <f t="shared" si="14"/>
        <v/>
      </c>
      <c r="Z32" s="91" t="str">
        <f t="shared" si="9"/>
        <v/>
      </c>
      <c r="AB32" s="98" t="s">
        <v>34</v>
      </c>
      <c r="AC32" s="104" t="str">
        <f>IF(COUNTA(R13:R113)=0,"",MIN(R13:R113))</f>
        <v/>
      </c>
      <c r="AD32" s="104" t="str">
        <f>IF(COUNTA(S13:S113)=0,"",MIN(S13:S113))</f>
        <v/>
      </c>
      <c r="AE32" s="104" t="str">
        <f>IF(COUNTA(T13:T113)=0,"",MIN(T13:T113))</f>
        <v/>
      </c>
      <c r="AR32" s="48"/>
      <c r="AT32" s="41" t="e">
        <f t="shared" si="10"/>
        <v>#DIV/0!</v>
      </c>
      <c r="AU32" s="41" t="e">
        <f t="shared" si="11"/>
        <v>#DIV/0!</v>
      </c>
      <c r="AV32" s="41" t="e">
        <f t="shared" si="12"/>
        <v>#DIV/0!</v>
      </c>
      <c r="AX32" s="6"/>
    </row>
    <row r="33" spans="1:50" ht="18" customHeight="1">
      <c r="A33" s="168">
        <f>INPUT!A32</f>
        <v>0</v>
      </c>
      <c r="B33" s="168">
        <f>INPUT!B32</f>
        <v>0</v>
      </c>
      <c r="C33" s="168">
        <f>INPUT!C32</f>
        <v>0</v>
      </c>
      <c r="D33" s="85"/>
      <c r="E33" s="86"/>
      <c r="F33" s="86"/>
      <c r="G33" s="86"/>
      <c r="H33" s="86"/>
      <c r="I33" s="87" t="str">
        <f t="shared" si="0"/>
        <v/>
      </c>
      <c r="J33" s="55" t="str">
        <f t="shared" si="1"/>
        <v/>
      </c>
      <c r="K33" s="88" t="str">
        <f t="shared" si="2"/>
        <v/>
      </c>
      <c r="L33" s="85"/>
      <c r="M33" s="86"/>
      <c r="N33" s="86"/>
      <c r="O33" s="87" t="str">
        <f t="shared" si="3"/>
        <v/>
      </c>
      <c r="P33" s="55" t="str">
        <f t="shared" si="4"/>
        <v/>
      </c>
      <c r="Q33" s="88" t="str">
        <f t="shared" si="5"/>
        <v/>
      </c>
      <c r="R33" s="85"/>
      <c r="S33" s="86"/>
      <c r="T33" s="86"/>
      <c r="U33" s="87" t="str">
        <f t="shared" si="6"/>
        <v/>
      </c>
      <c r="V33" s="55" t="str">
        <f t="shared" si="7"/>
        <v/>
      </c>
      <c r="W33" s="88" t="str">
        <f t="shared" si="8"/>
        <v/>
      </c>
      <c r="X33" s="89" t="str">
        <f t="shared" si="13"/>
        <v/>
      </c>
      <c r="Y33" s="90" t="str">
        <f t="shared" si="14"/>
        <v/>
      </c>
      <c r="Z33" s="91" t="str">
        <f t="shared" si="9"/>
        <v/>
      </c>
      <c r="AB33" s="98" t="s">
        <v>35</v>
      </c>
      <c r="AC33" s="104" t="str">
        <f>IF(COUNTA(R13:R113)=0,"",SUM(R13:R113))</f>
        <v/>
      </c>
      <c r="AD33" s="104" t="str">
        <f>IF(COUNTA(S13:S113)=0,"",SUM(S13:S113))</f>
        <v/>
      </c>
      <c r="AE33" s="104" t="str">
        <f>IF(COUNTA(T13:T113)=0,"",SUM(T13:T113))</f>
        <v/>
      </c>
      <c r="AR33" s="48"/>
      <c r="AT33" s="41" t="e">
        <f t="shared" si="10"/>
        <v>#DIV/0!</v>
      </c>
      <c r="AU33" s="41" t="e">
        <f t="shared" si="11"/>
        <v>#DIV/0!</v>
      </c>
      <c r="AV33" s="41" t="e">
        <f t="shared" si="12"/>
        <v>#DIV/0!</v>
      </c>
      <c r="AX33" s="6"/>
    </row>
    <row r="34" spans="1:50" ht="18" customHeight="1">
      <c r="A34" s="168">
        <f>INPUT!A33</f>
        <v>0</v>
      </c>
      <c r="B34" s="168">
        <f>INPUT!B33</f>
        <v>0</v>
      </c>
      <c r="C34" s="168">
        <f>INPUT!C33</f>
        <v>0</v>
      </c>
      <c r="D34" s="85"/>
      <c r="E34" s="86"/>
      <c r="F34" s="86"/>
      <c r="G34" s="86"/>
      <c r="H34" s="86"/>
      <c r="I34" s="87" t="str">
        <f t="shared" si="0"/>
        <v/>
      </c>
      <c r="J34" s="55" t="str">
        <f t="shared" si="1"/>
        <v/>
      </c>
      <c r="K34" s="88" t="str">
        <f t="shared" si="2"/>
        <v/>
      </c>
      <c r="L34" s="85"/>
      <c r="M34" s="86"/>
      <c r="N34" s="86"/>
      <c r="O34" s="87" t="str">
        <f t="shared" si="3"/>
        <v/>
      </c>
      <c r="P34" s="55" t="str">
        <f t="shared" si="4"/>
        <v/>
      </c>
      <c r="Q34" s="88" t="str">
        <f t="shared" si="5"/>
        <v/>
      </c>
      <c r="R34" s="85"/>
      <c r="S34" s="86"/>
      <c r="T34" s="86"/>
      <c r="U34" s="87" t="str">
        <f t="shared" si="6"/>
        <v/>
      </c>
      <c r="V34" s="55" t="str">
        <f t="shared" si="7"/>
        <v/>
      </c>
      <c r="W34" s="88" t="str">
        <f t="shared" si="8"/>
        <v/>
      </c>
      <c r="X34" s="89" t="str">
        <f t="shared" si="13"/>
        <v/>
      </c>
      <c r="Y34" s="90" t="str">
        <f t="shared" si="14"/>
        <v/>
      </c>
      <c r="Z34" s="91" t="str">
        <f t="shared" si="9"/>
        <v/>
      </c>
      <c r="AB34" s="2"/>
      <c r="AC34" s="1"/>
      <c r="AE34" s="1"/>
      <c r="AF34" s="1"/>
      <c r="AG34" s="1"/>
      <c r="AH34" s="1"/>
      <c r="AI34" s="1"/>
      <c r="AJ34" s="1"/>
      <c r="AK34" s="1"/>
      <c r="AL34" s="1"/>
      <c r="AM34" s="1"/>
      <c r="AN34" s="1"/>
      <c r="AO34" s="1"/>
      <c r="AP34" s="1"/>
      <c r="AQ34" s="1"/>
      <c r="AR34" s="1"/>
      <c r="AS34" s="6"/>
      <c r="AT34" s="41" t="e">
        <f t="shared" si="10"/>
        <v>#DIV/0!</v>
      </c>
      <c r="AU34" s="41" t="e">
        <f t="shared" si="11"/>
        <v>#DIV/0!</v>
      </c>
      <c r="AV34" s="41" t="e">
        <f t="shared" si="12"/>
        <v>#DIV/0!</v>
      </c>
      <c r="AX34" s="6"/>
    </row>
    <row r="35" spans="1:50" ht="18" customHeight="1">
      <c r="A35" s="168">
        <f>INPUT!A34</f>
        <v>0</v>
      </c>
      <c r="B35" s="168">
        <f>INPUT!B34</f>
        <v>0</v>
      </c>
      <c r="C35" s="168">
        <f>INPUT!C34</f>
        <v>0</v>
      </c>
      <c r="D35" s="85"/>
      <c r="E35" s="86"/>
      <c r="F35" s="86"/>
      <c r="G35" s="86"/>
      <c r="H35" s="86"/>
      <c r="I35" s="87" t="str">
        <f t="shared" si="0"/>
        <v/>
      </c>
      <c r="J35" s="55" t="str">
        <f t="shared" si="1"/>
        <v/>
      </c>
      <c r="K35" s="88" t="str">
        <f t="shared" si="2"/>
        <v/>
      </c>
      <c r="L35" s="85"/>
      <c r="M35" s="86"/>
      <c r="N35" s="86"/>
      <c r="O35" s="87" t="str">
        <f t="shared" si="3"/>
        <v/>
      </c>
      <c r="P35" s="55" t="str">
        <f t="shared" si="4"/>
        <v/>
      </c>
      <c r="Q35" s="88" t="str">
        <f t="shared" si="5"/>
        <v/>
      </c>
      <c r="R35" s="85"/>
      <c r="S35" s="86"/>
      <c r="T35" s="86"/>
      <c r="U35" s="87" t="str">
        <f t="shared" si="6"/>
        <v/>
      </c>
      <c r="V35" s="55" t="str">
        <f t="shared" si="7"/>
        <v/>
      </c>
      <c r="W35" s="88" t="str">
        <f t="shared" si="8"/>
        <v/>
      </c>
      <c r="X35" s="89" t="str">
        <f t="shared" si="13"/>
        <v/>
      </c>
      <c r="Y35" s="90" t="str">
        <f t="shared" si="14"/>
        <v/>
      </c>
      <c r="Z35" s="91" t="str">
        <f t="shared" si="9"/>
        <v/>
      </c>
      <c r="AB35" s="2"/>
      <c r="AC35" s="1"/>
      <c r="AE35" s="1"/>
      <c r="AF35" s="1"/>
      <c r="AG35" s="1"/>
      <c r="AH35" s="1"/>
      <c r="AI35" s="1"/>
      <c r="AJ35" s="1"/>
      <c r="AK35" s="1"/>
      <c r="AL35" s="1"/>
      <c r="AM35" s="1"/>
      <c r="AN35" s="1"/>
      <c r="AO35" s="1"/>
      <c r="AP35" s="1"/>
      <c r="AQ35" s="1"/>
      <c r="AR35" s="1"/>
      <c r="AS35" s="6"/>
      <c r="AT35" s="41" t="e">
        <f t="shared" si="10"/>
        <v>#DIV/0!</v>
      </c>
      <c r="AU35" s="41" t="e">
        <f t="shared" si="11"/>
        <v>#DIV/0!</v>
      </c>
      <c r="AV35" s="41" t="e">
        <f t="shared" si="12"/>
        <v>#DIV/0!</v>
      </c>
      <c r="AX35" s="6"/>
    </row>
    <row r="36" spans="1:50" ht="18" customHeight="1">
      <c r="A36" s="168">
        <f>INPUT!A35</f>
        <v>0</v>
      </c>
      <c r="B36" s="168">
        <f>INPUT!B35</f>
        <v>0</v>
      </c>
      <c r="C36" s="168">
        <f>INPUT!C35</f>
        <v>0</v>
      </c>
      <c r="D36" s="85"/>
      <c r="E36" s="86"/>
      <c r="F36" s="86"/>
      <c r="G36" s="86"/>
      <c r="H36" s="86"/>
      <c r="I36" s="87" t="str">
        <f t="shared" si="0"/>
        <v/>
      </c>
      <c r="J36" s="55" t="str">
        <f t="shared" si="1"/>
        <v/>
      </c>
      <c r="K36" s="88" t="str">
        <f t="shared" si="2"/>
        <v/>
      </c>
      <c r="L36" s="85"/>
      <c r="M36" s="86"/>
      <c r="N36" s="86"/>
      <c r="O36" s="87" t="str">
        <f t="shared" si="3"/>
        <v/>
      </c>
      <c r="P36" s="55" t="str">
        <f t="shared" si="4"/>
        <v/>
      </c>
      <c r="Q36" s="88" t="str">
        <f t="shared" si="5"/>
        <v/>
      </c>
      <c r="R36" s="85"/>
      <c r="S36" s="86"/>
      <c r="T36" s="86"/>
      <c r="U36" s="87" t="str">
        <f t="shared" si="6"/>
        <v/>
      </c>
      <c r="V36" s="55" t="str">
        <f t="shared" si="7"/>
        <v/>
      </c>
      <c r="W36" s="88" t="str">
        <f t="shared" si="8"/>
        <v/>
      </c>
      <c r="X36" s="89" t="str">
        <f t="shared" si="13"/>
        <v/>
      </c>
      <c r="Y36" s="90" t="str">
        <f t="shared" si="14"/>
        <v/>
      </c>
      <c r="Z36" s="91" t="str">
        <f t="shared" si="9"/>
        <v/>
      </c>
      <c r="AB36" s="2"/>
      <c r="AC36" s="1"/>
      <c r="AE36" s="1"/>
      <c r="AF36" s="1"/>
      <c r="AG36" s="1"/>
      <c r="AH36" s="1"/>
      <c r="AI36" s="1"/>
      <c r="AJ36" s="1"/>
      <c r="AK36" s="1"/>
      <c r="AL36" s="1"/>
      <c r="AM36" s="1"/>
      <c r="AN36" s="1"/>
      <c r="AO36" s="1"/>
      <c r="AP36" s="1"/>
      <c r="AQ36" s="1"/>
      <c r="AR36" s="1"/>
      <c r="AS36" s="6"/>
      <c r="AT36" s="41" t="e">
        <f t="shared" si="10"/>
        <v>#DIV/0!</v>
      </c>
      <c r="AU36" s="41" t="e">
        <f t="shared" si="11"/>
        <v>#DIV/0!</v>
      </c>
      <c r="AV36" s="41" t="e">
        <f t="shared" si="12"/>
        <v>#DIV/0!</v>
      </c>
      <c r="AX36" s="6"/>
    </row>
    <row r="37" spans="1:50" ht="18" customHeight="1">
      <c r="A37" s="168">
        <f>INPUT!A36</f>
        <v>0</v>
      </c>
      <c r="B37" s="168">
        <f>INPUT!B36</f>
        <v>0</v>
      </c>
      <c r="C37" s="168">
        <f>INPUT!C36</f>
        <v>0</v>
      </c>
      <c r="D37" s="85"/>
      <c r="E37" s="86"/>
      <c r="F37" s="86"/>
      <c r="G37" s="86"/>
      <c r="H37" s="86"/>
      <c r="I37" s="87" t="str">
        <f t="shared" si="0"/>
        <v/>
      </c>
      <c r="J37" s="55" t="str">
        <f t="shared" si="1"/>
        <v/>
      </c>
      <c r="K37" s="88" t="str">
        <f t="shared" si="2"/>
        <v/>
      </c>
      <c r="L37" s="85"/>
      <c r="M37" s="86"/>
      <c r="N37" s="86"/>
      <c r="O37" s="87" t="str">
        <f t="shared" si="3"/>
        <v/>
      </c>
      <c r="P37" s="55" t="str">
        <f t="shared" si="4"/>
        <v/>
      </c>
      <c r="Q37" s="88" t="str">
        <f t="shared" si="5"/>
        <v/>
      </c>
      <c r="R37" s="85"/>
      <c r="S37" s="86"/>
      <c r="T37" s="86"/>
      <c r="U37" s="87" t="str">
        <f t="shared" si="6"/>
        <v/>
      </c>
      <c r="V37" s="55" t="str">
        <f t="shared" si="7"/>
        <v/>
      </c>
      <c r="W37" s="88" t="str">
        <f t="shared" si="8"/>
        <v/>
      </c>
      <c r="X37" s="89" t="str">
        <f t="shared" si="13"/>
        <v/>
      </c>
      <c r="Y37" s="90" t="str">
        <f t="shared" si="14"/>
        <v/>
      </c>
      <c r="Z37" s="91" t="str">
        <f t="shared" si="9"/>
        <v/>
      </c>
      <c r="AB37" s="2"/>
      <c r="AC37" s="1"/>
      <c r="AE37" s="1"/>
      <c r="AF37" s="1"/>
      <c r="AG37" s="1"/>
      <c r="AH37" s="1"/>
      <c r="AI37" s="1"/>
      <c r="AJ37" s="1"/>
      <c r="AK37" s="1"/>
      <c r="AL37" s="1"/>
      <c r="AM37" s="1"/>
      <c r="AN37" s="1"/>
      <c r="AO37" s="1"/>
      <c r="AP37" s="1"/>
      <c r="AQ37" s="1"/>
      <c r="AR37" s="1"/>
      <c r="AS37" s="6"/>
      <c r="AT37" s="41" t="e">
        <f t="shared" si="10"/>
        <v>#DIV/0!</v>
      </c>
      <c r="AU37" s="41" t="e">
        <f t="shared" si="11"/>
        <v>#DIV/0!</v>
      </c>
      <c r="AV37" s="41" t="e">
        <f t="shared" si="12"/>
        <v>#DIV/0!</v>
      </c>
      <c r="AX37" s="6"/>
    </row>
    <row r="38" spans="1:50" ht="18" customHeight="1">
      <c r="A38" s="168">
        <f>INPUT!A37</f>
        <v>0</v>
      </c>
      <c r="B38" s="168">
        <f>INPUT!B37</f>
        <v>0</v>
      </c>
      <c r="C38" s="168">
        <f>INPUT!C37</f>
        <v>0</v>
      </c>
      <c r="D38" s="85"/>
      <c r="E38" s="86"/>
      <c r="F38" s="86"/>
      <c r="G38" s="86"/>
      <c r="H38" s="86"/>
      <c r="I38" s="87" t="str">
        <f t="shared" si="0"/>
        <v/>
      </c>
      <c r="J38" s="55" t="str">
        <f t="shared" si="1"/>
        <v/>
      </c>
      <c r="K38" s="88" t="str">
        <f t="shared" si="2"/>
        <v/>
      </c>
      <c r="L38" s="85"/>
      <c r="M38" s="86"/>
      <c r="N38" s="86"/>
      <c r="O38" s="87" t="str">
        <f t="shared" si="3"/>
        <v/>
      </c>
      <c r="P38" s="55" t="str">
        <f t="shared" si="4"/>
        <v/>
      </c>
      <c r="Q38" s="88" t="str">
        <f t="shared" si="5"/>
        <v/>
      </c>
      <c r="R38" s="85"/>
      <c r="S38" s="86"/>
      <c r="T38" s="86"/>
      <c r="U38" s="87" t="str">
        <f t="shared" si="6"/>
        <v/>
      </c>
      <c r="V38" s="55" t="str">
        <f t="shared" si="7"/>
        <v/>
      </c>
      <c r="W38" s="88" t="str">
        <f t="shared" si="8"/>
        <v/>
      </c>
      <c r="X38" s="89" t="str">
        <f t="shared" si="13"/>
        <v/>
      </c>
      <c r="Y38" s="90" t="str">
        <f t="shared" si="14"/>
        <v/>
      </c>
      <c r="Z38" s="91" t="str">
        <f t="shared" si="9"/>
        <v/>
      </c>
      <c r="AB38" s="2"/>
      <c r="AC38" s="1"/>
      <c r="AE38" s="1"/>
      <c r="AF38" s="1"/>
      <c r="AG38" s="1"/>
      <c r="AH38" s="1"/>
      <c r="AI38" s="1"/>
      <c r="AJ38" s="1"/>
      <c r="AK38" s="1"/>
      <c r="AL38" s="1"/>
      <c r="AM38" s="1"/>
      <c r="AN38" s="1"/>
      <c r="AO38" s="1"/>
      <c r="AP38" s="1"/>
      <c r="AQ38" s="1"/>
      <c r="AR38" s="1"/>
      <c r="AS38" s="6"/>
      <c r="AT38" s="41" t="e">
        <f t="shared" si="10"/>
        <v>#DIV/0!</v>
      </c>
      <c r="AU38" s="41" t="e">
        <f t="shared" si="11"/>
        <v>#DIV/0!</v>
      </c>
      <c r="AV38" s="41" t="e">
        <f t="shared" si="12"/>
        <v>#DIV/0!</v>
      </c>
      <c r="AX38" s="6"/>
    </row>
    <row r="39" spans="1:50" ht="18" customHeight="1">
      <c r="A39" s="168">
        <f>INPUT!A38</f>
        <v>0</v>
      </c>
      <c r="B39" s="168">
        <f>INPUT!B38</f>
        <v>0</v>
      </c>
      <c r="C39" s="168">
        <f>INPUT!C38</f>
        <v>0</v>
      </c>
      <c r="D39" s="85"/>
      <c r="E39" s="86"/>
      <c r="F39" s="86"/>
      <c r="G39" s="86"/>
      <c r="H39" s="86"/>
      <c r="I39" s="87" t="str">
        <f t="shared" si="0"/>
        <v/>
      </c>
      <c r="J39" s="55" t="str">
        <f t="shared" si="1"/>
        <v/>
      </c>
      <c r="K39" s="88" t="str">
        <f t="shared" si="2"/>
        <v/>
      </c>
      <c r="L39" s="85"/>
      <c r="M39" s="86"/>
      <c r="N39" s="86"/>
      <c r="O39" s="87" t="str">
        <f t="shared" si="3"/>
        <v/>
      </c>
      <c r="P39" s="55" t="str">
        <f t="shared" si="4"/>
        <v/>
      </c>
      <c r="Q39" s="88" t="str">
        <f t="shared" si="5"/>
        <v/>
      </c>
      <c r="R39" s="85"/>
      <c r="S39" s="86"/>
      <c r="T39" s="86"/>
      <c r="U39" s="87" t="str">
        <f t="shared" si="6"/>
        <v/>
      </c>
      <c r="V39" s="55" t="str">
        <f t="shared" si="7"/>
        <v/>
      </c>
      <c r="W39" s="88" t="str">
        <f t="shared" si="8"/>
        <v/>
      </c>
      <c r="X39" s="89" t="str">
        <f t="shared" si="13"/>
        <v/>
      </c>
      <c r="Y39" s="90" t="str">
        <f t="shared" si="14"/>
        <v/>
      </c>
      <c r="Z39" s="91" t="str">
        <f t="shared" si="9"/>
        <v/>
      </c>
      <c r="AB39" s="2"/>
      <c r="AC39" s="1"/>
      <c r="AE39" s="1"/>
      <c r="AF39" s="1"/>
      <c r="AG39" s="1"/>
      <c r="AH39" s="1"/>
      <c r="AI39" s="1"/>
      <c r="AJ39" s="1"/>
      <c r="AK39" s="1"/>
      <c r="AL39" s="1"/>
      <c r="AM39" s="1"/>
      <c r="AN39" s="1"/>
      <c r="AO39" s="1"/>
      <c r="AP39" s="1"/>
      <c r="AQ39" s="1"/>
      <c r="AR39" s="1"/>
      <c r="AS39" s="6"/>
      <c r="AT39" s="41" t="e">
        <f t="shared" si="10"/>
        <v>#DIV/0!</v>
      </c>
      <c r="AU39" s="41" t="e">
        <f t="shared" si="11"/>
        <v>#DIV/0!</v>
      </c>
      <c r="AV39" s="41" t="e">
        <f t="shared" si="12"/>
        <v>#DIV/0!</v>
      </c>
      <c r="AX39" s="6"/>
    </row>
    <row r="40" spans="1:50" ht="18" customHeight="1">
      <c r="A40" s="168">
        <f>INPUT!A39</f>
        <v>0</v>
      </c>
      <c r="B40" s="168">
        <f>INPUT!B39</f>
        <v>0</v>
      </c>
      <c r="C40" s="168">
        <f>INPUT!C39</f>
        <v>0</v>
      </c>
      <c r="D40" s="85"/>
      <c r="E40" s="86"/>
      <c r="F40" s="86"/>
      <c r="G40" s="86"/>
      <c r="H40" s="86"/>
      <c r="I40" s="87" t="str">
        <f t="shared" si="0"/>
        <v/>
      </c>
      <c r="J40" s="55" t="str">
        <f t="shared" si="1"/>
        <v/>
      </c>
      <c r="K40" s="88" t="str">
        <f t="shared" si="2"/>
        <v/>
      </c>
      <c r="L40" s="85"/>
      <c r="M40" s="86"/>
      <c r="N40" s="86"/>
      <c r="O40" s="87" t="str">
        <f t="shared" si="3"/>
        <v/>
      </c>
      <c r="P40" s="55" t="str">
        <f t="shared" si="4"/>
        <v/>
      </c>
      <c r="Q40" s="88" t="str">
        <f t="shared" si="5"/>
        <v/>
      </c>
      <c r="R40" s="85"/>
      <c r="S40" s="86"/>
      <c r="T40" s="86"/>
      <c r="U40" s="87" t="str">
        <f t="shared" si="6"/>
        <v/>
      </c>
      <c r="V40" s="55" t="str">
        <f t="shared" si="7"/>
        <v/>
      </c>
      <c r="W40" s="88" t="str">
        <f t="shared" si="8"/>
        <v/>
      </c>
      <c r="X40" s="89" t="str">
        <f t="shared" si="13"/>
        <v/>
      </c>
      <c r="Y40" s="90" t="str">
        <f t="shared" si="14"/>
        <v/>
      </c>
      <c r="Z40" s="91" t="str">
        <f t="shared" si="9"/>
        <v/>
      </c>
      <c r="AB40" s="2"/>
      <c r="AC40" s="1"/>
      <c r="AE40" s="1"/>
      <c r="AF40" s="1"/>
      <c r="AG40" s="1"/>
      <c r="AH40" s="1"/>
      <c r="AI40" s="1"/>
      <c r="AJ40" s="1"/>
      <c r="AK40" s="1"/>
      <c r="AL40" s="1"/>
      <c r="AM40" s="1"/>
      <c r="AN40" s="1"/>
      <c r="AO40" s="1"/>
      <c r="AP40" s="1"/>
      <c r="AQ40" s="1"/>
      <c r="AR40" s="1"/>
      <c r="AS40" s="6"/>
      <c r="AT40" s="41" t="e">
        <f t="shared" si="10"/>
        <v>#DIV/0!</v>
      </c>
      <c r="AU40" s="41" t="e">
        <f t="shared" si="11"/>
        <v>#DIV/0!</v>
      </c>
      <c r="AV40" s="41" t="e">
        <f t="shared" si="12"/>
        <v>#DIV/0!</v>
      </c>
      <c r="AX40" s="6"/>
    </row>
    <row r="41" spans="1:50" ht="18" customHeight="1">
      <c r="A41" s="168">
        <f>INPUT!A40</f>
        <v>0</v>
      </c>
      <c r="B41" s="168">
        <f>INPUT!B40</f>
        <v>0</v>
      </c>
      <c r="C41" s="168">
        <f>INPUT!C40</f>
        <v>0</v>
      </c>
      <c r="D41" s="85"/>
      <c r="E41" s="86"/>
      <c r="F41" s="86"/>
      <c r="G41" s="86"/>
      <c r="H41" s="86"/>
      <c r="I41" s="87" t="str">
        <f t="shared" si="0"/>
        <v/>
      </c>
      <c r="J41" s="55" t="str">
        <f t="shared" si="1"/>
        <v/>
      </c>
      <c r="K41" s="88" t="str">
        <f t="shared" si="2"/>
        <v/>
      </c>
      <c r="L41" s="85"/>
      <c r="M41" s="86"/>
      <c r="N41" s="86"/>
      <c r="O41" s="87" t="str">
        <f t="shared" si="3"/>
        <v/>
      </c>
      <c r="P41" s="55" t="str">
        <f t="shared" si="4"/>
        <v/>
      </c>
      <c r="Q41" s="88" t="str">
        <f t="shared" si="5"/>
        <v/>
      </c>
      <c r="R41" s="85"/>
      <c r="S41" s="86"/>
      <c r="T41" s="86"/>
      <c r="U41" s="87" t="str">
        <f t="shared" si="6"/>
        <v/>
      </c>
      <c r="V41" s="55" t="str">
        <f t="shared" si="7"/>
        <v/>
      </c>
      <c r="W41" s="88" t="str">
        <f t="shared" si="8"/>
        <v/>
      </c>
      <c r="X41" s="89" t="str">
        <f t="shared" si="13"/>
        <v/>
      </c>
      <c r="Y41" s="90" t="str">
        <f t="shared" si="14"/>
        <v/>
      </c>
      <c r="Z41" s="91" t="str">
        <f t="shared" si="9"/>
        <v/>
      </c>
      <c r="AB41" s="2"/>
      <c r="AC41" s="1"/>
      <c r="AE41" s="1"/>
      <c r="AF41" s="1"/>
      <c r="AG41" s="1"/>
      <c r="AH41" s="1"/>
      <c r="AI41" s="1"/>
      <c r="AJ41" s="1"/>
      <c r="AK41" s="1"/>
      <c r="AL41" s="1"/>
      <c r="AM41" s="1"/>
      <c r="AN41" s="1"/>
      <c r="AO41" s="1"/>
      <c r="AP41" s="1"/>
      <c r="AQ41" s="1"/>
      <c r="AR41" s="1"/>
      <c r="AS41" s="6"/>
      <c r="AT41" s="41" t="e">
        <f t="shared" si="10"/>
        <v>#DIV/0!</v>
      </c>
      <c r="AU41" s="41" t="e">
        <f t="shared" si="11"/>
        <v>#DIV/0!</v>
      </c>
      <c r="AV41" s="41" t="e">
        <f t="shared" si="12"/>
        <v>#DIV/0!</v>
      </c>
      <c r="AX41" s="6"/>
    </row>
    <row r="42" spans="1:50" ht="18" customHeight="1">
      <c r="A42" s="168">
        <f>INPUT!A41</f>
        <v>0</v>
      </c>
      <c r="B42" s="168">
        <f>INPUT!B41</f>
        <v>0</v>
      </c>
      <c r="C42" s="168">
        <f>INPUT!C41</f>
        <v>0</v>
      </c>
      <c r="D42" s="85"/>
      <c r="E42" s="86"/>
      <c r="F42" s="86"/>
      <c r="G42" s="86"/>
      <c r="H42" s="86"/>
      <c r="I42" s="87" t="str">
        <f t="shared" si="0"/>
        <v/>
      </c>
      <c r="J42" s="55" t="str">
        <f t="shared" si="1"/>
        <v/>
      </c>
      <c r="K42" s="88" t="str">
        <f t="shared" si="2"/>
        <v/>
      </c>
      <c r="L42" s="85"/>
      <c r="M42" s="86"/>
      <c r="N42" s="86"/>
      <c r="O42" s="87" t="str">
        <f t="shared" si="3"/>
        <v/>
      </c>
      <c r="P42" s="55" t="str">
        <f t="shared" si="4"/>
        <v/>
      </c>
      <c r="Q42" s="88" t="str">
        <f t="shared" si="5"/>
        <v/>
      </c>
      <c r="R42" s="85"/>
      <c r="S42" s="86"/>
      <c r="T42" s="86"/>
      <c r="U42" s="87" t="str">
        <f t="shared" si="6"/>
        <v/>
      </c>
      <c r="V42" s="55" t="str">
        <f t="shared" si="7"/>
        <v/>
      </c>
      <c r="W42" s="88" t="str">
        <f t="shared" si="8"/>
        <v/>
      </c>
      <c r="X42" s="89" t="str">
        <f t="shared" si="13"/>
        <v/>
      </c>
      <c r="Y42" s="90" t="str">
        <f t="shared" si="14"/>
        <v/>
      </c>
      <c r="Z42" s="91" t="str">
        <f t="shared" si="9"/>
        <v/>
      </c>
      <c r="AB42" s="2"/>
      <c r="AC42" s="1"/>
      <c r="AE42" s="1"/>
      <c r="AF42" s="1"/>
      <c r="AG42" s="1"/>
      <c r="AH42" s="1"/>
      <c r="AI42" s="1"/>
      <c r="AJ42" s="1"/>
      <c r="AK42" s="1"/>
      <c r="AL42" s="1"/>
      <c r="AM42" s="1"/>
      <c r="AN42" s="1"/>
      <c r="AO42" s="1"/>
      <c r="AP42" s="1"/>
      <c r="AQ42" s="1"/>
      <c r="AR42" s="1"/>
      <c r="AS42" s="6"/>
      <c r="AT42" s="41" t="e">
        <f t="shared" si="10"/>
        <v>#DIV/0!</v>
      </c>
      <c r="AU42" s="41" t="e">
        <f t="shared" si="11"/>
        <v>#DIV/0!</v>
      </c>
      <c r="AV42" s="41" t="e">
        <f t="shared" si="12"/>
        <v>#DIV/0!</v>
      </c>
      <c r="AX42" s="6"/>
    </row>
    <row r="43" spans="1:50" ht="18" customHeight="1">
      <c r="A43" s="168">
        <f>INPUT!A42</f>
        <v>0</v>
      </c>
      <c r="B43" s="168">
        <f>INPUT!B42</f>
        <v>0</v>
      </c>
      <c r="C43" s="168">
        <f>INPUT!C42</f>
        <v>0</v>
      </c>
      <c r="D43" s="85"/>
      <c r="E43" s="86"/>
      <c r="F43" s="86"/>
      <c r="G43" s="86"/>
      <c r="H43" s="86"/>
      <c r="I43" s="87" t="str">
        <f t="shared" si="0"/>
        <v/>
      </c>
      <c r="J43" s="55" t="str">
        <f t="shared" si="1"/>
        <v/>
      </c>
      <c r="K43" s="88" t="str">
        <f t="shared" si="2"/>
        <v/>
      </c>
      <c r="L43" s="85"/>
      <c r="M43" s="86"/>
      <c r="N43" s="86"/>
      <c r="O43" s="87" t="str">
        <f t="shared" si="3"/>
        <v/>
      </c>
      <c r="P43" s="55" t="str">
        <f t="shared" si="4"/>
        <v/>
      </c>
      <c r="Q43" s="88" t="str">
        <f t="shared" si="5"/>
        <v/>
      </c>
      <c r="R43" s="85"/>
      <c r="S43" s="86"/>
      <c r="T43" s="86"/>
      <c r="U43" s="87" t="str">
        <f t="shared" si="6"/>
        <v/>
      </c>
      <c r="V43" s="55" t="str">
        <f t="shared" si="7"/>
        <v/>
      </c>
      <c r="W43" s="88" t="str">
        <f t="shared" si="8"/>
        <v/>
      </c>
      <c r="X43" s="89" t="str">
        <f t="shared" si="13"/>
        <v/>
      </c>
      <c r="Y43" s="90" t="str">
        <f t="shared" si="14"/>
        <v/>
      </c>
      <c r="Z43" s="91" t="str">
        <f t="shared" si="9"/>
        <v/>
      </c>
      <c r="AB43" s="2"/>
      <c r="AC43" s="1"/>
      <c r="AE43" s="1"/>
      <c r="AF43" s="1"/>
      <c r="AG43" s="1"/>
      <c r="AH43" s="1"/>
      <c r="AI43" s="1"/>
      <c r="AJ43" s="1"/>
      <c r="AK43" s="1"/>
      <c r="AL43" s="1"/>
      <c r="AM43" s="1"/>
      <c r="AN43" s="1"/>
      <c r="AO43" s="1"/>
      <c r="AP43" s="1"/>
      <c r="AQ43" s="1"/>
      <c r="AR43" s="1"/>
      <c r="AS43" s="6"/>
      <c r="AT43" s="41" t="e">
        <f t="shared" si="10"/>
        <v>#DIV/0!</v>
      </c>
      <c r="AU43" s="41" t="e">
        <f t="shared" si="11"/>
        <v>#DIV/0!</v>
      </c>
      <c r="AV43" s="41" t="e">
        <f t="shared" si="12"/>
        <v>#DIV/0!</v>
      </c>
      <c r="AX43" s="6"/>
    </row>
    <row r="44" spans="1:50" ht="18" customHeight="1">
      <c r="A44" s="168">
        <f>INPUT!A43</f>
        <v>0</v>
      </c>
      <c r="B44" s="168">
        <f>INPUT!B43</f>
        <v>0</v>
      </c>
      <c r="C44" s="168">
        <f>INPUT!C43</f>
        <v>0</v>
      </c>
      <c r="D44" s="85"/>
      <c r="E44" s="86"/>
      <c r="F44" s="86"/>
      <c r="G44" s="86"/>
      <c r="H44" s="86"/>
      <c r="I44" s="87" t="str">
        <f t="shared" si="0"/>
        <v/>
      </c>
      <c r="J44" s="55" t="str">
        <f t="shared" si="1"/>
        <v/>
      </c>
      <c r="K44" s="88" t="str">
        <f t="shared" si="2"/>
        <v/>
      </c>
      <c r="L44" s="85"/>
      <c r="M44" s="86"/>
      <c r="N44" s="86"/>
      <c r="O44" s="87" t="str">
        <f t="shared" si="3"/>
        <v/>
      </c>
      <c r="P44" s="55" t="str">
        <f t="shared" si="4"/>
        <v/>
      </c>
      <c r="Q44" s="88" t="str">
        <f t="shared" si="5"/>
        <v/>
      </c>
      <c r="R44" s="85"/>
      <c r="S44" s="86"/>
      <c r="T44" s="86"/>
      <c r="U44" s="87" t="str">
        <f t="shared" si="6"/>
        <v/>
      </c>
      <c r="V44" s="55" t="str">
        <f t="shared" si="7"/>
        <v/>
      </c>
      <c r="W44" s="88" t="str">
        <f t="shared" si="8"/>
        <v/>
      </c>
      <c r="X44" s="89" t="str">
        <f t="shared" si="13"/>
        <v/>
      </c>
      <c r="Y44" s="90" t="str">
        <f t="shared" si="14"/>
        <v/>
      </c>
      <c r="Z44" s="91" t="str">
        <f t="shared" si="9"/>
        <v/>
      </c>
      <c r="AB44" s="2"/>
      <c r="AC44" s="1"/>
      <c r="AE44" s="1"/>
      <c r="AF44" s="1"/>
      <c r="AG44" s="1"/>
      <c r="AH44" s="1"/>
      <c r="AI44" s="1"/>
      <c r="AJ44" s="1"/>
      <c r="AK44" s="1"/>
      <c r="AL44" s="1"/>
      <c r="AM44" s="1"/>
      <c r="AN44" s="1"/>
      <c r="AO44" s="1"/>
      <c r="AP44" s="1"/>
      <c r="AQ44" s="1"/>
      <c r="AR44" s="1"/>
      <c r="AS44" s="6"/>
      <c r="AT44" s="41" t="e">
        <f t="shared" si="10"/>
        <v>#DIV/0!</v>
      </c>
      <c r="AU44" s="41" t="e">
        <f t="shared" si="11"/>
        <v>#DIV/0!</v>
      </c>
      <c r="AV44" s="41" t="e">
        <f t="shared" si="12"/>
        <v>#DIV/0!</v>
      </c>
      <c r="AX44" s="6"/>
    </row>
    <row r="45" spans="1:50" ht="18" customHeight="1">
      <c r="A45" s="168">
        <f>INPUT!A44</f>
        <v>0</v>
      </c>
      <c r="B45" s="168">
        <f>INPUT!B44</f>
        <v>0</v>
      </c>
      <c r="C45" s="168">
        <f>INPUT!C44</f>
        <v>0</v>
      </c>
      <c r="D45" s="85"/>
      <c r="E45" s="86"/>
      <c r="F45" s="86"/>
      <c r="G45" s="86"/>
      <c r="H45" s="86"/>
      <c r="I45" s="87" t="str">
        <f t="shared" si="0"/>
        <v/>
      </c>
      <c r="J45" s="55" t="str">
        <f t="shared" si="1"/>
        <v/>
      </c>
      <c r="K45" s="88" t="str">
        <f t="shared" si="2"/>
        <v/>
      </c>
      <c r="L45" s="85"/>
      <c r="M45" s="86"/>
      <c r="N45" s="86"/>
      <c r="O45" s="87" t="str">
        <f t="shared" si="3"/>
        <v/>
      </c>
      <c r="P45" s="55" t="str">
        <f t="shared" si="4"/>
        <v/>
      </c>
      <c r="Q45" s="88" t="str">
        <f t="shared" si="5"/>
        <v/>
      </c>
      <c r="R45" s="85"/>
      <c r="S45" s="86"/>
      <c r="T45" s="86"/>
      <c r="U45" s="87" t="str">
        <f t="shared" si="6"/>
        <v/>
      </c>
      <c r="V45" s="55" t="str">
        <f t="shared" si="7"/>
        <v/>
      </c>
      <c r="W45" s="88" t="str">
        <f t="shared" si="8"/>
        <v/>
      </c>
      <c r="X45" s="89" t="str">
        <f t="shared" si="13"/>
        <v/>
      </c>
      <c r="Y45" s="90" t="str">
        <f t="shared" si="14"/>
        <v/>
      </c>
      <c r="Z45" s="91" t="str">
        <f t="shared" si="9"/>
        <v/>
      </c>
      <c r="AB45" s="2"/>
      <c r="AC45" s="1"/>
      <c r="AE45" s="1"/>
      <c r="AF45" s="1"/>
      <c r="AG45" s="1"/>
      <c r="AH45" s="1"/>
      <c r="AI45" s="1"/>
      <c r="AJ45" s="1"/>
      <c r="AK45" s="1"/>
      <c r="AL45" s="1"/>
      <c r="AM45" s="1"/>
      <c r="AN45" s="1"/>
      <c r="AO45" s="1"/>
      <c r="AP45" s="1"/>
      <c r="AQ45" s="1"/>
      <c r="AR45" s="1"/>
      <c r="AS45" s="6"/>
      <c r="AT45" s="41" t="e">
        <f t="shared" si="10"/>
        <v>#DIV/0!</v>
      </c>
      <c r="AU45" s="41" t="e">
        <f t="shared" si="11"/>
        <v>#DIV/0!</v>
      </c>
      <c r="AV45" s="41" t="e">
        <f t="shared" si="12"/>
        <v>#DIV/0!</v>
      </c>
      <c r="AX45" s="6"/>
    </row>
    <row r="46" spans="1:50" ht="18" customHeight="1">
      <c r="A46" s="168">
        <f>INPUT!A45</f>
        <v>0</v>
      </c>
      <c r="B46" s="168">
        <f>INPUT!B45</f>
        <v>0</v>
      </c>
      <c r="C46" s="168">
        <f>INPUT!C45</f>
        <v>0</v>
      </c>
      <c r="D46" s="85"/>
      <c r="E46" s="86"/>
      <c r="F46" s="86"/>
      <c r="G46" s="86"/>
      <c r="H46" s="86"/>
      <c r="I46" s="87" t="str">
        <f t="shared" si="0"/>
        <v/>
      </c>
      <c r="J46" s="55" t="str">
        <f t="shared" si="1"/>
        <v/>
      </c>
      <c r="K46" s="88" t="str">
        <f t="shared" si="2"/>
        <v/>
      </c>
      <c r="L46" s="85"/>
      <c r="M46" s="86"/>
      <c r="N46" s="86"/>
      <c r="O46" s="87" t="str">
        <f t="shared" si="3"/>
        <v/>
      </c>
      <c r="P46" s="55" t="str">
        <f t="shared" si="4"/>
        <v/>
      </c>
      <c r="Q46" s="88" t="str">
        <f t="shared" si="5"/>
        <v/>
      </c>
      <c r="R46" s="85"/>
      <c r="S46" s="86"/>
      <c r="T46" s="86"/>
      <c r="U46" s="87" t="str">
        <f t="shared" si="6"/>
        <v/>
      </c>
      <c r="V46" s="55" t="str">
        <f t="shared" si="7"/>
        <v/>
      </c>
      <c r="W46" s="88" t="str">
        <f t="shared" si="8"/>
        <v/>
      </c>
      <c r="X46" s="89" t="str">
        <f t="shared" si="13"/>
        <v/>
      </c>
      <c r="Y46" s="90" t="str">
        <f t="shared" si="14"/>
        <v/>
      </c>
      <c r="Z46" s="91" t="str">
        <f t="shared" si="9"/>
        <v/>
      </c>
      <c r="AB46" s="2"/>
      <c r="AC46" s="1"/>
      <c r="AE46" s="1"/>
      <c r="AF46" s="1"/>
      <c r="AG46" s="1"/>
      <c r="AH46" s="1"/>
      <c r="AI46" s="1"/>
      <c r="AJ46" s="1"/>
      <c r="AK46" s="1"/>
      <c r="AL46" s="1"/>
      <c r="AM46" s="1"/>
      <c r="AN46" s="1"/>
      <c r="AO46" s="1"/>
      <c r="AP46" s="1"/>
      <c r="AQ46" s="1"/>
      <c r="AR46" s="1"/>
      <c r="AS46" s="6"/>
      <c r="AT46" s="41" t="e">
        <f t="shared" si="10"/>
        <v>#DIV/0!</v>
      </c>
      <c r="AU46" s="41" t="e">
        <f t="shared" si="11"/>
        <v>#DIV/0!</v>
      </c>
      <c r="AV46" s="41" t="e">
        <f t="shared" si="12"/>
        <v>#DIV/0!</v>
      </c>
      <c r="AX46" s="6"/>
    </row>
    <row r="47" spans="1:50" ht="18" customHeight="1">
      <c r="A47" s="168">
        <f>INPUT!A46</f>
        <v>0</v>
      </c>
      <c r="B47" s="168">
        <f>INPUT!B46</f>
        <v>0</v>
      </c>
      <c r="C47" s="168">
        <f>INPUT!C46</f>
        <v>0</v>
      </c>
      <c r="D47" s="85"/>
      <c r="E47" s="86"/>
      <c r="F47" s="86"/>
      <c r="G47" s="86"/>
      <c r="H47" s="86"/>
      <c r="I47" s="87" t="str">
        <f t="shared" si="0"/>
        <v/>
      </c>
      <c r="J47" s="55" t="str">
        <f t="shared" si="1"/>
        <v/>
      </c>
      <c r="K47" s="88" t="str">
        <f t="shared" si="2"/>
        <v/>
      </c>
      <c r="L47" s="85"/>
      <c r="M47" s="86"/>
      <c r="N47" s="86"/>
      <c r="O47" s="87" t="str">
        <f t="shared" si="3"/>
        <v/>
      </c>
      <c r="P47" s="55" t="str">
        <f t="shared" si="4"/>
        <v/>
      </c>
      <c r="Q47" s="88" t="str">
        <f t="shared" si="5"/>
        <v/>
      </c>
      <c r="R47" s="85"/>
      <c r="S47" s="86"/>
      <c r="T47" s="86"/>
      <c r="U47" s="87" t="str">
        <f t="shared" si="6"/>
        <v/>
      </c>
      <c r="V47" s="55" t="str">
        <f t="shared" si="7"/>
        <v/>
      </c>
      <c r="W47" s="88" t="str">
        <f t="shared" si="8"/>
        <v/>
      </c>
      <c r="X47" s="89" t="str">
        <f t="shared" si="13"/>
        <v/>
      </c>
      <c r="Y47" s="90" t="str">
        <f t="shared" si="14"/>
        <v/>
      </c>
      <c r="Z47" s="91" t="str">
        <f t="shared" si="9"/>
        <v/>
      </c>
      <c r="AB47" s="2"/>
      <c r="AC47" s="1"/>
      <c r="AE47" s="1"/>
      <c r="AF47" s="1"/>
      <c r="AG47" s="1"/>
      <c r="AH47" s="1"/>
      <c r="AI47" s="1"/>
      <c r="AJ47" s="1"/>
      <c r="AK47" s="1"/>
      <c r="AL47" s="1"/>
      <c r="AM47" s="1"/>
      <c r="AN47" s="1"/>
      <c r="AO47" s="1"/>
      <c r="AP47" s="1"/>
      <c r="AQ47" s="1"/>
      <c r="AR47" s="1"/>
      <c r="AS47" s="6"/>
      <c r="AT47" s="41" t="e">
        <f t="shared" si="10"/>
        <v>#DIV/0!</v>
      </c>
      <c r="AU47" s="41" t="e">
        <f t="shared" si="11"/>
        <v>#DIV/0!</v>
      </c>
      <c r="AV47" s="41" t="e">
        <f t="shared" si="12"/>
        <v>#DIV/0!</v>
      </c>
      <c r="AX47" s="6"/>
    </row>
    <row r="48" spans="1:50" ht="18" customHeight="1">
      <c r="A48" s="168">
        <f>INPUT!A47</f>
        <v>0</v>
      </c>
      <c r="B48" s="168">
        <f>INPUT!B47</f>
        <v>0</v>
      </c>
      <c r="C48" s="168">
        <f>INPUT!C47</f>
        <v>0</v>
      </c>
      <c r="D48" s="85"/>
      <c r="E48" s="86"/>
      <c r="F48" s="86"/>
      <c r="G48" s="86"/>
      <c r="H48" s="86"/>
      <c r="I48" s="87" t="str">
        <f t="shared" si="0"/>
        <v/>
      </c>
      <c r="J48" s="55" t="str">
        <f t="shared" si="1"/>
        <v/>
      </c>
      <c r="K48" s="88" t="str">
        <f t="shared" si="2"/>
        <v/>
      </c>
      <c r="L48" s="85"/>
      <c r="M48" s="86"/>
      <c r="N48" s="86"/>
      <c r="O48" s="87" t="str">
        <f t="shared" si="3"/>
        <v/>
      </c>
      <c r="P48" s="55" t="str">
        <f t="shared" si="4"/>
        <v/>
      </c>
      <c r="Q48" s="88" t="str">
        <f t="shared" si="5"/>
        <v/>
      </c>
      <c r="R48" s="85"/>
      <c r="S48" s="86"/>
      <c r="T48" s="86"/>
      <c r="U48" s="87" t="str">
        <f t="shared" si="6"/>
        <v/>
      </c>
      <c r="V48" s="55" t="str">
        <f t="shared" si="7"/>
        <v/>
      </c>
      <c r="W48" s="88" t="str">
        <f t="shared" si="8"/>
        <v/>
      </c>
      <c r="X48" s="89" t="str">
        <f t="shared" si="13"/>
        <v/>
      </c>
      <c r="Y48" s="90" t="str">
        <f t="shared" si="14"/>
        <v/>
      </c>
      <c r="Z48" s="91" t="str">
        <f t="shared" si="9"/>
        <v/>
      </c>
      <c r="AB48" s="2"/>
      <c r="AC48" s="1"/>
      <c r="AE48" s="1"/>
      <c r="AF48" s="1"/>
      <c r="AG48" s="1"/>
      <c r="AH48" s="1"/>
      <c r="AI48" s="1"/>
      <c r="AJ48" s="1"/>
      <c r="AK48" s="1"/>
      <c r="AL48" s="1"/>
      <c r="AM48" s="1"/>
      <c r="AN48" s="1"/>
      <c r="AO48" s="1"/>
      <c r="AP48" s="1"/>
      <c r="AQ48" s="1"/>
      <c r="AR48" s="1"/>
      <c r="AS48" s="6"/>
      <c r="AT48" s="41" t="e">
        <f t="shared" si="10"/>
        <v>#DIV/0!</v>
      </c>
      <c r="AU48" s="41" t="e">
        <f t="shared" si="11"/>
        <v>#DIV/0!</v>
      </c>
      <c r="AV48" s="41" t="e">
        <f t="shared" si="12"/>
        <v>#DIV/0!</v>
      </c>
      <c r="AX48" s="6"/>
    </row>
    <row r="49" spans="1:50" ht="18" customHeight="1">
      <c r="A49" s="168">
        <f>INPUT!A48</f>
        <v>0</v>
      </c>
      <c r="B49" s="168">
        <f>INPUT!B48</f>
        <v>0</v>
      </c>
      <c r="C49" s="168">
        <f>INPUT!C48</f>
        <v>0</v>
      </c>
      <c r="D49" s="85"/>
      <c r="E49" s="86"/>
      <c r="F49" s="86"/>
      <c r="G49" s="86"/>
      <c r="H49" s="86"/>
      <c r="I49" s="87" t="str">
        <f t="shared" si="0"/>
        <v/>
      </c>
      <c r="J49" s="55" t="str">
        <f t="shared" si="1"/>
        <v/>
      </c>
      <c r="K49" s="88" t="str">
        <f t="shared" si="2"/>
        <v/>
      </c>
      <c r="L49" s="85"/>
      <c r="M49" s="86"/>
      <c r="N49" s="86"/>
      <c r="O49" s="87" t="str">
        <f t="shared" si="3"/>
        <v/>
      </c>
      <c r="P49" s="55" t="str">
        <f t="shared" si="4"/>
        <v/>
      </c>
      <c r="Q49" s="88" t="str">
        <f t="shared" si="5"/>
        <v/>
      </c>
      <c r="R49" s="85"/>
      <c r="S49" s="86"/>
      <c r="T49" s="86"/>
      <c r="U49" s="87" t="str">
        <f t="shared" si="6"/>
        <v/>
      </c>
      <c r="V49" s="55" t="str">
        <f t="shared" si="7"/>
        <v/>
      </c>
      <c r="W49" s="88" t="str">
        <f t="shared" si="8"/>
        <v/>
      </c>
      <c r="X49" s="89" t="str">
        <f t="shared" si="13"/>
        <v/>
      </c>
      <c r="Y49" s="90" t="str">
        <f t="shared" si="14"/>
        <v/>
      </c>
      <c r="Z49" s="91" t="str">
        <f t="shared" si="9"/>
        <v/>
      </c>
      <c r="AB49" s="2"/>
      <c r="AC49" s="1"/>
      <c r="AE49" s="1"/>
      <c r="AF49" s="1"/>
      <c r="AG49" s="1"/>
      <c r="AH49" s="1"/>
      <c r="AI49" s="1"/>
      <c r="AJ49" s="1"/>
      <c r="AK49" s="1"/>
      <c r="AL49" s="1"/>
      <c r="AM49" s="1"/>
      <c r="AN49" s="1"/>
      <c r="AO49" s="1"/>
      <c r="AP49" s="1"/>
      <c r="AQ49" s="1"/>
      <c r="AR49" s="1"/>
      <c r="AS49" s="6"/>
      <c r="AT49" s="41" t="e">
        <f t="shared" si="10"/>
        <v>#DIV/0!</v>
      </c>
      <c r="AU49" s="41" t="e">
        <f t="shared" si="11"/>
        <v>#DIV/0!</v>
      </c>
      <c r="AV49" s="41" t="e">
        <f t="shared" si="12"/>
        <v>#DIV/0!</v>
      </c>
      <c r="AX49" s="6"/>
    </row>
    <row r="50" spans="1:50" ht="18" customHeight="1">
      <c r="A50" s="168">
        <f>INPUT!A49</f>
        <v>0</v>
      </c>
      <c r="B50" s="168">
        <f>INPUT!B49</f>
        <v>0</v>
      </c>
      <c r="C50" s="168">
        <f>INPUT!C49</f>
        <v>0</v>
      </c>
      <c r="D50" s="85"/>
      <c r="E50" s="86"/>
      <c r="F50" s="86"/>
      <c r="G50" s="86"/>
      <c r="H50" s="86"/>
      <c r="I50" s="87" t="str">
        <f t="shared" si="0"/>
        <v/>
      </c>
      <c r="J50" s="55" t="str">
        <f t="shared" si="1"/>
        <v/>
      </c>
      <c r="K50" s="88" t="str">
        <f t="shared" si="2"/>
        <v/>
      </c>
      <c r="L50" s="85"/>
      <c r="M50" s="86"/>
      <c r="N50" s="86"/>
      <c r="O50" s="87" t="str">
        <f t="shared" si="3"/>
        <v/>
      </c>
      <c r="P50" s="55" t="str">
        <f t="shared" si="4"/>
        <v/>
      </c>
      <c r="Q50" s="88" t="str">
        <f t="shared" si="5"/>
        <v/>
      </c>
      <c r="R50" s="85"/>
      <c r="S50" s="86"/>
      <c r="T50" s="86"/>
      <c r="U50" s="87" t="str">
        <f t="shared" si="6"/>
        <v/>
      </c>
      <c r="V50" s="55" t="str">
        <f t="shared" si="7"/>
        <v/>
      </c>
      <c r="W50" s="88" t="str">
        <f t="shared" si="8"/>
        <v/>
      </c>
      <c r="X50" s="89" t="str">
        <f t="shared" si="13"/>
        <v/>
      </c>
      <c r="Y50" s="90" t="str">
        <f t="shared" si="14"/>
        <v/>
      </c>
      <c r="Z50" s="91" t="str">
        <f t="shared" si="9"/>
        <v/>
      </c>
      <c r="AB50" s="2"/>
      <c r="AC50" s="1"/>
      <c r="AE50" s="1"/>
      <c r="AF50" s="1"/>
      <c r="AG50" s="1"/>
      <c r="AH50" s="1"/>
      <c r="AI50" s="1"/>
      <c r="AJ50" s="1"/>
      <c r="AK50" s="1"/>
      <c r="AL50" s="1"/>
      <c r="AM50" s="1"/>
      <c r="AN50" s="1"/>
      <c r="AO50" s="1"/>
      <c r="AP50" s="1"/>
      <c r="AQ50" s="1"/>
      <c r="AR50" s="1"/>
      <c r="AS50" s="6"/>
      <c r="AT50" s="41" t="e">
        <f t="shared" si="10"/>
        <v>#DIV/0!</v>
      </c>
      <c r="AU50" s="41" t="e">
        <f t="shared" si="11"/>
        <v>#DIV/0!</v>
      </c>
      <c r="AV50" s="41" t="e">
        <f t="shared" si="12"/>
        <v>#DIV/0!</v>
      </c>
      <c r="AX50" s="6"/>
    </row>
    <row r="51" spans="1:50" ht="18" customHeight="1">
      <c r="A51" s="168">
        <f>INPUT!A50</f>
        <v>0</v>
      </c>
      <c r="B51" s="168">
        <f>INPUT!B50</f>
        <v>0</v>
      </c>
      <c r="C51" s="168">
        <f>INPUT!C50</f>
        <v>0</v>
      </c>
      <c r="D51" s="85"/>
      <c r="E51" s="86"/>
      <c r="F51" s="86"/>
      <c r="G51" s="86"/>
      <c r="H51" s="86"/>
      <c r="I51" s="87" t="str">
        <f t="shared" si="0"/>
        <v/>
      </c>
      <c r="J51" s="55" t="str">
        <f t="shared" si="1"/>
        <v/>
      </c>
      <c r="K51" s="88" t="str">
        <f t="shared" si="2"/>
        <v/>
      </c>
      <c r="L51" s="85"/>
      <c r="M51" s="86"/>
      <c r="N51" s="86"/>
      <c r="O51" s="87" t="str">
        <f t="shared" si="3"/>
        <v/>
      </c>
      <c r="P51" s="55" t="str">
        <f t="shared" si="4"/>
        <v/>
      </c>
      <c r="Q51" s="88" t="str">
        <f t="shared" si="5"/>
        <v/>
      </c>
      <c r="R51" s="85"/>
      <c r="S51" s="86"/>
      <c r="T51" s="86"/>
      <c r="U51" s="87" t="str">
        <f t="shared" si="6"/>
        <v/>
      </c>
      <c r="V51" s="55" t="str">
        <f t="shared" si="7"/>
        <v/>
      </c>
      <c r="W51" s="88" t="str">
        <f t="shared" si="8"/>
        <v/>
      </c>
      <c r="X51" s="89" t="str">
        <f t="shared" si="13"/>
        <v/>
      </c>
      <c r="Y51" s="90" t="str">
        <f t="shared" si="14"/>
        <v/>
      </c>
      <c r="Z51" s="91" t="str">
        <f t="shared" si="9"/>
        <v/>
      </c>
      <c r="AB51" s="2"/>
      <c r="AC51" s="1"/>
      <c r="AE51" s="1"/>
      <c r="AF51" s="1"/>
      <c r="AG51" s="1"/>
      <c r="AH51" s="1"/>
      <c r="AI51" s="1"/>
      <c r="AJ51" s="1"/>
      <c r="AK51" s="1"/>
      <c r="AL51" s="1"/>
      <c r="AM51" s="1"/>
      <c r="AN51" s="1"/>
      <c r="AO51" s="1"/>
      <c r="AP51" s="1"/>
      <c r="AQ51" s="1"/>
      <c r="AR51" s="1"/>
      <c r="AS51" s="6"/>
      <c r="AT51" s="41" t="e">
        <f t="shared" si="10"/>
        <v>#DIV/0!</v>
      </c>
      <c r="AU51" s="41" t="e">
        <f t="shared" si="11"/>
        <v>#DIV/0!</v>
      </c>
      <c r="AV51" s="41" t="e">
        <f t="shared" si="12"/>
        <v>#DIV/0!</v>
      </c>
      <c r="AX51" s="6"/>
    </row>
    <row r="52" spans="1:50" ht="18" customHeight="1">
      <c r="A52" s="168">
        <f>INPUT!A51</f>
        <v>0</v>
      </c>
      <c r="B52" s="168">
        <f>INPUT!B51</f>
        <v>0</v>
      </c>
      <c r="C52" s="168">
        <f>INPUT!C51</f>
        <v>0</v>
      </c>
      <c r="D52" s="85"/>
      <c r="E52" s="86"/>
      <c r="F52" s="86"/>
      <c r="G52" s="86"/>
      <c r="H52" s="86"/>
      <c r="I52" s="87" t="str">
        <f t="shared" si="0"/>
        <v/>
      </c>
      <c r="J52" s="55" t="str">
        <f t="shared" si="1"/>
        <v/>
      </c>
      <c r="K52" s="88" t="str">
        <f t="shared" si="2"/>
        <v/>
      </c>
      <c r="L52" s="85"/>
      <c r="M52" s="86"/>
      <c r="N52" s="86"/>
      <c r="O52" s="87" t="str">
        <f t="shared" si="3"/>
        <v/>
      </c>
      <c r="P52" s="55" t="str">
        <f t="shared" si="4"/>
        <v/>
      </c>
      <c r="Q52" s="88" t="str">
        <f t="shared" si="5"/>
        <v/>
      </c>
      <c r="R52" s="85"/>
      <c r="S52" s="86"/>
      <c r="T52" s="86"/>
      <c r="U52" s="87" t="str">
        <f t="shared" si="6"/>
        <v/>
      </c>
      <c r="V52" s="55" t="str">
        <f t="shared" si="7"/>
        <v/>
      </c>
      <c r="W52" s="88" t="str">
        <f t="shared" si="8"/>
        <v/>
      </c>
      <c r="X52" s="89" t="str">
        <f t="shared" si="13"/>
        <v/>
      </c>
      <c r="Y52" s="90" t="str">
        <f t="shared" si="14"/>
        <v/>
      </c>
      <c r="Z52" s="91" t="str">
        <f t="shared" si="9"/>
        <v/>
      </c>
      <c r="AB52" s="2"/>
      <c r="AC52" s="1"/>
      <c r="AE52" s="1"/>
      <c r="AF52" s="1"/>
      <c r="AG52" s="1"/>
      <c r="AH52" s="1"/>
      <c r="AI52" s="1"/>
      <c r="AJ52" s="1"/>
      <c r="AK52" s="1"/>
      <c r="AL52" s="1"/>
      <c r="AM52" s="1"/>
      <c r="AN52" s="1"/>
      <c r="AO52" s="1"/>
      <c r="AP52" s="1"/>
      <c r="AQ52" s="1"/>
      <c r="AR52" s="1"/>
      <c r="AS52" s="6"/>
      <c r="AT52" s="41" t="e">
        <f t="shared" si="10"/>
        <v>#DIV/0!</v>
      </c>
      <c r="AU52" s="41" t="e">
        <f t="shared" si="11"/>
        <v>#DIV/0!</v>
      </c>
      <c r="AV52" s="41" t="e">
        <f t="shared" si="12"/>
        <v>#DIV/0!</v>
      </c>
      <c r="AX52" s="6"/>
    </row>
    <row r="53" spans="1:50" ht="18" customHeight="1">
      <c r="A53" s="168">
        <f>INPUT!A52</f>
        <v>0</v>
      </c>
      <c r="B53" s="168">
        <f>INPUT!B52</f>
        <v>0</v>
      </c>
      <c r="C53" s="168">
        <f>INPUT!C52</f>
        <v>0</v>
      </c>
      <c r="D53" s="85"/>
      <c r="E53" s="86"/>
      <c r="F53" s="86"/>
      <c r="G53" s="86"/>
      <c r="H53" s="86"/>
      <c r="I53" s="87" t="str">
        <f t="shared" si="0"/>
        <v/>
      </c>
      <c r="J53" s="55" t="str">
        <f t="shared" si="1"/>
        <v/>
      </c>
      <c r="K53" s="88" t="str">
        <f t="shared" si="2"/>
        <v/>
      </c>
      <c r="L53" s="85"/>
      <c r="M53" s="86"/>
      <c r="N53" s="86"/>
      <c r="O53" s="87" t="str">
        <f t="shared" si="3"/>
        <v/>
      </c>
      <c r="P53" s="55" t="str">
        <f t="shared" si="4"/>
        <v/>
      </c>
      <c r="Q53" s="88" t="str">
        <f t="shared" si="5"/>
        <v/>
      </c>
      <c r="R53" s="85"/>
      <c r="S53" s="86"/>
      <c r="T53" s="86"/>
      <c r="U53" s="87" t="str">
        <f t="shared" si="6"/>
        <v/>
      </c>
      <c r="V53" s="55" t="str">
        <f t="shared" si="7"/>
        <v/>
      </c>
      <c r="W53" s="88" t="str">
        <f t="shared" si="8"/>
        <v/>
      </c>
      <c r="X53" s="89" t="str">
        <f t="shared" si="13"/>
        <v/>
      </c>
      <c r="Y53" s="90" t="str">
        <f t="shared" si="14"/>
        <v/>
      </c>
      <c r="Z53" s="91" t="str">
        <f t="shared" si="9"/>
        <v/>
      </c>
      <c r="AB53" s="2"/>
      <c r="AC53" s="1"/>
      <c r="AE53" s="1"/>
      <c r="AF53" s="1"/>
      <c r="AG53" s="1"/>
      <c r="AH53" s="1"/>
      <c r="AI53" s="1"/>
      <c r="AJ53" s="1"/>
      <c r="AK53" s="1"/>
      <c r="AL53" s="1"/>
      <c r="AM53" s="1"/>
      <c r="AN53" s="1"/>
      <c r="AO53" s="1"/>
      <c r="AP53" s="1"/>
      <c r="AQ53" s="1"/>
      <c r="AR53" s="1"/>
      <c r="AS53" s="6"/>
      <c r="AT53" s="41" t="e">
        <f t="shared" si="10"/>
        <v>#DIV/0!</v>
      </c>
      <c r="AU53" s="41" t="e">
        <f t="shared" si="11"/>
        <v>#DIV/0!</v>
      </c>
      <c r="AV53" s="41" t="e">
        <f t="shared" si="12"/>
        <v>#DIV/0!</v>
      </c>
      <c r="AX53" s="6"/>
    </row>
    <row r="54" spans="1:50" ht="18" customHeight="1">
      <c r="A54" s="168">
        <f>INPUT!A53</f>
        <v>0</v>
      </c>
      <c r="B54" s="168">
        <f>INPUT!B53</f>
        <v>0</v>
      </c>
      <c r="C54" s="168">
        <f>INPUT!C53</f>
        <v>0</v>
      </c>
      <c r="D54" s="85"/>
      <c r="E54" s="86"/>
      <c r="F54" s="86"/>
      <c r="G54" s="86"/>
      <c r="H54" s="86"/>
      <c r="I54" s="87" t="str">
        <f t="shared" si="0"/>
        <v/>
      </c>
      <c r="J54" s="55" t="str">
        <f t="shared" si="1"/>
        <v/>
      </c>
      <c r="K54" s="88" t="str">
        <f t="shared" si="2"/>
        <v/>
      </c>
      <c r="L54" s="85"/>
      <c r="M54" s="86"/>
      <c r="N54" s="86"/>
      <c r="O54" s="87" t="str">
        <f t="shared" si="3"/>
        <v/>
      </c>
      <c r="P54" s="55" t="str">
        <f t="shared" si="4"/>
        <v/>
      </c>
      <c r="Q54" s="88" t="str">
        <f t="shared" si="5"/>
        <v/>
      </c>
      <c r="R54" s="85"/>
      <c r="S54" s="86"/>
      <c r="T54" s="86"/>
      <c r="U54" s="87" t="str">
        <f t="shared" si="6"/>
        <v/>
      </c>
      <c r="V54" s="55" t="str">
        <f t="shared" si="7"/>
        <v/>
      </c>
      <c r="W54" s="88" t="str">
        <f t="shared" si="8"/>
        <v/>
      </c>
      <c r="X54" s="89" t="str">
        <f t="shared" si="13"/>
        <v/>
      </c>
      <c r="Y54" s="90" t="str">
        <f t="shared" si="14"/>
        <v/>
      </c>
      <c r="Z54" s="91" t="str">
        <f t="shared" si="9"/>
        <v/>
      </c>
      <c r="AB54" s="2"/>
      <c r="AC54" s="1"/>
      <c r="AE54" s="1"/>
      <c r="AF54" s="1"/>
      <c r="AG54" s="1"/>
      <c r="AH54" s="1"/>
      <c r="AI54" s="1"/>
      <c r="AJ54" s="1"/>
      <c r="AK54" s="1"/>
      <c r="AL54" s="1"/>
      <c r="AM54" s="1"/>
      <c r="AN54" s="1"/>
      <c r="AO54" s="1"/>
      <c r="AP54" s="1"/>
      <c r="AQ54" s="1"/>
      <c r="AR54" s="1"/>
      <c r="AS54" s="6"/>
      <c r="AT54" s="41" t="e">
        <f t="shared" si="10"/>
        <v>#DIV/0!</v>
      </c>
      <c r="AU54" s="41" t="e">
        <f t="shared" si="11"/>
        <v>#DIV/0!</v>
      </c>
      <c r="AV54" s="41" t="e">
        <f t="shared" si="12"/>
        <v>#DIV/0!</v>
      </c>
      <c r="AX54" s="6"/>
    </row>
    <row r="55" spans="1:50" ht="18" customHeight="1">
      <c r="A55" s="168">
        <f>INPUT!A54</f>
        <v>0</v>
      </c>
      <c r="B55" s="168">
        <f>INPUT!B54</f>
        <v>0</v>
      </c>
      <c r="C55" s="168">
        <f>INPUT!C54</f>
        <v>0</v>
      </c>
      <c r="D55" s="85"/>
      <c r="E55" s="86"/>
      <c r="F55" s="86"/>
      <c r="G55" s="86"/>
      <c r="H55" s="86"/>
      <c r="I55" s="87" t="str">
        <f t="shared" si="0"/>
        <v/>
      </c>
      <c r="J55" s="55" t="str">
        <f t="shared" si="1"/>
        <v/>
      </c>
      <c r="K55" s="88" t="str">
        <f t="shared" si="2"/>
        <v/>
      </c>
      <c r="L55" s="85"/>
      <c r="M55" s="86"/>
      <c r="N55" s="86"/>
      <c r="O55" s="87" t="str">
        <f t="shared" si="3"/>
        <v/>
      </c>
      <c r="P55" s="55" t="str">
        <f t="shared" si="4"/>
        <v/>
      </c>
      <c r="Q55" s="88" t="str">
        <f t="shared" si="5"/>
        <v/>
      </c>
      <c r="R55" s="85"/>
      <c r="S55" s="86"/>
      <c r="T55" s="86"/>
      <c r="U55" s="87" t="str">
        <f t="shared" si="6"/>
        <v/>
      </c>
      <c r="V55" s="55" t="str">
        <f t="shared" si="7"/>
        <v/>
      </c>
      <c r="W55" s="88" t="str">
        <f t="shared" si="8"/>
        <v/>
      </c>
      <c r="X55" s="89" t="str">
        <f t="shared" si="13"/>
        <v/>
      </c>
      <c r="Y55" s="90" t="str">
        <f t="shared" si="14"/>
        <v/>
      </c>
      <c r="Z55" s="91" t="str">
        <f t="shared" si="9"/>
        <v/>
      </c>
      <c r="AB55" s="2"/>
      <c r="AC55" s="1"/>
      <c r="AE55" s="1"/>
      <c r="AF55" s="1"/>
      <c r="AG55" s="1"/>
      <c r="AH55" s="1"/>
      <c r="AI55" s="1"/>
      <c r="AJ55" s="1"/>
      <c r="AK55" s="1"/>
      <c r="AL55" s="1"/>
      <c r="AM55" s="1"/>
      <c r="AN55" s="1"/>
      <c r="AO55" s="1"/>
      <c r="AP55" s="1"/>
      <c r="AQ55" s="1"/>
      <c r="AR55" s="1"/>
      <c r="AS55" s="6"/>
      <c r="AT55" s="41" t="e">
        <f t="shared" si="10"/>
        <v>#DIV/0!</v>
      </c>
      <c r="AU55" s="41" t="e">
        <f t="shared" si="11"/>
        <v>#DIV/0!</v>
      </c>
      <c r="AV55" s="41" t="e">
        <f t="shared" si="12"/>
        <v>#DIV/0!</v>
      </c>
      <c r="AX55" s="6"/>
    </row>
    <row r="56" spans="1:50" ht="18" customHeight="1">
      <c r="A56" s="168">
        <f>INPUT!A55</f>
        <v>0</v>
      </c>
      <c r="B56" s="168">
        <f>INPUT!B55</f>
        <v>0</v>
      </c>
      <c r="C56" s="168">
        <f>INPUT!C55</f>
        <v>0</v>
      </c>
      <c r="D56" s="85"/>
      <c r="E56" s="86"/>
      <c r="F56" s="86"/>
      <c r="G56" s="86"/>
      <c r="H56" s="86"/>
      <c r="I56" s="87" t="str">
        <f t="shared" si="0"/>
        <v/>
      </c>
      <c r="J56" s="55" t="str">
        <f t="shared" si="1"/>
        <v/>
      </c>
      <c r="K56" s="88" t="str">
        <f t="shared" si="2"/>
        <v/>
      </c>
      <c r="L56" s="85"/>
      <c r="M56" s="86"/>
      <c r="N56" s="86"/>
      <c r="O56" s="87" t="str">
        <f t="shared" si="3"/>
        <v/>
      </c>
      <c r="P56" s="55" t="str">
        <f t="shared" si="4"/>
        <v/>
      </c>
      <c r="Q56" s="88" t="str">
        <f t="shared" si="5"/>
        <v/>
      </c>
      <c r="R56" s="85"/>
      <c r="S56" s="86"/>
      <c r="T56" s="86"/>
      <c r="U56" s="87" t="str">
        <f t="shared" si="6"/>
        <v/>
      </c>
      <c r="V56" s="55" t="str">
        <f t="shared" si="7"/>
        <v/>
      </c>
      <c r="W56" s="88" t="str">
        <f t="shared" si="8"/>
        <v/>
      </c>
      <c r="X56" s="89" t="str">
        <f t="shared" si="13"/>
        <v/>
      </c>
      <c r="Y56" s="90" t="str">
        <f t="shared" si="14"/>
        <v/>
      </c>
      <c r="Z56" s="91" t="str">
        <f t="shared" si="9"/>
        <v/>
      </c>
      <c r="AB56" s="2"/>
      <c r="AC56" s="1"/>
      <c r="AE56" s="1"/>
      <c r="AF56" s="1"/>
      <c r="AG56" s="1"/>
      <c r="AH56" s="1"/>
      <c r="AI56" s="1"/>
      <c r="AJ56" s="1"/>
      <c r="AK56" s="1"/>
      <c r="AL56" s="1"/>
      <c r="AM56" s="1"/>
      <c r="AN56" s="1"/>
      <c r="AO56" s="1"/>
      <c r="AP56" s="1"/>
      <c r="AQ56" s="1"/>
      <c r="AR56" s="1"/>
      <c r="AS56" s="6"/>
      <c r="AT56" s="41" t="e">
        <f t="shared" si="10"/>
        <v>#DIV/0!</v>
      </c>
      <c r="AU56" s="41" t="e">
        <f t="shared" si="11"/>
        <v>#DIV/0!</v>
      </c>
      <c r="AV56" s="41" t="e">
        <f t="shared" si="12"/>
        <v>#DIV/0!</v>
      </c>
      <c r="AX56" s="6"/>
    </row>
    <row r="57" spans="1:50" ht="18" customHeight="1">
      <c r="A57" s="168">
        <f>INPUT!A56</f>
        <v>0</v>
      </c>
      <c r="B57" s="168">
        <f>INPUT!B56</f>
        <v>0</v>
      </c>
      <c r="C57" s="168">
        <f>INPUT!C56</f>
        <v>0</v>
      </c>
      <c r="D57" s="85"/>
      <c r="E57" s="86"/>
      <c r="F57" s="86"/>
      <c r="G57" s="86"/>
      <c r="H57" s="86"/>
      <c r="I57" s="87" t="str">
        <f t="shared" si="0"/>
        <v/>
      </c>
      <c r="J57" s="55" t="str">
        <f t="shared" si="1"/>
        <v/>
      </c>
      <c r="K57" s="88" t="str">
        <f t="shared" si="2"/>
        <v/>
      </c>
      <c r="L57" s="85"/>
      <c r="M57" s="86"/>
      <c r="N57" s="86"/>
      <c r="O57" s="87" t="str">
        <f t="shared" si="3"/>
        <v/>
      </c>
      <c r="P57" s="55" t="str">
        <f t="shared" si="4"/>
        <v/>
      </c>
      <c r="Q57" s="88" t="str">
        <f t="shared" si="5"/>
        <v/>
      </c>
      <c r="R57" s="85"/>
      <c r="S57" s="86"/>
      <c r="T57" s="86"/>
      <c r="U57" s="87" t="str">
        <f t="shared" si="6"/>
        <v/>
      </c>
      <c r="V57" s="55" t="str">
        <f t="shared" si="7"/>
        <v/>
      </c>
      <c r="W57" s="88" t="str">
        <f t="shared" si="8"/>
        <v/>
      </c>
      <c r="X57" s="89" t="str">
        <f t="shared" si="13"/>
        <v/>
      </c>
      <c r="Y57" s="90" t="str">
        <f t="shared" si="14"/>
        <v/>
      </c>
      <c r="Z57" s="91" t="str">
        <f t="shared" si="9"/>
        <v/>
      </c>
      <c r="AB57" s="2"/>
      <c r="AC57" s="1"/>
      <c r="AE57" s="1"/>
      <c r="AF57" s="1"/>
      <c r="AG57" s="1"/>
      <c r="AH57" s="1"/>
      <c r="AI57" s="1"/>
      <c r="AJ57" s="1"/>
      <c r="AK57" s="1"/>
      <c r="AL57" s="1"/>
      <c r="AM57" s="1"/>
      <c r="AN57" s="1"/>
      <c r="AO57" s="1"/>
      <c r="AP57" s="1"/>
      <c r="AQ57" s="1"/>
      <c r="AR57" s="1"/>
      <c r="AS57" s="6"/>
      <c r="AT57" s="41" t="e">
        <f t="shared" si="10"/>
        <v>#DIV/0!</v>
      </c>
      <c r="AU57" s="41" t="e">
        <f t="shared" si="11"/>
        <v>#DIV/0!</v>
      </c>
      <c r="AV57" s="41" t="e">
        <f t="shared" si="12"/>
        <v>#DIV/0!</v>
      </c>
      <c r="AX57" s="6"/>
    </row>
    <row r="58" spans="1:50" ht="18" customHeight="1">
      <c r="A58" s="168">
        <f>INPUT!A57</f>
        <v>0</v>
      </c>
      <c r="B58" s="168">
        <f>INPUT!B57</f>
        <v>0</v>
      </c>
      <c r="C58" s="168">
        <f>INPUT!C57</f>
        <v>0</v>
      </c>
      <c r="D58" s="85"/>
      <c r="E58" s="86"/>
      <c r="F58" s="86"/>
      <c r="G58" s="86"/>
      <c r="H58" s="86"/>
      <c r="I58" s="87" t="str">
        <f t="shared" si="0"/>
        <v/>
      </c>
      <c r="J58" s="55" t="str">
        <f t="shared" si="1"/>
        <v/>
      </c>
      <c r="K58" s="88" t="str">
        <f t="shared" si="2"/>
        <v/>
      </c>
      <c r="L58" s="85"/>
      <c r="M58" s="86"/>
      <c r="N58" s="86"/>
      <c r="O58" s="87" t="str">
        <f t="shared" si="3"/>
        <v/>
      </c>
      <c r="P58" s="55" t="str">
        <f t="shared" si="4"/>
        <v/>
      </c>
      <c r="Q58" s="88" t="str">
        <f t="shared" si="5"/>
        <v/>
      </c>
      <c r="R58" s="85"/>
      <c r="S58" s="86"/>
      <c r="T58" s="86"/>
      <c r="U58" s="87" t="str">
        <f t="shared" si="6"/>
        <v/>
      </c>
      <c r="V58" s="55" t="str">
        <f t="shared" si="7"/>
        <v/>
      </c>
      <c r="W58" s="88" t="str">
        <f t="shared" si="8"/>
        <v/>
      </c>
      <c r="X58" s="89" t="str">
        <f t="shared" si="13"/>
        <v/>
      </c>
      <c r="Y58" s="90" t="str">
        <f t="shared" si="14"/>
        <v/>
      </c>
      <c r="Z58" s="91" t="str">
        <f t="shared" si="9"/>
        <v/>
      </c>
      <c r="AB58" s="2"/>
      <c r="AC58" s="1"/>
      <c r="AE58" s="1"/>
      <c r="AF58" s="1"/>
      <c r="AG58" s="1"/>
      <c r="AH58" s="1"/>
      <c r="AI58" s="1"/>
      <c r="AJ58" s="1"/>
      <c r="AK58" s="1"/>
      <c r="AL58" s="1"/>
      <c r="AM58" s="1"/>
      <c r="AN58" s="1"/>
      <c r="AO58" s="1"/>
      <c r="AP58" s="1"/>
      <c r="AQ58" s="1"/>
      <c r="AR58" s="1"/>
      <c r="AS58" s="6"/>
      <c r="AT58" s="41" t="e">
        <f t="shared" si="10"/>
        <v>#DIV/0!</v>
      </c>
      <c r="AU58" s="41" t="e">
        <f t="shared" si="11"/>
        <v>#DIV/0!</v>
      </c>
      <c r="AV58" s="41" t="e">
        <f t="shared" si="12"/>
        <v>#DIV/0!</v>
      </c>
      <c r="AX58" s="6"/>
    </row>
    <row r="59" spans="1:50" ht="18" customHeight="1">
      <c r="A59" s="168">
        <f>INPUT!A58</f>
        <v>0</v>
      </c>
      <c r="B59" s="168">
        <f>INPUT!B58</f>
        <v>0</v>
      </c>
      <c r="C59" s="168">
        <f>INPUT!C58</f>
        <v>0</v>
      </c>
      <c r="D59" s="85"/>
      <c r="E59" s="86"/>
      <c r="F59" s="86"/>
      <c r="G59" s="86"/>
      <c r="H59" s="86"/>
      <c r="I59" s="87" t="str">
        <f t="shared" si="0"/>
        <v/>
      </c>
      <c r="J59" s="55" t="str">
        <f t="shared" si="1"/>
        <v/>
      </c>
      <c r="K59" s="88" t="str">
        <f t="shared" si="2"/>
        <v/>
      </c>
      <c r="L59" s="85"/>
      <c r="M59" s="86"/>
      <c r="N59" s="86"/>
      <c r="O59" s="87" t="str">
        <f t="shared" si="3"/>
        <v/>
      </c>
      <c r="P59" s="55" t="str">
        <f t="shared" si="4"/>
        <v/>
      </c>
      <c r="Q59" s="88" t="str">
        <f t="shared" si="5"/>
        <v/>
      </c>
      <c r="R59" s="85"/>
      <c r="S59" s="86"/>
      <c r="T59" s="86"/>
      <c r="U59" s="87" t="str">
        <f t="shared" si="6"/>
        <v/>
      </c>
      <c r="V59" s="55" t="str">
        <f t="shared" si="7"/>
        <v/>
      </c>
      <c r="W59" s="88" t="str">
        <f t="shared" si="8"/>
        <v/>
      </c>
      <c r="X59" s="89" t="str">
        <f t="shared" si="13"/>
        <v/>
      </c>
      <c r="Y59" s="90" t="str">
        <f t="shared" si="14"/>
        <v/>
      </c>
      <c r="Z59" s="91" t="str">
        <f t="shared" si="9"/>
        <v/>
      </c>
      <c r="AB59" s="2"/>
      <c r="AC59" s="1"/>
      <c r="AE59" s="1"/>
      <c r="AF59" s="1"/>
      <c r="AG59" s="1"/>
      <c r="AH59" s="1"/>
      <c r="AI59" s="1"/>
      <c r="AJ59" s="1"/>
      <c r="AK59" s="1"/>
      <c r="AL59" s="1"/>
      <c r="AM59" s="1"/>
      <c r="AN59" s="1"/>
      <c r="AO59" s="1"/>
      <c r="AP59" s="1"/>
      <c r="AQ59" s="1"/>
      <c r="AR59" s="1"/>
      <c r="AS59" s="6"/>
      <c r="AT59" s="41" t="e">
        <f t="shared" si="10"/>
        <v>#DIV/0!</v>
      </c>
      <c r="AU59" s="41" t="e">
        <f t="shared" si="11"/>
        <v>#DIV/0!</v>
      </c>
      <c r="AV59" s="41" t="e">
        <f t="shared" si="12"/>
        <v>#DIV/0!</v>
      </c>
      <c r="AX59" s="6"/>
    </row>
    <row r="60" spans="1:50" ht="18" customHeight="1">
      <c r="A60" s="168">
        <f>INPUT!A59</f>
        <v>0</v>
      </c>
      <c r="B60" s="168">
        <f>INPUT!B59</f>
        <v>0</v>
      </c>
      <c r="C60" s="168">
        <f>INPUT!C59</f>
        <v>0</v>
      </c>
      <c r="D60" s="85"/>
      <c r="E60" s="86"/>
      <c r="F60" s="86"/>
      <c r="G60" s="86"/>
      <c r="H60" s="86"/>
      <c r="I60" s="87" t="str">
        <f t="shared" si="0"/>
        <v/>
      </c>
      <c r="J60" s="55" t="str">
        <f t="shared" si="1"/>
        <v/>
      </c>
      <c r="K60" s="88" t="str">
        <f t="shared" si="2"/>
        <v/>
      </c>
      <c r="L60" s="85"/>
      <c r="M60" s="86"/>
      <c r="N60" s="86"/>
      <c r="O60" s="87" t="str">
        <f t="shared" si="3"/>
        <v/>
      </c>
      <c r="P60" s="55" t="str">
        <f t="shared" si="4"/>
        <v/>
      </c>
      <c r="Q60" s="88" t="str">
        <f t="shared" si="5"/>
        <v/>
      </c>
      <c r="R60" s="85"/>
      <c r="S60" s="86"/>
      <c r="T60" s="86"/>
      <c r="U60" s="87" t="str">
        <f t="shared" si="6"/>
        <v/>
      </c>
      <c r="V60" s="55" t="str">
        <f t="shared" si="7"/>
        <v/>
      </c>
      <c r="W60" s="88" t="str">
        <f t="shared" si="8"/>
        <v/>
      </c>
      <c r="X60" s="89" t="str">
        <f t="shared" si="13"/>
        <v/>
      </c>
      <c r="Y60" s="90" t="str">
        <f t="shared" si="14"/>
        <v/>
      </c>
      <c r="Z60" s="91" t="str">
        <f t="shared" si="9"/>
        <v/>
      </c>
      <c r="AB60" s="2"/>
      <c r="AC60" s="1"/>
      <c r="AE60" s="1"/>
      <c r="AF60" s="1"/>
      <c r="AG60" s="1"/>
      <c r="AH60" s="1"/>
      <c r="AI60" s="1"/>
      <c r="AJ60" s="1"/>
      <c r="AK60" s="1"/>
      <c r="AL60" s="1"/>
      <c r="AM60" s="1"/>
      <c r="AN60" s="1"/>
      <c r="AO60" s="1"/>
      <c r="AP60" s="1"/>
      <c r="AQ60" s="1"/>
      <c r="AR60" s="1"/>
      <c r="AS60" s="6"/>
      <c r="AT60" s="41" t="e">
        <f t="shared" si="10"/>
        <v>#DIV/0!</v>
      </c>
      <c r="AU60" s="41" t="e">
        <f t="shared" si="11"/>
        <v>#DIV/0!</v>
      </c>
      <c r="AV60" s="41" t="e">
        <f t="shared" si="12"/>
        <v>#DIV/0!</v>
      </c>
      <c r="AX60" s="6"/>
    </row>
    <row r="61" spans="1:50" ht="19.149999999999999" customHeight="1">
      <c r="A61" s="168">
        <f>INPUT!A60</f>
        <v>0</v>
      </c>
      <c r="B61" s="168">
        <f>INPUT!B60</f>
        <v>0</v>
      </c>
      <c r="C61" s="168">
        <f>INPUT!C60</f>
        <v>0</v>
      </c>
      <c r="D61" s="85"/>
      <c r="E61" s="86"/>
      <c r="F61" s="86"/>
      <c r="G61" s="86"/>
      <c r="H61" s="86"/>
      <c r="I61" s="87" t="str">
        <f t="shared" si="0"/>
        <v/>
      </c>
      <c r="J61" s="55" t="str">
        <f t="shared" si="1"/>
        <v/>
      </c>
      <c r="K61" s="88" t="str">
        <f t="shared" si="2"/>
        <v/>
      </c>
      <c r="L61" s="85"/>
      <c r="M61" s="86"/>
      <c r="N61" s="86"/>
      <c r="O61" s="87" t="str">
        <f t="shared" si="3"/>
        <v/>
      </c>
      <c r="P61" s="55" t="str">
        <f t="shared" si="4"/>
        <v/>
      </c>
      <c r="Q61" s="88" t="str">
        <f t="shared" si="5"/>
        <v/>
      </c>
      <c r="R61" s="85"/>
      <c r="S61" s="86"/>
      <c r="T61" s="86"/>
      <c r="U61" s="87" t="str">
        <f t="shared" si="6"/>
        <v/>
      </c>
      <c r="V61" s="55" t="str">
        <f t="shared" si="7"/>
        <v/>
      </c>
      <c r="W61" s="88" t="str">
        <f t="shared" si="8"/>
        <v/>
      </c>
      <c r="X61" s="89" t="str">
        <f t="shared" si="13"/>
        <v/>
      </c>
      <c r="Y61" s="90" t="str">
        <f t="shared" si="14"/>
        <v/>
      </c>
      <c r="Z61" s="91" t="str">
        <f t="shared" si="9"/>
        <v/>
      </c>
      <c r="AB61" s="2"/>
      <c r="AC61" s="1"/>
      <c r="AE61" s="1"/>
      <c r="AF61" s="1"/>
      <c r="AG61" s="1"/>
      <c r="AH61" s="1"/>
      <c r="AI61" s="1"/>
      <c r="AJ61" s="1"/>
      <c r="AK61" s="1"/>
      <c r="AL61" s="1"/>
      <c r="AM61" s="1"/>
      <c r="AN61" s="1"/>
      <c r="AO61" s="1"/>
      <c r="AP61" s="1"/>
      <c r="AQ61" s="1"/>
      <c r="AR61" s="1"/>
      <c r="AS61" s="6"/>
      <c r="AT61" s="41" t="e">
        <f t="shared" si="10"/>
        <v>#DIV/0!</v>
      </c>
      <c r="AU61" s="41" t="e">
        <f t="shared" si="11"/>
        <v>#DIV/0!</v>
      </c>
      <c r="AV61" s="41" t="e">
        <f t="shared" si="12"/>
        <v>#DIV/0!</v>
      </c>
      <c r="AX61" s="6"/>
    </row>
    <row r="62" spans="1:50" ht="18" customHeight="1" thickBot="1">
      <c r="A62" s="168"/>
      <c r="B62" s="168"/>
      <c r="C62" s="168"/>
      <c r="D62" s="105"/>
      <c r="E62" s="106"/>
      <c r="F62" s="106"/>
      <c r="G62" s="106"/>
      <c r="H62" s="106"/>
      <c r="I62" s="107" t="str">
        <f t="shared" si="0"/>
        <v/>
      </c>
      <c r="J62" s="108" t="str">
        <f t="shared" si="1"/>
        <v/>
      </c>
      <c r="K62" s="109" t="str">
        <f t="shared" si="2"/>
        <v/>
      </c>
      <c r="L62" s="105"/>
      <c r="M62" s="106"/>
      <c r="N62" s="106"/>
      <c r="O62" s="107" t="str">
        <f t="shared" si="3"/>
        <v/>
      </c>
      <c r="P62" s="108" t="str">
        <f t="shared" si="4"/>
        <v/>
      </c>
      <c r="Q62" s="109" t="str">
        <f t="shared" si="5"/>
        <v/>
      </c>
      <c r="R62" s="105"/>
      <c r="S62" s="106"/>
      <c r="T62" s="106"/>
      <c r="U62" s="107" t="str">
        <f t="shared" si="6"/>
        <v/>
      </c>
      <c r="V62" s="108" t="str">
        <f t="shared" si="7"/>
        <v/>
      </c>
      <c r="W62" s="109" t="str">
        <f t="shared" si="8"/>
        <v/>
      </c>
      <c r="X62" s="110" t="str">
        <f t="shared" si="13"/>
        <v/>
      </c>
      <c r="Y62" s="111" t="str">
        <f t="shared" si="14"/>
        <v/>
      </c>
      <c r="Z62" s="112" t="str">
        <f t="shared" si="9"/>
        <v/>
      </c>
      <c r="AB62" s="2"/>
      <c r="AC62" s="1"/>
      <c r="AE62" s="1"/>
      <c r="AF62" s="1"/>
      <c r="AG62" s="1"/>
      <c r="AH62" s="1"/>
      <c r="AI62" s="1"/>
      <c r="AJ62" s="1"/>
      <c r="AK62" s="1"/>
      <c r="AL62" s="1"/>
      <c r="AM62" s="1"/>
      <c r="AN62" s="1"/>
      <c r="AO62" s="1"/>
      <c r="AP62" s="1"/>
      <c r="AQ62" s="1"/>
      <c r="AR62" s="1"/>
      <c r="AS62" s="6"/>
      <c r="AT62" s="41" t="e">
        <f t="shared" si="10"/>
        <v>#DIV/0!</v>
      </c>
      <c r="AU62" s="41" t="e">
        <f t="shared" si="11"/>
        <v>#DIV/0!</v>
      </c>
      <c r="AV62" s="41" t="e">
        <f t="shared" si="12"/>
        <v>#DIV/0!</v>
      </c>
      <c r="AX62" s="6"/>
    </row>
    <row r="63" spans="1:50" ht="18" hidden="1" customHeight="1" thickBot="1">
      <c r="A63" s="174" t="s">
        <v>99</v>
      </c>
      <c r="B63" s="168" t="s">
        <v>103</v>
      </c>
      <c r="C63" s="168" t="str">
        <f>INPUT!C62</f>
        <v xml:space="preserve">FEMALE </v>
      </c>
      <c r="D63" s="205"/>
      <c r="E63" s="206"/>
      <c r="F63" s="207"/>
      <c r="G63" s="207"/>
      <c r="H63" s="207"/>
      <c r="I63" s="208"/>
      <c r="J63" s="117"/>
      <c r="K63" s="118"/>
      <c r="L63" s="209"/>
      <c r="M63" s="207"/>
      <c r="N63" s="207"/>
      <c r="O63" s="208"/>
      <c r="P63" s="117"/>
      <c r="Q63" s="118"/>
      <c r="R63" s="209"/>
      <c r="S63" s="207"/>
      <c r="T63" s="207"/>
      <c r="U63" s="208"/>
      <c r="V63" s="117"/>
      <c r="W63" s="118"/>
      <c r="X63" s="119"/>
      <c r="Y63" s="120"/>
      <c r="Z63" s="121"/>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53"/>
      <c r="B64" s="355" t="s">
        <v>14</v>
      </c>
      <c r="C64" s="356"/>
      <c r="D64" s="166"/>
      <c r="E64" s="167"/>
      <c r="F64" s="167"/>
      <c r="G64" s="167"/>
      <c r="H64" s="167"/>
      <c r="I64" s="254"/>
      <c r="J64" s="254"/>
      <c r="K64" s="254"/>
      <c r="L64" s="167"/>
      <c r="M64" s="167"/>
      <c r="N64" s="167"/>
      <c r="O64" s="254"/>
      <c r="P64" s="254"/>
      <c r="Q64" s="254"/>
      <c r="R64" s="167"/>
      <c r="S64" s="167"/>
      <c r="T64" s="167"/>
      <c r="U64" s="254"/>
      <c r="V64" s="255"/>
      <c r="W64" s="255"/>
      <c r="X64" s="255"/>
      <c r="Y64" s="256"/>
      <c r="Z64" s="257"/>
      <c r="AB64" s="2"/>
      <c r="AC64" s="1"/>
      <c r="AE64" s="1"/>
      <c r="AF64" s="1"/>
      <c r="AG64" s="1"/>
      <c r="AH64" s="1"/>
      <c r="AI64" s="1"/>
      <c r="AJ64" s="1"/>
      <c r="AK64" s="1"/>
      <c r="AL64" s="1"/>
      <c r="AM64" s="1"/>
      <c r="AN64" s="1"/>
      <c r="AO64" s="1"/>
      <c r="AP64" s="1"/>
      <c r="AQ64" s="1"/>
      <c r="AR64" s="1"/>
      <c r="AS64" s="6"/>
      <c r="AT64" s="41" t="e">
        <f>(R64/$R$10)*100</f>
        <v>#DIV/0!</v>
      </c>
      <c r="AU64" s="41" t="e">
        <f>(S64/$S$10)*100</f>
        <v>#DIV/0!</v>
      </c>
      <c r="AV64" s="41" t="e">
        <f>(T64/$T$10)*100</f>
        <v>#DIV/0!</v>
      </c>
      <c r="AX64" s="6"/>
    </row>
    <row r="65" spans="1:50" ht="17.25" hidden="1" customHeight="1" thickBot="1">
      <c r="A65" s="175" t="s">
        <v>91</v>
      </c>
      <c r="B65" s="185" t="s">
        <v>92</v>
      </c>
      <c r="C65" s="184" t="s">
        <v>93</v>
      </c>
      <c r="D65" s="113"/>
      <c r="E65" s="114"/>
      <c r="F65" s="114"/>
      <c r="G65" s="114"/>
      <c r="H65" s="114"/>
      <c r="I65" s="115"/>
      <c r="J65" s="115"/>
      <c r="K65" s="116"/>
      <c r="L65" s="113"/>
      <c r="M65" s="114"/>
      <c r="N65" s="114"/>
      <c r="O65" s="115"/>
      <c r="P65" s="115"/>
      <c r="Q65" s="116"/>
      <c r="R65" s="113"/>
      <c r="S65" s="114"/>
      <c r="T65" s="114"/>
      <c r="U65" s="115"/>
      <c r="V65" s="117"/>
      <c r="W65" s="118"/>
      <c r="X65" s="119"/>
      <c r="Y65" s="120"/>
      <c r="Z65" s="121"/>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64"/>
      <c r="E66" s="165"/>
      <c r="F66" s="78"/>
      <c r="G66" s="78"/>
      <c r="H66" s="78"/>
      <c r="I66" s="79" t="str">
        <f t="shared" si="0"/>
        <v/>
      </c>
      <c r="J66" s="80" t="str">
        <f t="shared" si="1"/>
        <v/>
      </c>
      <c r="K66" s="81" t="str">
        <f t="shared" si="2"/>
        <v/>
      </c>
      <c r="L66" s="77"/>
      <c r="M66" s="78"/>
      <c r="N66" s="78"/>
      <c r="O66" s="79" t="str">
        <f t="shared" si="3"/>
        <v/>
      </c>
      <c r="P66" s="80" t="str">
        <f t="shared" si="4"/>
        <v/>
      </c>
      <c r="Q66" s="81" t="str">
        <f t="shared" si="5"/>
        <v/>
      </c>
      <c r="R66" s="77"/>
      <c r="S66" s="78"/>
      <c r="T66" s="78"/>
      <c r="U66" s="79" t="str">
        <f t="shared" si="6"/>
        <v/>
      </c>
      <c r="V66" s="80" t="str">
        <f t="shared" si="7"/>
        <v/>
      </c>
      <c r="W66" s="81" t="str">
        <f t="shared" si="8"/>
        <v/>
      </c>
      <c r="X66" s="82" t="str">
        <f t="shared" si="13"/>
        <v/>
      </c>
      <c r="Y66" s="83" t="str">
        <f t="shared" si="14"/>
        <v/>
      </c>
      <c r="Z66" s="84" t="str">
        <f t="shared" si="9"/>
        <v/>
      </c>
      <c r="AB66" s="2"/>
      <c r="AC66" s="1"/>
      <c r="AE66" s="1"/>
      <c r="AF66" s="1"/>
      <c r="AG66" s="1"/>
      <c r="AH66" s="1"/>
      <c r="AI66" s="1"/>
      <c r="AJ66" s="1"/>
      <c r="AK66" s="1"/>
      <c r="AL66" s="1"/>
      <c r="AM66" s="1"/>
      <c r="AN66" s="1"/>
      <c r="AO66" s="1"/>
      <c r="AP66" s="1"/>
      <c r="AQ66" s="1"/>
      <c r="AR66" s="1"/>
      <c r="AS66" s="6"/>
      <c r="AT66" s="41" t="e">
        <f t="shared" si="10"/>
        <v>#DIV/0!</v>
      </c>
      <c r="AU66" s="41" t="e">
        <f t="shared" si="11"/>
        <v>#DIV/0!</v>
      </c>
      <c r="AV66" s="41" t="e">
        <f t="shared" si="12"/>
        <v>#DIV/0!</v>
      </c>
      <c r="AX66" s="6"/>
    </row>
    <row r="67" spans="1:50" ht="18" customHeight="1">
      <c r="A67" s="35">
        <f>INPUT!A65</f>
        <v>0</v>
      </c>
      <c r="B67" s="35">
        <f>INPUT!B65</f>
        <v>0</v>
      </c>
      <c r="C67" s="35">
        <f>INPUT!C65</f>
        <v>0</v>
      </c>
      <c r="D67" s="85"/>
      <c r="E67" s="86"/>
      <c r="F67" s="86"/>
      <c r="G67" s="86"/>
      <c r="H67" s="86"/>
      <c r="I67" s="87" t="str">
        <f t="shared" si="0"/>
        <v/>
      </c>
      <c r="J67" s="55" t="str">
        <f t="shared" si="1"/>
        <v/>
      </c>
      <c r="K67" s="88" t="str">
        <f t="shared" si="2"/>
        <v/>
      </c>
      <c r="L67" s="85"/>
      <c r="M67" s="86"/>
      <c r="N67" s="86"/>
      <c r="O67" s="87" t="str">
        <f t="shared" si="3"/>
        <v/>
      </c>
      <c r="P67" s="55" t="str">
        <f t="shared" si="4"/>
        <v/>
      </c>
      <c r="Q67" s="88" t="str">
        <f t="shared" si="5"/>
        <v/>
      </c>
      <c r="R67" s="85"/>
      <c r="S67" s="86"/>
      <c r="T67" s="86"/>
      <c r="U67" s="87" t="str">
        <f t="shared" si="6"/>
        <v/>
      </c>
      <c r="V67" s="55" t="str">
        <f t="shared" si="7"/>
        <v/>
      </c>
      <c r="W67" s="88" t="str">
        <f t="shared" si="8"/>
        <v/>
      </c>
      <c r="X67" s="89" t="str">
        <f t="shared" si="13"/>
        <v/>
      </c>
      <c r="Y67" s="90" t="str">
        <f t="shared" si="14"/>
        <v/>
      </c>
      <c r="Z67" s="91" t="str">
        <f t="shared" si="9"/>
        <v/>
      </c>
      <c r="AB67" s="2"/>
      <c r="AC67" s="1"/>
      <c r="AE67" s="1"/>
      <c r="AF67" s="1"/>
      <c r="AG67" s="1"/>
      <c r="AH67" s="1"/>
      <c r="AI67" s="1"/>
      <c r="AJ67" s="1"/>
      <c r="AK67" s="1"/>
      <c r="AL67" s="1"/>
      <c r="AM67" s="1"/>
      <c r="AN67" s="1"/>
      <c r="AO67" s="1"/>
      <c r="AP67" s="1"/>
      <c r="AQ67" s="1"/>
      <c r="AR67" s="1"/>
      <c r="AS67" s="6"/>
      <c r="AT67" s="41" t="e">
        <f t="shared" si="10"/>
        <v>#DIV/0!</v>
      </c>
      <c r="AU67" s="41" t="e">
        <f t="shared" si="11"/>
        <v>#DIV/0!</v>
      </c>
      <c r="AV67" s="41" t="e">
        <f t="shared" si="12"/>
        <v>#DIV/0!</v>
      </c>
      <c r="AX67" s="6"/>
    </row>
    <row r="68" spans="1:50" ht="18" customHeight="1">
      <c r="A68" s="35">
        <f>INPUT!A66</f>
        <v>0</v>
      </c>
      <c r="B68" s="35">
        <f>INPUT!B66</f>
        <v>0</v>
      </c>
      <c r="C68" s="35">
        <f>INPUT!C66</f>
        <v>0</v>
      </c>
      <c r="D68" s="85"/>
      <c r="E68" s="86"/>
      <c r="F68" s="86"/>
      <c r="G68" s="86"/>
      <c r="H68" s="86"/>
      <c r="I68" s="87" t="str">
        <f t="shared" si="0"/>
        <v/>
      </c>
      <c r="J68" s="55" t="str">
        <f t="shared" si="1"/>
        <v/>
      </c>
      <c r="K68" s="88" t="str">
        <f t="shared" si="2"/>
        <v/>
      </c>
      <c r="L68" s="85"/>
      <c r="M68" s="86"/>
      <c r="N68" s="86"/>
      <c r="O68" s="87" t="str">
        <f t="shared" si="3"/>
        <v/>
      </c>
      <c r="P68" s="55" t="str">
        <f t="shared" si="4"/>
        <v/>
      </c>
      <c r="Q68" s="88" t="str">
        <f t="shared" si="5"/>
        <v/>
      </c>
      <c r="R68" s="162"/>
      <c r="S68" s="86"/>
      <c r="T68" s="163"/>
      <c r="U68" s="87" t="str">
        <f t="shared" si="6"/>
        <v/>
      </c>
      <c r="V68" s="55" t="str">
        <f t="shared" si="7"/>
        <v/>
      </c>
      <c r="W68" s="88" t="str">
        <f t="shared" si="8"/>
        <v/>
      </c>
      <c r="X68" s="89" t="str">
        <f t="shared" si="13"/>
        <v/>
      </c>
      <c r="Y68" s="90" t="str">
        <f t="shared" si="14"/>
        <v/>
      </c>
      <c r="Z68" s="91" t="str">
        <f t="shared" si="9"/>
        <v/>
      </c>
      <c r="AB68" s="2"/>
      <c r="AC68" s="1"/>
      <c r="AE68" s="1"/>
      <c r="AF68" s="1"/>
      <c r="AG68" s="1"/>
      <c r="AH68" s="1"/>
      <c r="AI68" s="1"/>
      <c r="AJ68" s="1"/>
      <c r="AK68" s="1"/>
      <c r="AL68" s="1"/>
      <c r="AM68" s="1"/>
      <c r="AN68" s="1"/>
      <c r="AO68" s="1"/>
      <c r="AP68" s="1"/>
      <c r="AQ68" s="1"/>
      <c r="AR68" s="1"/>
      <c r="AS68" s="6"/>
      <c r="AT68" s="41" t="e">
        <f t="shared" si="10"/>
        <v>#DIV/0!</v>
      </c>
      <c r="AU68" s="41" t="e">
        <f t="shared" si="11"/>
        <v>#DIV/0!</v>
      </c>
      <c r="AV68" s="41" t="e">
        <f t="shared" si="12"/>
        <v>#DIV/0!</v>
      </c>
      <c r="AX68" s="6"/>
    </row>
    <row r="69" spans="1:50" ht="18" customHeight="1">
      <c r="A69" s="35">
        <f>INPUT!A67</f>
        <v>0</v>
      </c>
      <c r="B69" s="35">
        <f>INPUT!B67</f>
        <v>0</v>
      </c>
      <c r="C69" s="35">
        <f>INPUT!C67</f>
        <v>0</v>
      </c>
      <c r="D69" s="85"/>
      <c r="E69" s="86"/>
      <c r="F69" s="86"/>
      <c r="G69" s="86"/>
      <c r="H69" s="86"/>
      <c r="I69" s="87" t="str">
        <f t="shared" si="0"/>
        <v/>
      </c>
      <c r="J69" s="55" t="str">
        <f t="shared" si="1"/>
        <v/>
      </c>
      <c r="K69" s="88" t="str">
        <f t="shared" si="2"/>
        <v/>
      </c>
      <c r="L69" s="85"/>
      <c r="M69" s="86"/>
      <c r="N69" s="86"/>
      <c r="O69" s="87" t="str">
        <f t="shared" si="3"/>
        <v/>
      </c>
      <c r="P69" s="55" t="str">
        <f t="shared" si="4"/>
        <v/>
      </c>
      <c r="Q69" s="88" t="str">
        <f t="shared" si="5"/>
        <v/>
      </c>
      <c r="R69" s="85"/>
      <c r="S69" s="86"/>
      <c r="T69" s="86"/>
      <c r="U69" s="87" t="str">
        <f t="shared" si="6"/>
        <v/>
      </c>
      <c r="V69" s="55" t="str">
        <f t="shared" si="7"/>
        <v/>
      </c>
      <c r="W69" s="88" t="str">
        <f t="shared" si="8"/>
        <v/>
      </c>
      <c r="X69" s="89" t="str">
        <f t="shared" si="13"/>
        <v/>
      </c>
      <c r="Y69" s="90" t="str">
        <f t="shared" si="14"/>
        <v/>
      </c>
      <c r="Z69" s="91" t="str">
        <f t="shared" si="9"/>
        <v/>
      </c>
      <c r="AB69" s="2"/>
      <c r="AC69" s="1"/>
      <c r="AE69" s="1"/>
      <c r="AF69" s="1"/>
      <c r="AG69" s="1"/>
      <c r="AH69" s="1"/>
      <c r="AI69" s="1"/>
      <c r="AJ69" s="1"/>
      <c r="AK69" s="1"/>
      <c r="AL69" s="1"/>
      <c r="AM69" s="1"/>
      <c r="AN69" s="1"/>
      <c r="AO69" s="1"/>
      <c r="AP69" s="1"/>
      <c r="AQ69" s="1"/>
      <c r="AR69" s="1"/>
      <c r="AS69" s="6"/>
      <c r="AT69" s="41" t="e">
        <f t="shared" si="10"/>
        <v>#DIV/0!</v>
      </c>
      <c r="AU69" s="41" t="e">
        <f t="shared" si="11"/>
        <v>#DIV/0!</v>
      </c>
      <c r="AV69" s="41" t="e">
        <f t="shared" si="12"/>
        <v>#DIV/0!</v>
      </c>
      <c r="AX69" s="6"/>
    </row>
    <row r="70" spans="1:50" ht="18" customHeight="1">
      <c r="A70" s="35">
        <f>INPUT!A68</f>
        <v>0</v>
      </c>
      <c r="B70" s="35">
        <f>INPUT!B68</f>
        <v>0</v>
      </c>
      <c r="C70" s="35">
        <f>INPUT!C68</f>
        <v>0</v>
      </c>
      <c r="D70" s="85"/>
      <c r="E70" s="86"/>
      <c r="F70" s="86"/>
      <c r="G70" s="86"/>
      <c r="H70" s="86"/>
      <c r="I70" s="87" t="str">
        <f t="shared" si="0"/>
        <v/>
      </c>
      <c r="J70" s="55" t="str">
        <f t="shared" si="1"/>
        <v/>
      </c>
      <c r="K70" s="88" t="str">
        <f t="shared" si="2"/>
        <v/>
      </c>
      <c r="L70" s="85"/>
      <c r="M70" s="86"/>
      <c r="N70" s="86"/>
      <c r="O70" s="87" t="str">
        <f t="shared" si="3"/>
        <v/>
      </c>
      <c r="P70" s="55" t="str">
        <f t="shared" si="4"/>
        <v/>
      </c>
      <c r="Q70" s="88" t="str">
        <f t="shared" si="5"/>
        <v/>
      </c>
      <c r="R70" s="85"/>
      <c r="S70" s="86"/>
      <c r="T70" s="86"/>
      <c r="U70" s="87" t="str">
        <f t="shared" si="6"/>
        <v/>
      </c>
      <c r="V70" s="55" t="str">
        <f t="shared" si="7"/>
        <v/>
      </c>
      <c r="W70" s="88" t="str">
        <f t="shared" si="8"/>
        <v/>
      </c>
      <c r="X70" s="89" t="str">
        <f t="shared" si="13"/>
        <v/>
      </c>
      <c r="Y70" s="90" t="str">
        <f t="shared" si="14"/>
        <v/>
      </c>
      <c r="Z70" s="91" t="str">
        <f t="shared" si="9"/>
        <v/>
      </c>
      <c r="AB70" s="2"/>
      <c r="AC70" s="1"/>
      <c r="AE70" s="1"/>
      <c r="AF70" s="1"/>
      <c r="AG70" s="1"/>
      <c r="AH70" s="1"/>
      <c r="AI70" s="1"/>
      <c r="AJ70" s="1"/>
      <c r="AK70" s="1"/>
      <c r="AL70" s="1"/>
      <c r="AM70" s="1"/>
      <c r="AN70" s="1"/>
      <c r="AO70" s="1"/>
      <c r="AP70" s="1"/>
      <c r="AQ70" s="1"/>
      <c r="AR70" s="1"/>
      <c r="AS70" s="6"/>
      <c r="AT70" s="41" t="e">
        <f t="shared" si="10"/>
        <v>#DIV/0!</v>
      </c>
      <c r="AU70" s="41" t="e">
        <f t="shared" si="11"/>
        <v>#DIV/0!</v>
      </c>
      <c r="AV70" s="41" t="e">
        <f t="shared" si="12"/>
        <v>#DIV/0!</v>
      </c>
      <c r="AX70" s="6"/>
    </row>
    <row r="71" spans="1:50" ht="18" customHeight="1">
      <c r="A71" s="35">
        <f>INPUT!A69</f>
        <v>0</v>
      </c>
      <c r="B71" s="35">
        <f>INPUT!B69</f>
        <v>0</v>
      </c>
      <c r="C71" s="35">
        <f>INPUT!C69</f>
        <v>0</v>
      </c>
      <c r="D71" s="85"/>
      <c r="E71" s="86"/>
      <c r="F71" s="86"/>
      <c r="G71" s="86"/>
      <c r="H71" s="86"/>
      <c r="I71" s="87" t="str">
        <f t="shared" si="0"/>
        <v/>
      </c>
      <c r="J71" s="55" t="str">
        <f t="shared" si="1"/>
        <v/>
      </c>
      <c r="K71" s="88" t="str">
        <f t="shared" si="2"/>
        <v/>
      </c>
      <c r="L71" s="85"/>
      <c r="M71" s="86"/>
      <c r="N71" s="86"/>
      <c r="O71" s="87" t="str">
        <f t="shared" si="3"/>
        <v/>
      </c>
      <c r="P71" s="55" t="str">
        <f t="shared" si="4"/>
        <v/>
      </c>
      <c r="Q71" s="88" t="str">
        <f t="shared" si="5"/>
        <v/>
      </c>
      <c r="R71" s="85"/>
      <c r="S71" s="86"/>
      <c r="T71" s="86"/>
      <c r="U71" s="87" t="str">
        <f t="shared" si="6"/>
        <v/>
      </c>
      <c r="V71" s="55" t="str">
        <f t="shared" si="7"/>
        <v/>
      </c>
      <c r="W71" s="88" t="str">
        <f t="shared" si="8"/>
        <v/>
      </c>
      <c r="X71" s="89" t="str">
        <f t="shared" si="13"/>
        <v/>
      </c>
      <c r="Y71" s="90" t="str">
        <f t="shared" si="14"/>
        <v/>
      </c>
      <c r="Z71" s="91" t="str">
        <f t="shared" si="9"/>
        <v/>
      </c>
      <c r="AB71" s="2"/>
      <c r="AC71" s="1"/>
      <c r="AE71" s="1"/>
      <c r="AF71" s="1"/>
      <c r="AG71" s="1"/>
      <c r="AH71" s="1"/>
      <c r="AI71" s="1"/>
      <c r="AJ71" s="1"/>
      <c r="AK71" s="1"/>
      <c r="AL71" s="1"/>
      <c r="AM71" s="1"/>
      <c r="AN71" s="1"/>
      <c r="AO71" s="1"/>
      <c r="AP71" s="1"/>
      <c r="AQ71" s="1"/>
      <c r="AR71" s="1"/>
      <c r="AS71" s="6"/>
      <c r="AT71" s="41" t="e">
        <f t="shared" si="10"/>
        <v>#DIV/0!</v>
      </c>
      <c r="AU71" s="41" t="e">
        <f t="shared" si="11"/>
        <v>#DIV/0!</v>
      </c>
      <c r="AV71" s="41" t="e">
        <f t="shared" si="12"/>
        <v>#DIV/0!</v>
      </c>
      <c r="AX71" s="6"/>
    </row>
    <row r="72" spans="1:50" ht="18" customHeight="1">
      <c r="A72" s="35">
        <f>INPUT!A70</f>
        <v>0</v>
      </c>
      <c r="B72" s="35">
        <f>INPUT!B70</f>
        <v>0</v>
      </c>
      <c r="C72" s="35">
        <f>INPUT!C70</f>
        <v>0</v>
      </c>
      <c r="D72" s="85"/>
      <c r="E72" s="86"/>
      <c r="F72" s="86"/>
      <c r="G72" s="86"/>
      <c r="H72" s="86"/>
      <c r="I72" s="87" t="str">
        <f t="shared" si="0"/>
        <v/>
      </c>
      <c r="J72" s="55" t="str">
        <f t="shared" si="1"/>
        <v/>
      </c>
      <c r="K72" s="88" t="str">
        <f t="shared" si="2"/>
        <v/>
      </c>
      <c r="L72" s="85"/>
      <c r="M72" s="86"/>
      <c r="N72" s="86"/>
      <c r="O72" s="87" t="str">
        <f t="shared" si="3"/>
        <v/>
      </c>
      <c r="P72" s="55" t="str">
        <f t="shared" si="4"/>
        <v/>
      </c>
      <c r="Q72" s="88" t="str">
        <f t="shared" si="5"/>
        <v/>
      </c>
      <c r="R72" s="85"/>
      <c r="S72" s="86"/>
      <c r="T72" s="86"/>
      <c r="U72" s="87" t="str">
        <f t="shared" si="6"/>
        <v/>
      </c>
      <c r="V72" s="55" t="str">
        <f t="shared" si="7"/>
        <v/>
      </c>
      <c r="W72" s="88" t="str">
        <f t="shared" si="8"/>
        <v/>
      </c>
      <c r="X72" s="89" t="str">
        <f t="shared" si="13"/>
        <v/>
      </c>
      <c r="Y72" s="90" t="str">
        <f t="shared" si="14"/>
        <v/>
      </c>
      <c r="Z72" s="91" t="str">
        <f t="shared" si="9"/>
        <v/>
      </c>
      <c r="AB72" s="2"/>
      <c r="AC72" s="1"/>
      <c r="AE72" s="1"/>
      <c r="AF72" s="1"/>
      <c r="AG72" s="1"/>
      <c r="AH72" s="1"/>
      <c r="AI72" s="1"/>
      <c r="AJ72" s="1"/>
      <c r="AK72" s="1"/>
      <c r="AL72" s="1"/>
      <c r="AM72" s="1"/>
      <c r="AN72" s="1"/>
      <c r="AO72" s="1"/>
      <c r="AP72" s="1"/>
      <c r="AQ72" s="1"/>
      <c r="AR72" s="1"/>
      <c r="AS72" s="6"/>
      <c r="AT72" s="41" t="e">
        <f t="shared" si="10"/>
        <v>#DIV/0!</v>
      </c>
      <c r="AU72" s="41" t="e">
        <f t="shared" si="11"/>
        <v>#DIV/0!</v>
      </c>
      <c r="AV72" s="41" t="e">
        <f t="shared" si="12"/>
        <v>#DIV/0!</v>
      </c>
      <c r="AX72" s="6"/>
    </row>
    <row r="73" spans="1:50" ht="18" customHeight="1">
      <c r="A73" s="35">
        <f>INPUT!A71</f>
        <v>0</v>
      </c>
      <c r="B73" s="35">
        <f>INPUT!B71</f>
        <v>0</v>
      </c>
      <c r="C73" s="35">
        <f>INPUT!C71</f>
        <v>0</v>
      </c>
      <c r="D73" s="85"/>
      <c r="E73" s="86"/>
      <c r="F73" s="86"/>
      <c r="G73" s="86"/>
      <c r="H73" s="86"/>
      <c r="I73" s="87" t="str">
        <f t="shared" si="0"/>
        <v/>
      </c>
      <c r="J73" s="55" t="str">
        <f t="shared" si="1"/>
        <v/>
      </c>
      <c r="K73" s="88" t="str">
        <f t="shared" si="2"/>
        <v/>
      </c>
      <c r="L73" s="85"/>
      <c r="M73" s="86"/>
      <c r="N73" s="86"/>
      <c r="O73" s="87" t="str">
        <f t="shared" si="3"/>
        <v/>
      </c>
      <c r="P73" s="55" t="str">
        <f t="shared" si="4"/>
        <v/>
      </c>
      <c r="Q73" s="88" t="str">
        <f t="shared" si="5"/>
        <v/>
      </c>
      <c r="R73" s="85"/>
      <c r="S73" s="86"/>
      <c r="T73" s="86"/>
      <c r="U73" s="87" t="str">
        <f t="shared" si="6"/>
        <v/>
      </c>
      <c r="V73" s="55" t="str">
        <f t="shared" si="7"/>
        <v/>
      </c>
      <c r="W73" s="88" t="str">
        <f t="shared" si="8"/>
        <v/>
      </c>
      <c r="X73" s="89" t="str">
        <f t="shared" si="13"/>
        <v/>
      </c>
      <c r="Y73" s="90" t="str">
        <f t="shared" si="14"/>
        <v/>
      </c>
      <c r="Z73" s="91" t="str">
        <f t="shared" si="9"/>
        <v/>
      </c>
      <c r="AB73" s="2"/>
      <c r="AC73" s="1"/>
      <c r="AE73" s="1"/>
      <c r="AF73" s="1"/>
      <c r="AG73" s="1"/>
      <c r="AH73" s="1"/>
      <c r="AI73" s="1"/>
      <c r="AJ73" s="1"/>
      <c r="AK73" s="1"/>
      <c r="AL73" s="1"/>
      <c r="AM73" s="1"/>
      <c r="AN73" s="1"/>
      <c r="AO73" s="1"/>
      <c r="AP73" s="1"/>
      <c r="AQ73" s="1"/>
      <c r="AR73" s="1"/>
      <c r="AS73" s="6"/>
      <c r="AT73" s="41" t="e">
        <f t="shared" si="10"/>
        <v>#DIV/0!</v>
      </c>
      <c r="AU73" s="41" t="e">
        <f t="shared" si="11"/>
        <v>#DIV/0!</v>
      </c>
      <c r="AV73" s="41" t="e">
        <f t="shared" si="12"/>
        <v>#DIV/0!</v>
      </c>
      <c r="AX73" s="6"/>
    </row>
    <row r="74" spans="1:50" ht="18" customHeight="1">
      <c r="A74" s="35">
        <f>INPUT!A72</f>
        <v>0</v>
      </c>
      <c r="B74" s="35">
        <f>INPUT!B72</f>
        <v>0</v>
      </c>
      <c r="C74" s="35">
        <f>INPUT!C72</f>
        <v>0</v>
      </c>
      <c r="D74" s="85"/>
      <c r="E74" s="86"/>
      <c r="F74" s="86"/>
      <c r="G74" s="86"/>
      <c r="H74" s="86"/>
      <c r="I74" s="87" t="str">
        <f t="shared" si="0"/>
        <v/>
      </c>
      <c r="J74" s="55" t="str">
        <f t="shared" si="1"/>
        <v/>
      </c>
      <c r="K74" s="88" t="str">
        <f t="shared" si="2"/>
        <v/>
      </c>
      <c r="L74" s="85"/>
      <c r="M74" s="86"/>
      <c r="N74" s="86"/>
      <c r="O74" s="87" t="str">
        <f t="shared" si="3"/>
        <v/>
      </c>
      <c r="P74" s="55" t="str">
        <f t="shared" si="4"/>
        <v/>
      </c>
      <c r="Q74" s="88" t="str">
        <f t="shared" si="5"/>
        <v/>
      </c>
      <c r="R74" s="85"/>
      <c r="S74" s="86"/>
      <c r="T74" s="86"/>
      <c r="U74" s="87" t="str">
        <f t="shared" si="6"/>
        <v/>
      </c>
      <c r="V74" s="55" t="str">
        <f t="shared" si="7"/>
        <v/>
      </c>
      <c r="W74" s="88" t="str">
        <f t="shared" si="8"/>
        <v/>
      </c>
      <c r="X74" s="89" t="str">
        <f t="shared" si="13"/>
        <v/>
      </c>
      <c r="Y74" s="90" t="str">
        <f t="shared" si="14"/>
        <v/>
      </c>
      <c r="Z74" s="91" t="str">
        <f t="shared" si="9"/>
        <v/>
      </c>
      <c r="AB74" s="2"/>
      <c r="AC74" s="1"/>
      <c r="AE74" s="1"/>
      <c r="AF74" s="1"/>
      <c r="AG74" s="1"/>
      <c r="AH74" s="1"/>
      <c r="AI74" s="1"/>
      <c r="AJ74" s="1"/>
      <c r="AK74" s="1"/>
      <c r="AL74" s="1"/>
      <c r="AM74" s="1"/>
      <c r="AN74" s="1"/>
      <c r="AO74" s="1"/>
      <c r="AP74" s="1"/>
      <c r="AQ74" s="1"/>
      <c r="AR74" s="1"/>
      <c r="AS74" s="6"/>
      <c r="AT74" s="41" t="e">
        <f t="shared" si="10"/>
        <v>#DIV/0!</v>
      </c>
      <c r="AU74" s="41" t="e">
        <f t="shared" si="11"/>
        <v>#DIV/0!</v>
      </c>
      <c r="AV74" s="41" t="e">
        <f t="shared" si="12"/>
        <v>#DIV/0!</v>
      </c>
      <c r="AX74" s="6"/>
    </row>
    <row r="75" spans="1:50" ht="18" customHeight="1">
      <c r="A75" s="35">
        <f>INPUT!A73</f>
        <v>0</v>
      </c>
      <c r="B75" s="35">
        <f>INPUT!B73</f>
        <v>0</v>
      </c>
      <c r="C75" s="35">
        <f>INPUT!C73</f>
        <v>0</v>
      </c>
      <c r="D75" s="85"/>
      <c r="E75" s="86"/>
      <c r="F75" s="86"/>
      <c r="G75" s="86"/>
      <c r="H75" s="86"/>
      <c r="I75" s="87" t="str">
        <f t="shared" si="0"/>
        <v/>
      </c>
      <c r="J75" s="55" t="str">
        <f t="shared" si="1"/>
        <v/>
      </c>
      <c r="K75" s="88" t="str">
        <f t="shared" si="2"/>
        <v/>
      </c>
      <c r="L75" s="85"/>
      <c r="M75" s="86"/>
      <c r="N75" s="86"/>
      <c r="O75" s="87" t="str">
        <f t="shared" si="3"/>
        <v/>
      </c>
      <c r="P75" s="55" t="str">
        <f t="shared" si="4"/>
        <v/>
      </c>
      <c r="Q75" s="88" t="str">
        <f t="shared" si="5"/>
        <v/>
      </c>
      <c r="R75" s="85"/>
      <c r="S75" s="86"/>
      <c r="T75" s="86"/>
      <c r="U75" s="87" t="str">
        <f t="shared" si="6"/>
        <v/>
      </c>
      <c r="V75" s="55" t="str">
        <f t="shared" si="7"/>
        <v/>
      </c>
      <c r="W75" s="88" t="str">
        <f t="shared" si="8"/>
        <v/>
      </c>
      <c r="X75" s="89" t="str">
        <f t="shared" si="13"/>
        <v/>
      </c>
      <c r="Y75" s="90" t="str">
        <f t="shared" si="14"/>
        <v/>
      </c>
      <c r="Z75" s="91" t="str">
        <f t="shared" si="9"/>
        <v/>
      </c>
      <c r="AB75" s="2"/>
      <c r="AC75" s="1"/>
      <c r="AE75" s="1"/>
      <c r="AF75" s="1"/>
      <c r="AG75" s="1"/>
      <c r="AH75" s="1"/>
      <c r="AI75" s="1"/>
      <c r="AJ75" s="1"/>
      <c r="AK75" s="1"/>
      <c r="AL75" s="1"/>
      <c r="AM75" s="1"/>
      <c r="AN75" s="1"/>
      <c r="AO75" s="1"/>
      <c r="AP75" s="1"/>
      <c r="AQ75" s="1"/>
      <c r="AR75" s="1"/>
      <c r="AS75" s="6"/>
      <c r="AT75" s="41" t="e">
        <f t="shared" si="10"/>
        <v>#DIV/0!</v>
      </c>
      <c r="AU75" s="41" t="e">
        <f t="shared" si="11"/>
        <v>#DIV/0!</v>
      </c>
      <c r="AV75" s="41" t="e">
        <f t="shared" si="12"/>
        <v>#DIV/0!</v>
      </c>
      <c r="AX75" s="6"/>
    </row>
    <row r="76" spans="1:50" ht="18" customHeight="1">
      <c r="A76" s="35">
        <f>INPUT!A74</f>
        <v>0</v>
      </c>
      <c r="B76" s="35">
        <f>INPUT!B74</f>
        <v>0</v>
      </c>
      <c r="C76" s="35">
        <f>INPUT!C74</f>
        <v>0</v>
      </c>
      <c r="D76" s="85"/>
      <c r="E76" s="86"/>
      <c r="F76" s="86"/>
      <c r="G76" s="86"/>
      <c r="H76" s="86"/>
      <c r="I76" s="87" t="str">
        <f t="shared" si="0"/>
        <v/>
      </c>
      <c r="J76" s="55" t="str">
        <f t="shared" si="1"/>
        <v/>
      </c>
      <c r="K76" s="88" t="str">
        <f t="shared" si="2"/>
        <v/>
      </c>
      <c r="L76" s="85"/>
      <c r="M76" s="86"/>
      <c r="N76" s="86"/>
      <c r="O76" s="87" t="str">
        <f t="shared" si="3"/>
        <v/>
      </c>
      <c r="P76" s="55" t="str">
        <f t="shared" si="4"/>
        <v/>
      </c>
      <c r="Q76" s="88" t="str">
        <f t="shared" si="5"/>
        <v/>
      </c>
      <c r="R76" s="85"/>
      <c r="S76" s="86"/>
      <c r="T76" s="86"/>
      <c r="U76" s="87" t="str">
        <f t="shared" si="6"/>
        <v/>
      </c>
      <c r="V76" s="55" t="str">
        <f t="shared" si="7"/>
        <v/>
      </c>
      <c r="W76" s="88" t="str">
        <f t="shared" si="8"/>
        <v/>
      </c>
      <c r="X76" s="89" t="str">
        <f t="shared" si="13"/>
        <v/>
      </c>
      <c r="Y76" s="90" t="str">
        <f t="shared" si="14"/>
        <v/>
      </c>
      <c r="Z76" s="91" t="str">
        <f t="shared" si="9"/>
        <v/>
      </c>
      <c r="AB76" s="2"/>
      <c r="AC76" s="1"/>
      <c r="AE76" s="1"/>
      <c r="AF76" s="1"/>
      <c r="AG76" s="1"/>
      <c r="AH76" s="1"/>
      <c r="AI76" s="1"/>
      <c r="AJ76" s="1"/>
      <c r="AK76" s="1"/>
      <c r="AL76" s="1"/>
      <c r="AM76" s="1"/>
      <c r="AN76" s="1"/>
      <c r="AO76" s="1"/>
      <c r="AP76" s="1"/>
      <c r="AQ76" s="1"/>
      <c r="AR76" s="1"/>
      <c r="AS76" s="6"/>
      <c r="AT76" s="41" t="e">
        <f t="shared" si="10"/>
        <v>#DIV/0!</v>
      </c>
      <c r="AU76" s="41" t="e">
        <f t="shared" si="11"/>
        <v>#DIV/0!</v>
      </c>
      <c r="AV76" s="41" t="e">
        <f t="shared" si="12"/>
        <v>#DIV/0!</v>
      </c>
      <c r="AX76" s="6"/>
    </row>
    <row r="77" spans="1:50" ht="18" customHeight="1">
      <c r="A77" s="35">
        <f>INPUT!A75</f>
        <v>0</v>
      </c>
      <c r="B77" s="35">
        <f>INPUT!B75</f>
        <v>0</v>
      </c>
      <c r="C77" s="35">
        <f>INPUT!C75</f>
        <v>0</v>
      </c>
      <c r="D77" s="85"/>
      <c r="E77" s="86"/>
      <c r="F77" s="86"/>
      <c r="G77" s="86"/>
      <c r="H77" s="86"/>
      <c r="I77" s="87" t="str">
        <f t="shared" si="0"/>
        <v/>
      </c>
      <c r="J77" s="55" t="str">
        <f t="shared" si="1"/>
        <v/>
      </c>
      <c r="K77" s="88" t="str">
        <f t="shared" si="2"/>
        <v/>
      </c>
      <c r="L77" s="85"/>
      <c r="M77" s="86"/>
      <c r="N77" s="86"/>
      <c r="O77" s="87" t="str">
        <f t="shared" si="3"/>
        <v/>
      </c>
      <c r="P77" s="55" t="str">
        <f t="shared" si="4"/>
        <v/>
      </c>
      <c r="Q77" s="88" t="str">
        <f t="shared" si="5"/>
        <v/>
      </c>
      <c r="R77" s="85"/>
      <c r="S77" s="86"/>
      <c r="T77" s="86"/>
      <c r="U77" s="87" t="str">
        <f t="shared" si="6"/>
        <v/>
      </c>
      <c r="V77" s="55" t="str">
        <f t="shared" si="7"/>
        <v/>
      </c>
      <c r="W77" s="88" t="str">
        <f t="shared" si="8"/>
        <v/>
      </c>
      <c r="X77" s="89" t="str">
        <f t="shared" si="13"/>
        <v/>
      </c>
      <c r="Y77" s="90" t="str">
        <f t="shared" si="14"/>
        <v/>
      </c>
      <c r="Z77" s="91" t="str">
        <f t="shared" si="9"/>
        <v/>
      </c>
      <c r="AB77" s="2"/>
      <c r="AC77" s="1"/>
      <c r="AE77" s="1"/>
      <c r="AF77" s="1"/>
      <c r="AG77" s="1"/>
      <c r="AH77" s="1"/>
      <c r="AI77" s="1"/>
      <c r="AJ77" s="1"/>
      <c r="AK77" s="1"/>
      <c r="AL77" s="1"/>
      <c r="AM77" s="1"/>
      <c r="AN77" s="1"/>
      <c r="AO77" s="1"/>
      <c r="AP77" s="1"/>
      <c r="AQ77" s="1"/>
      <c r="AR77" s="1"/>
      <c r="AS77" s="6"/>
      <c r="AT77" s="41" t="e">
        <f t="shared" si="10"/>
        <v>#DIV/0!</v>
      </c>
      <c r="AU77" s="41" t="e">
        <f t="shared" si="11"/>
        <v>#DIV/0!</v>
      </c>
      <c r="AV77" s="41" t="e">
        <f t="shared" si="12"/>
        <v>#DIV/0!</v>
      </c>
      <c r="AX77" s="6"/>
    </row>
    <row r="78" spans="1:50" ht="18" customHeight="1">
      <c r="A78" s="35">
        <f>INPUT!A76</f>
        <v>0</v>
      </c>
      <c r="B78" s="35">
        <f>INPUT!B76</f>
        <v>0</v>
      </c>
      <c r="C78" s="35">
        <f>INPUT!C76</f>
        <v>0</v>
      </c>
      <c r="D78" s="85"/>
      <c r="E78" s="86"/>
      <c r="F78" s="86"/>
      <c r="G78" s="86"/>
      <c r="H78" s="86"/>
      <c r="I78" s="87" t="str">
        <f t="shared" si="0"/>
        <v/>
      </c>
      <c r="J78" s="55" t="str">
        <f t="shared" si="1"/>
        <v/>
      </c>
      <c r="K78" s="88" t="str">
        <f t="shared" si="2"/>
        <v/>
      </c>
      <c r="L78" s="85"/>
      <c r="M78" s="86"/>
      <c r="N78" s="86"/>
      <c r="O78" s="87" t="str">
        <f t="shared" si="3"/>
        <v/>
      </c>
      <c r="P78" s="55" t="str">
        <f t="shared" si="4"/>
        <v/>
      </c>
      <c r="Q78" s="88" t="str">
        <f t="shared" si="5"/>
        <v/>
      </c>
      <c r="R78" s="85"/>
      <c r="S78" s="86"/>
      <c r="T78" s="86"/>
      <c r="U78" s="87" t="str">
        <f t="shared" si="6"/>
        <v/>
      </c>
      <c r="V78" s="55" t="str">
        <f t="shared" si="7"/>
        <v/>
      </c>
      <c r="W78" s="88" t="str">
        <f t="shared" si="8"/>
        <v/>
      </c>
      <c r="X78" s="89" t="str">
        <f t="shared" si="13"/>
        <v/>
      </c>
      <c r="Y78" s="90" t="str">
        <f t="shared" si="14"/>
        <v/>
      </c>
      <c r="Z78" s="91" t="str">
        <f t="shared" si="9"/>
        <v/>
      </c>
      <c r="AB78" s="2"/>
      <c r="AC78" s="1"/>
      <c r="AE78" s="1"/>
      <c r="AF78" s="1"/>
      <c r="AG78" s="1"/>
      <c r="AH78" s="1"/>
      <c r="AI78" s="1"/>
      <c r="AJ78" s="1"/>
      <c r="AK78" s="1"/>
      <c r="AL78" s="1"/>
      <c r="AM78" s="1"/>
      <c r="AN78" s="1"/>
      <c r="AO78" s="1"/>
      <c r="AP78" s="1"/>
      <c r="AQ78" s="1"/>
      <c r="AR78" s="1"/>
      <c r="AS78" s="6"/>
      <c r="AT78" s="41" t="e">
        <f t="shared" si="10"/>
        <v>#DIV/0!</v>
      </c>
      <c r="AU78" s="41" t="e">
        <f t="shared" si="11"/>
        <v>#DIV/0!</v>
      </c>
      <c r="AV78" s="41" t="e">
        <f t="shared" si="12"/>
        <v>#DIV/0!</v>
      </c>
      <c r="AX78" s="6"/>
    </row>
    <row r="79" spans="1:50" ht="18" customHeight="1">
      <c r="A79" s="35">
        <f>INPUT!A77</f>
        <v>0</v>
      </c>
      <c r="B79" s="35">
        <f>INPUT!B77</f>
        <v>0</v>
      </c>
      <c r="C79" s="35">
        <f>INPUT!C77</f>
        <v>0</v>
      </c>
      <c r="D79" s="85"/>
      <c r="E79" s="86"/>
      <c r="F79" s="86"/>
      <c r="G79" s="86"/>
      <c r="H79" s="86"/>
      <c r="I79" s="87" t="str">
        <f t="shared" ref="I79:I114" si="15">IF(COUNT($D79:$H79)=0,"",SUM($D79:$H79))</f>
        <v/>
      </c>
      <c r="J79" s="55" t="str">
        <f t="shared" ref="J79:J114" si="16">IF(ISERROR(IF($I79="","",ROUND(($I79/$I$10)*$J$10,2))),"",IF($I79="","",ROUND(($I79/$I$10)*$J$10,2)))</f>
        <v/>
      </c>
      <c r="K79" s="88" t="str">
        <f t="shared" ref="K79:K114" si="17">IF($J79="","",ROUND($J79*$K$10,2))</f>
        <v/>
      </c>
      <c r="L79" s="85"/>
      <c r="M79" s="86"/>
      <c r="N79" s="86"/>
      <c r="O79" s="87" t="str">
        <f t="shared" ref="O79:O114" si="18">IF(COUNT($L79:$N79)=0,"",SUM($L79:$N79))</f>
        <v/>
      </c>
      <c r="P79" s="55" t="str">
        <f t="shared" ref="P79:P114" si="19">IF(ISERROR(IF($O79="","",ROUND(($O79/$O$10)*$P$10,2))),"",IF($O79="","",ROUND(($O79/$O$10)*$P$10,2)))</f>
        <v/>
      </c>
      <c r="Q79" s="88" t="str">
        <f t="shared" ref="Q79:Q114" si="20">IF($P79="","",ROUND($P79*$Q$10,2))</f>
        <v/>
      </c>
      <c r="R79" s="85"/>
      <c r="S79" s="86"/>
      <c r="T79" s="86"/>
      <c r="U79" s="87" t="str">
        <f t="shared" ref="U79:U114" si="21">IF(COUNT($R79:$T79)=0,"",SUM($R79:$T79))</f>
        <v/>
      </c>
      <c r="V79" s="55" t="str">
        <f t="shared" ref="V79:V114" si="22">IF(ISERROR(IF($U79="","",ROUND(($U79/$U$10)*$V$10,2))),"",IF($U79="","",ROUND(($U79/$U$10)*$V$10,2)))</f>
        <v/>
      </c>
      <c r="W79" s="88" t="str">
        <f t="shared" ref="W79:W114" si="23">IF($V79="","",ROUND($V79*$W$10,2))</f>
        <v/>
      </c>
      <c r="X79" s="89" t="str">
        <f t="shared" si="13"/>
        <v/>
      </c>
      <c r="Y79" s="90" t="str">
        <f t="shared" si="14"/>
        <v/>
      </c>
      <c r="Z79" s="91" t="str">
        <f t="shared" ref="Z79:Z114"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4" si="25">(R79/$R$10)*100</f>
        <v>#DIV/0!</v>
      </c>
      <c r="AU79" s="41" t="e">
        <f t="shared" ref="AU79:AU114" si="26">(S79/$S$10)*100</f>
        <v>#DIV/0!</v>
      </c>
      <c r="AV79" s="41" t="e">
        <f t="shared" ref="AV79:AV114" si="27">(T79/$T$10)*100</f>
        <v>#DIV/0!</v>
      </c>
      <c r="AX79" s="6"/>
    </row>
    <row r="80" spans="1:50" ht="18" customHeight="1">
      <c r="A80" s="35">
        <f>INPUT!A78</f>
        <v>0</v>
      </c>
      <c r="B80" s="35">
        <f>INPUT!B78</f>
        <v>0</v>
      </c>
      <c r="C80" s="35">
        <f>INPUT!C78</f>
        <v>0</v>
      </c>
      <c r="D80" s="85"/>
      <c r="E80" s="86"/>
      <c r="F80" s="86"/>
      <c r="G80" s="86"/>
      <c r="H80" s="86"/>
      <c r="I80" s="87" t="str">
        <f t="shared" si="15"/>
        <v/>
      </c>
      <c r="J80" s="55" t="str">
        <f t="shared" si="16"/>
        <v/>
      </c>
      <c r="K80" s="88" t="str">
        <f t="shared" si="17"/>
        <v/>
      </c>
      <c r="L80" s="85"/>
      <c r="M80" s="86"/>
      <c r="N80" s="86"/>
      <c r="O80" s="87" t="str">
        <f t="shared" si="18"/>
        <v/>
      </c>
      <c r="P80" s="55" t="str">
        <f t="shared" si="19"/>
        <v/>
      </c>
      <c r="Q80" s="88" t="str">
        <f t="shared" si="20"/>
        <v/>
      </c>
      <c r="R80" s="85"/>
      <c r="S80" s="86"/>
      <c r="T80" s="86"/>
      <c r="U80" s="87" t="str">
        <f t="shared" si="21"/>
        <v/>
      </c>
      <c r="V80" s="55" t="str">
        <f t="shared" si="22"/>
        <v/>
      </c>
      <c r="W80" s="88" t="str">
        <f t="shared" si="23"/>
        <v/>
      </c>
      <c r="X80" s="89" t="str">
        <f t="shared" ref="X80:X114" si="28">IF(ISERROR(IF($T80="","",ROUND(SUM($K80,$Q80,$W80),2))),"",IF($T80="","",ROUND(SUM($K80,$Q80,$W80),2)))</f>
        <v/>
      </c>
      <c r="Y80" s="90" t="str">
        <f t="shared" ref="Y80:Y114" si="29">IF(ISERROR(IF($T80="","",VLOOKUP(X80,NewTransmu,4,TRUE))),"",IF($T80="","",VLOOKUP(X80,NewTransmu,4,TRUE)))</f>
        <v/>
      </c>
      <c r="Z80" s="91"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85"/>
      <c r="E81" s="86"/>
      <c r="F81" s="86"/>
      <c r="G81" s="86"/>
      <c r="H81" s="86"/>
      <c r="I81" s="87" t="str">
        <f t="shared" si="15"/>
        <v/>
      </c>
      <c r="J81" s="55" t="str">
        <f t="shared" si="16"/>
        <v/>
      </c>
      <c r="K81" s="88" t="str">
        <f t="shared" si="17"/>
        <v/>
      </c>
      <c r="L81" s="85"/>
      <c r="M81" s="86"/>
      <c r="N81" s="86"/>
      <c r="O81" s="87" t="str">
        <f t="shared" si="18"/>
        <v/>
      </c>
      <c r="P81" s="55" t="str">
        <f t="shared" si="19"/>
        <v/>
      </c>
      <c r="Q81" s="88" t="str">
        <f t="shared" si="20"/>
        <v/>
      </c>
      <c r="R81" s="85"/>
      <c r="S81" s="86"/>
      <c r="T81" s="86"/>
      <c r="U81" s="87" t="str">
        <f t="shared" si="21"/>
        <v/>
      </c>
      <c r="V81" s="55" t="str">
        <f t="shared" si="22"/>
        <v/>
      </c>
      <c r="W81" s="88" t="str">
        <f t="shared" si="23"/>
        <v/>
      </c>
      <c r="X81" s="89" t="str">
        <f t="shared" si="28"/>
        <v/>
      </c>
      <c r="Y81" s="90" t="str">
        <f t="shared" si="29"/>
        <v/>
      </c>
      <c r="Z81" s="91"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85"/>
      <c r="E82" s="86"/>
      <c r="F82" s="86"/>
      <c r="G82" s="86"/>
      <c r="H82" s="86"/>
      <c r="I82" s="87" t="str">
        <f t="shared" si="15"/>
        <v/>
      </c>
      <c r="J82" s="55" t="str">
        <f t="shared" si="16"/>
        <v/>
      </c>
      <c r="K82" s="88" t="str">
        <f t="shared" si="17"/>
        <v/>
      </c>
      <c r="L82" s="85"/>
      <c r="M82" s="86"/>
      <c r="N82" s="86"/>
      <c r="O82" s="87" t="str">
        <f t="shared" si="18"/>
        <v/>
      </c>
      <c r="P82" s="55" t="str">
        <f t="shared" si="19"/>
        <v/>
      </c>
      <c r="Q82" s="88" t="str">
        <f t="shared" si="20"/>
        <v/>
      </c>
      <c r="R82" s="85"/>
      <c r="S82" s="86"/>
      <c r="T82" s="86"/>
      <c r="U82" s="87" t="str">
        <f t="shared" si="21"/>
        <v/>
      </c>
      <c r="V82" s="55" t="str">
        <f t="shared" si="22"/>
        <v/>
      </c>
      <c r="W82" s="88" t="str">
        <f t="shared" si="23"/>
        <v/>
      </c>
      <c r="X82" s="89" t="str">
        <f t="shared" si="28"/>
        <v/>
      </c>
      <c r="Y82" s="90" t="str">
        <f t="shared" si="29"/>
        <v/>
      </c>
      <c r="Z82" s="91"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85"/>
      <c r="E83" s="86"/>
      <c r="F83" s="86"/>
      <c r="G83" s="86"/>
      <c r="H83" s="86"/>
      <c r="I83" s="87" t="str">
        <f t="shared" si="15"/>
        <v/>
      </c>
      <c r="J83" s="55" t="str">
        <f t="shared" si="16"/>
        <v/>
      </c>
      <c r="K83" s="88" t="str">
        <f t="shared" si="17"/>
        <v/>
      </c>
      <c r="L83" s="85"/>
      <c r="M83" s="86"/>
      <c r="N83" s="86"/>
      <c r="O83" s="87" t="str">
        <f t="shared" si="18"/>
        <v/>
      </c>
      <c r="P83" s="55" t="str">
        <f t="shared" si="19"/>
        <v/>
      </c>
      <c r="Q83" s="88" t="str">
        <f t="shared" si="20"/>
        <v/>
      </c>
      <c r="R83" s="85"/>
      <c r="S83" s="86"/>
      <c r="T83" s="86"/>
      <c r="U83" s="87" t="str">
        <f t="shared" si="21"/>
        <v/>
      </c>
      <c r="V83" s="55" t="str">
        <f t="shared" si="22"/>
        <v/>
      </c>
      <c r="W83" s="88" t="str">
        <f t="shared" si="23"/>
        <v/>
      </c>
      <c r="X83" s="89" t="str">
        <f t="shared" si="28"/>
        <v/>
      </c>
      <c r="Y83" s="90" t="str">
        <f t="shared" si="29"/>
        <v/>
      </c>
      <c r="Z83" s="91"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85"/>
      <c r="E84" s="86"/>
      <c r="F84" s="86"/>
      <c r="G84" s="86"/>
      <c r="H84" s="86"/>
      <c r="I84" s="87" t="str">
        <f t="shared" si="15"/>
        <v/>
      </c>
      <c r="J84" s="55" t="str">
        <f t="shared" si="16"/>
        <v/>
      </c>
      <c r="K84" s="88" t="str">
        <f t="shared" si="17"/>
        <v/>
      </c>
      <c r="L84" s="85"/>
      <c r="M84" s="86"/>
      <c r="N84" s="86"/>
      <c r="O84" s="87" t="str">
        <f t="shared" si="18"/>
        <v/>
      </c>
      <c r="P84" s="55" t="str">
        <f t="shared" si="19"/>
        <v/>
      </c>
      <c r="Q84" s="88" t="str">
        <f t="shared" si="20"/>
        <v/>
      </c>
      <c r="R84" s="85"/>
      <c r="S84" s="86"/>
      <c r="T84" s="86"/>
      <c r="U84" s="87" t="str">
        <f t="shared" si="21"/>
        <v/>
      </c>
      <c r="V84" s="55" t="str">
        <f t="shared" si="22"/>
        <v/>
      </c>
      <c r="W84" s="88" t="str">
        <f t="shared" si="23"/>
        <v/>
      </c>
      <c r="X84" s="89" t="str">
        <f t="shared" si="28"/>
        <v/>
      </c>
      <c r="Y84" s="90" t="str">
        <f t="shared" si="29"/>
        <v/>
      </c>
      <c r="Z84" s="91"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85"/>
      <c r="E85" s="86"/>
      <c r="F85" s="86"/>
      <c r="G85" s="86"/>
      <c r="H85" s="86"/>
      <c r="I85" s="87" t="str">
        <f t="shared" si="15"/>
        <v/>
      </c>
      <c r="J85" s="55" t="str">
        <f t="shared" si="16"/>
        <v/>
      </c>
      <c r="K85" s="88" t="str">
        <f t="shared" si="17"/>
        <v/>
      </c>
      <c r="L85" s="85"/>
      <c r="M85" s="86"/>
      <c r="N85" s="86"/>
      <c r="O85" s="87" t="str">
        <f t="shared" si="18"/>
        <v/>
      </c>
      <c r="P85" s="55" t="str">
        <f t="shared" si="19"/>
        <v/>
      </c>
      <c r="Q85" s="88" t="str">
        <f t="shared" si="20"/>
        <v/>
      </c>
      <c r="R85" s="85"/>
      <c r="S85" s="86"/>
      <c r="T85" s="86"/>
      <c r="U85" s="87" t="str">
        <f t="shared" si="21"/>
        <v/>
      </c>
      <c r="V85" s="55" t="str">
        <f t="shared" si="22"/>
        <v/>
      </c>
      <c r="W85" s="88" t="str">
        <f t="shared" si="23"/>
        <v/>
      </c>
      <c r="X85" s="89" t="str">
        <f t="shared" si="28"/>
        <v/>
      </c>
      <c r="Y85" s="90" t="str">
        <f t="shared" si="29"/>
        <v/>
      </c>
      <c r="Z85" s="91"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85"/>
      <c r="E86" s="86"/>
      <c r="F86" s="86"/>
      <c r="G86" s="86"/>
      <c r="H86" s="86"/>
      <c r="I86" s="87" t="str">
        <f t="shared" si="15"/>
        <v/>
      </c>
      <c r="J86" s="55" t="str">
        <f t="shared" si="16"/>
        <v/>
      </c>
      <c r="K86" s="88" t="str">
        <f t="shared" si="17"/>
        <v/>
      </c>
      <c r="L86" s="85"/>
      <c r="M86" s="86"/>
      <c r="N86" s="86"/>
      <c r="O86" s="87" t="str">
        <f t="shared" si="18"/>
        <v/>
      </c>
      <c r="P86" s="55" t="str">
        <f t="shared" si="19"/>
        <v/>
      </c>
      <c r="Q86" s="88" t="str">
        <f t="shared" si="20"/>
        <v/>
      </c>
      <c r="R86" s="85"/>
      <c r="S86" s="86"/>
      <c r="T86" s="86"/>
      <c r="U86" s="87" t="str">
        <f t="shared" si="21"/>
        <v/>
      </c>
      <c r="V86" s="55" t="str">
        <f t="shared" si="22"/>
        <v/>
      </c>
      <c r="W86" s="88" t="str">
        <f t="shared" si="23"/>
        <v/>
      </c>
      <c r="X86" s="89" t="str">
        <f t="shared" si="28"/>
        <v/>
      </c>
      <c r="Y86" s="90" t="str">
        <f t="shared" si="29"/>
        <v/>
      </c>
      <c r="Z86" s="91"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85"/>
      <c r="E87" s="86"/>
      <c r="F87" s="86"/>
      <c r="G87" s="86"/>
      <c r="H87" s="86"/>
      <c r="I87" s="87" t="str">
        <f t="shared" si="15"/>
        <v/>
      </c>
      <c r="J87" s="55" t="str">
        <f t="shared" si="16"/>
        <v/>
      </c>
      <c r="K87" s="88" t="str">
        <f t="shared" si="17"/>
        <v/>
      </c>
      <c r="L87" s="85"/>
      <c r="M87" s="86"/>
      <c r="N87" s="86"/>
      <c r="O87" s="87" t="str">
        <f t="shared" si="18"/>
        <v/>
      </c>
      <c r="P87" s="55" t="str">
        <f t="shared" si="19"/>
        <v/>
      </c>
      <c r="Q87" s="88" t="str">
        <f t="shared" si="20"/>
        <v/>
      </c>
      <c r="R87" s="85"/>
      <c r="S87" s="86"/>
      <c r="T87" s="86"/>
      <c r="U87" s="87" t="str">
        <f t="shared" si="21"/>
        <v/>
      </c>
      <c r="V87" s="55" t="str">
        <f t="shared" si="22"/>
        <v/>
      </c>
      <c r="W87" s="88" t="str">
        <f t="shared" si="23"/>
        <v/>
      </c>
      <c r="X87" s="89" t="str">
        <f t="shared" si="28"/>
        <v/>
      </c>
      <c r="Y87" s="90" t="str">
        <f t="shared" si="29"/>
        <v/>
      </c>
      <c r="Z87" s="91"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85"/>
      <c r="E88" s="86"/>
      <c r="F88" s="86"/>
      <c r="G88" s="86"/>
      <c r="H88" s="86"/>
      <c r="I88" s="87" t="str">
        <f t="shared" si="15"/>
        <v/>
      </c>
      <c r="J88" s="55" t="str">
        <f t="shared" si="16"/>
        <v/>
      </c>
      <c r="K88" s="88" t="str">
        <f t="shared" si="17"/>
        <v/>
      </c>
      <c r="L88" s="85"/>
      <c r="M88" s="86"/>
      <c r="N88" s="86"/>
      <c r="O88" s="87" t="str">
        <f t="shared" si="18"/>
        <v/>
      </c>
      <c r="P88" s="55" t="str">
        <f t="shared" si="19"/>
        <v/>
      </c>
      <c r="Q88" s="88" t="str">
        <f t="shared" si="20"/>
        <v/>
      </c>
      <c r="R88" s="85"/>
      <c r="S88" s="86"/>
      <c r="T88" s="86"/>
      <c r="U88" s="87" t="str">
        <f t="shared" si="21"/>
        <v/>
      </c>
      <c r="V88" s="55" t="str">
        <f t="shared" si="22"/>
        <v/>
      </c>
      <c r="W88" s="88" t="str">
        <f t="shared" si="23"/>
        <v/>
      </c>
      <c r="X88" s="89" t="str">
        <f t="shared" si="28"/>
        <v/>
      </c>
      <c r="Y88" s="90" t="str">
        <f t="shared" si="29"/>
        <v/>
      </c>
      <c r="Z88" s="91"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85"/>
      <c r="E89" s="86"/>
      <c r="F89" s="86"/>
      <c r="G89" s="86"/>
      <c r="H89" s="86"/>
      <c r="I89" s="87" t="str">
        <f t="shared" si="15"/>
        <v/>
      </c>
      <c r="J89" s="55" t="str">
        <f t="shared" si="16"/>
        <v/>
      </c>
      <c r="K89" s="88" t="str">
        <f t="shared" si="17"/>
        <v/>
      </c>
      <c r="L89" s="85"/>
      <c r="M89" s="86"/>
      <c r="N89" s="86"/>
      <c r="O89" s="87" t="str">
        <f t="shared" si="18"/>
        <v/>
      </c>
      <c r="P89" s="55" t="str">
        <f t="shared" si="19"/>
        <v/>
      </c>
      <c r="Q89" s="88" t="str">
        <f t="shared" si="20"/>
        <v/>
      </c>
      <c r="R89" s="85"/>
      <c r="S89" s="86"/>
      <c r="T89" s="86"/>
      <c r="U89" s="87" t="str">
        <f t="shared" si="21"/>
        <v/>
      </c>
      <c r="V89" s="55" t="str">
        <f t="shared" si="22"/>
        <v/>
      </c>
      <c r="W89" s="88" t="str">
        <f t="shared" si="23"/>
        <v/>
      </c>
      <c r="X89" s="89" t="str">
        <f t="shared" si="28"/>
        <v/>
      </c>
      <c r="Y89" s="90" t="str">
        <f t="shared" si="29"/>
        <v/>
      </c>
      <c r="Z89" s="91"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85"/>
      <c r="E90" s="86"/>
      <c r="F90" s="86"/>
      <c r="G90" s="86"/>
      <c r="H90" s="86"/>
      <c r="I90" s="87" t="str">
        <f t="shared" si="15"/>
        <v/>
      </c>
      <c r="J90" s="55" t="str">
        <f t="shared" si="16"/>
        <v/>
      </c>
      <c r="K90" s="88" t="str">
        <f t="shared" si="17"/>
        <v/>
      </c>
      <c r="L90" s="85"/>
      <c r="M90" s="86"/>
      <c r="N90" s="86"/>
      <c r="O90" s="87" t="str">
        <f t="shared" si="18"/>
        <v/>
      </c>
      <c r="P90" s="55" t="str">
        <f t="shared" si="19"/>
        <v/>
      </c>
      <c r="Q90" s="88" t="str">
        <f t="shared" si="20"/>
        <v/>
      </c>
      <c r="R90" s="85"/>
      <c r="S90" s="86"/>
      <c r="T90" s="86"/>
      <c r="U90" s="87" t="str">
        <f t="shared" si="21"/>
        <v/>
      </c>
      <c r="V90" s="55" t="str">
        <f t="shared" si="22"/>
        <v/>
      </c>
      <c r="W90" s="88" t="str">
        <f t="shared" si="23"/>
        <v/>
      </c>
      <c r="X90" s="89" t="str">
        <f t="shared" si="28"/>
        <v/>
      </c>
      <c r="Y90" s="90" t="str">
        <f t="shared" si="29"/>
        <v/>
      </c>
      <c r="Z90" s="91"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85"/>
      <c r="E91" s="86"/>
      <c r="F91" s="86"/>
      <c r="G91" s="86"/>
      <c r="H91" s="86"/>
      <c r="I91" s="87" t="str">
        <f t="shared" si="15"/>
        <v/>
      </c>
      <c r="J91" s="55" t="str">
        <f t="shared" si="16"/>
        <v/>
      </c>
      <c r="K91" s="88" t="str">
        <f t="shared" si="17"/>
        <v/>
      </c>
      <c r="L91" s="85"/>
      <c r="M91" s="86"/>
      <c r="N91" s="86"/>
      <c r="O91" s="87" t="str">
        <f t="shared" si="18"/>
        <v/>
      </c>
      <c r="P91" s="55" t="str">
        <f t="shared" si="19"/>
        <v/>
      </c>
      <c r="Q91" s="88" t="str">
        <f t="shared" si="20"/>
        <v/>
      </c>
      <c r="R91" s="85"/>
      <c r="S91" s="86"/>
      <c r="T91" s="86"/>
      <c r="U91" s="87" t="str">
        <f t="shared" si="21"/>
        <v/>
      </c>
      <c r="V91" s="55" t="str">
        <f t="shared" si="22"/>
        <v/>
      </c>
      <c r="W91" s="88" t="str">
        <f t="shared" si="23"/>
        <v/>
      </c>
      <c r="X91" s="89" t="str">
        <f t="shared" si="28"/>
        <v/>
      </c>
      <c r="Y91" s="90" t="str">
        <f t="shared" si="29"/>
        <v/>
      </c>
      <c r="Z91" s="91"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85"/>
      <c r="E92" s="86"/>
      <c r="F92" s="86"/>
      <c r="G92" s="86"/>
      <c r="H92" s="86"/>
      <c r="I92" s="87" t="str">
        <f t="shared" si="15"/>
        <v/>
      </c>
      <c r="J92" s="55" t="str">
        <f t="shared" si="16"/>
        <v/>
      </c>
      <c r="K92" s="88" t="str">
        <f t="shared" si="17"/>
        <v/>
      </c>
      <c r="L92" s="85"/>
      <c r="M92" s="86"/>
      <c r="N92" s="86"/>
      <c r="O92" s="87" t="str">
        <f t="shared" si="18"/>
        <v/>
      </c>
      <c r="P92" s="55" t="str">
        <f t="shared" si="19"/>
        <v/>
      </c>
      <c r="Q92" s="88" t="str">
        <f t="shared" si="20"/>
        <v/>
      </c>
      <c r="R92" s="85"/>
      <c r="S92" s="86"/>
      <c r="T92" s="86"/>
      <c r="U92" s="87" t="str">
        <f t="shared" si="21"/>
        <v/>
      </c>
      <c r="V92" s="55" t="str">
        <f t="shared" si="22"/>
        <v/>
      </c>
      <c r="W92" s="88" t="str">
        <f t="shared" si="23"/>
        <v/>
      </c>
      <c r="X92" s="89" t="str">
        <f t="shared" si="28"/>
        <v/>
      </c>
      <c r="Y92" s="90" t="str">
        <f t="shared" si="29"/>
        <v/>
      </c>
      <c r="Z92" s="91"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85"/>
      <c r="E93" s="86"/>
      <c r="F93" s="86"/>
      <c r="G93" s="86"/>
      <c r="H93" s="86"/>
      <c r="I93" s="87" t="str">
        <f t="shared" si="15"/>
        <v/>
      </c>
      <c r="J93" s="55" t="str">
        <f t="shared" si="16"/>
        <v/>
      </c>
      <c r="K93" s="88" t="str">
        <f t="shared" si="17"/>
        <v/>
      </c>
      <c r="L93" s="85"/>
      <c r="M93" s="86"/>
      <c r="N93" s="86"/>
      <c r="O93" s="87" t="str">
        <f t="shared" si="18"/>
        <v/>
      </c>
      <c r="P93" s="55" t="str">
        <f t="shared" si="19"/>
        <v/>
      </c>
      <c r="Q93" s="88" t="str">
        <f t="shared" si="20"/>
        <v/>
      </c>
      <c r="R93" s="85"/>
      <c r="S93" s="86"/>
      <c r="T93" s="86"/>
      <c r="U93" s="87" t="str">
        <f t="shared" si="21"/>
        <v/>
      </c>
      <c r="V93" s="55" t="str">
        <f t="shared" si="22"/>
        <v/>
      </c>
      <c r="W93" s="88" t="str">
        <f t="shared" si="23"/>
        <v/>
      </c>
      <c r="X93" s="89" t="str">
        <f t="shared" si="28"/>
        <v/>
      </c>
      <c r="Y93" s="90" t="str">
        <f t="shared" si="29"/>
        <v/>
      </c>
      <c r="Z93" s="91"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85"/>
      <c r="E94" s="86"/>
      <c r="F94" s="86"/>
      <c r="G94" s="86"/>
      <c r="H94" s="86"/>
      <c r="I94" s="87" t="str">
        <f t="shared" si="15"/>
        <v/>
      </c>
      <c r="J94" s="55" t="str">
        <f t="shared" si="16"/>
        <v/>
      </c>
      <c r="K94" s="88" t="str">
        <f t="shared" si="17"/>
        <v/>
      </c>
      <c r="L94" s="85"/>
      <c r="M94" s="86"/>
      <c r="N94" s="86"/>
      <c r="O94" s="87" t="str">
        <f t="shared" si="18"/>
        <v/>
      </c>
      <c r="P94" s="55" t="str">
        <f t="shared" si="19"/>
        <v/>
      </c>
      <c r="Q94" s="88" t="str">
        <f t="shared" si="20"/>
        <v/>
      </c>
      <c r="R94" s="85"/>
      <c r="S94" s="86"/>
      <c r="T94" s="86"/>
      <c r="U94" s="87" t="str">
        <f t="shared" si="21"/>
        <v/>
      </c>
      <c r="V94" s="55" t="str">
        <f t="shared" si="22"/>
        <v/>
      </c>
      <c r="W94" s="88" t="str">
        <f t="shared" si="23"/>
        <v/>
      </c>
      <c r="X94" s="89" t="str">
        <f t="shared" si="28"/>
        <v/>
      </c>
      <c r="Y94" s="90" t="str">
        <f t="shared" si="29"/>
        <v/>
      </c>
      <c r="Z94" s="91"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85"/>
      <c r="E95" s="86"/>
      <c r="F95" s="86"/>
      <c r="G95" s="86"/>
      <c r="H95" s="86"/>
      <c r="I95" s="87" t="str">
        <f t="shared" si="15"/>
        <v/>
      </c>
      <c r="J95" s="55" t="str">
        <f t="shared" si="16"/>
        <v/>
      </c>
      <c r="K95" s="88" t="str">
        <f t="shared" si="17"/>
        <v/>
      </c>
      <c r="L95" s="85"/>
      <c r="M95" s="86"/>
      <c r="N95" s="86"/>
      <c r="O95" s="87" t="str">
        <f t="shared" si="18"/>
        <v/>
      </c>
      <c r="P95" s="55" t="str">
        <f t="shared" si="19"/>
        <v/>
      </c>
      <c r="Q95" s="88" t="str">
        <f t="shared" si="20"/>
        <v/>
      </c>
      <c r="R95" s="85"/>
      <c r="S95" s="86"/>
      <c r="T95" s="86"/>
      <c r="U95" s="87" t="str">
        <f t="shared" si="21"/>
        <v/>
      </c>
      <c r="V95" s="55" t="str">
        <f t="shared" si="22"/>
        <v/>
      </c>
      <c r="W95" s="88" t="str">
        <f t="shared" si="23"/>
        <v/>
      </c>
      <c r="X95" s="89" t="str">
        <f t="shared" si="28"/>
        <v/>
      </c>
      <c r="Y95" s="90" t="str">
        <f t="shared" si="29"/>
        <v/>
      </c>
      <c r="Z95" s="91"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85"/>
      <c r="E96" s="86"/>
      <c r="F96" s="86"/>
      <c r="G96" s="86"/>
      <c r="H96" s="86"/>
      <c r="I96" s="87" t="str">
        <f t="shared" si="15"/>
        <v/>
      </c>
      <c r="J96" s="55" t="str">
        <f t="shared" si="16"/>
        <v/>
      </c>
      <c r="K96" s="88" t="str">
        <f t="shared" si="17"/>
        <v/>
      </c>
      <c r="L96" s="85"/>
      <c r="M96" s="86"/>
      <c r="N96" s="86"/>
      <c r="O96" s="87" t="str">
        <f t="shared" si="18"/>
        <v/>
      </c>
      <c r="P96" s="55" t="str">
        <f t="shared" si="19"/>
        <v/>
      </c>
      <c r="Q96" s="88" t="str">
        <f t="shared" si="20"/>
        <v/>
      </c>
      <c r="R96" s="85"/>
      <c r="S96" s="86"/>
      <c r="T96" s="86"/>
      <c r="U96" s="87" t="str">
        <f t="shared" si="21"/>
        <v/>
      </c>
      <c r="V96" s="55" t="str">
        <f t="shared" si="22"/>
        <v/>
      </c>
      <c r="W96" s="88" t="str">
        <f t="shared" si="23"/>
        <v/>
      </c>
      <c r="X96" s="89" t="str">
        <f t="shared" si="28"/>
        <v/>
      </c>
      <c r="Y96" s="90" t="str">
        <f t="shared" si="29"/>
        <v/>
      </c>
      <c r="Z96" s="91"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85"/>
      <c r="E97" s="86"/>
      <c r="F97" s="86"/>
      <c r="G97" s="86"/>
      <c r="H97" s="86"/>
      <c r="I97" s="87" t="str">
        <f t="shared" si="15"/>
        <v/>
      </c>
      <c r="J97" s="55" t="str">
        <f t="shared" si="16"/>
        <v/>
      </c>
      <c r="K97" s="88" t="str">
        <f t="shared" si="17"/>
        <v/>
      </c>
      <c r="L97" s="85"/>
      <c r="M97" s="86"/>
      <c r="N97" s="86"/>
      <c r="O97" s="87" t="str">
        <f t="shared" si="18"/>
        <v/>
      </c>
      <c r="P97" s="55" t="str">
        <f t="shared" si="19"/>
        <v/>
      </c>
      <c r="Q97" s="88" t="str">
        <f t="shared" si="20"/>
        <v/>
      </c>
      <c r="R97" s="85"/>
      <c r="S97" s="86"/>
      <c r="T97" s="86"/>
      <c r="U97" s="87" t="str">
        <f t="shared" si="21"/>
        <v/>
      </c>
      <c r="V97" s="55" t="str">
        <f t="shared" si="22"/>
        <v/>
      </c>
      <c r="W97" s="88" t="str">
        <f t="shared" si="23"/>
        <v/>
      </c>
      <c r="X97" s="89" t="str">
        <f t="shared" si="28"/>
        <v/>
      </c>
      <c r="Y97" s="90" t="str">
        <f t="shared" si="29"/>
        <v/>
      </c>
      <c r="Z97" s="91"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85"/>
      <c r="E98" s="86"/>
      <c r="F98" s="86"/>
      <c r="G98" s="86"/>
      <c r="H98" s="86"/>
      <c r="I98" s="87" t="str">
        <f t="shared" si="15"/>
        <v/>
      </c>
      <c r="J98" s="55" t="str">
        <f t="shared" si="16"/>
        <v/>
      </c>
      <c r="K98" s="88" t="str">
        <f t="shared" si="17"/>
        <v/>
      </c>
      <c r="L98" s="85"/>
      <c r="M98" s="86"/>
      <c r="N98" s="86"/>
      <c r="O98" s="87" t="str">
        <f t="shared" si="18"/>
        <v/>
      </c>
      <c r="P98" s="55" t="str">
        <f t="shared" si="19"/>
        <v/>
      </c>
      <c r="Q98" s="88" t="str">
        <f t="shared" si="20"/>
        <v/>
      </c>
      <c r="R98" s="85"/>
      <c r="S98" s="86"/>
      <c r="T98" s="86"/>
      <c r="U98" s="87" t="str">
        <f t="shared" si="21"/>
        <v/>
      </c>
      <c r="V98" s="55" t="str">
        <f t="shared" si="22"/>
        <v/>
      </c>
      <c r="W98" s="88" t="str">
        <f t="shared" si="23"/>
        <v/>
      </c>
      <c r="X98" s="89" t="str">
        <f t="shared" si="28"/>
        <v/>
      </c>
      <c r="Y98" s="90" t="str">
        <f t="shared" si="29"/>
        <v/>
      </c>
      <c r="Z98" s="91"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85"/>
      <c r="E99" s="86"/>
      <c r="F99" s="86"/>
      <c r="G99" s="86"/>
      <c r="H99" s="86"/>
      <c r="I99" s="87" t="str">
        <f t="shared" si="15"/>
        <v/>
      </c>
      <c r="J99" s="55" t="str">
        <f t="shared" si="16"/>
        <v/>
      </c>
      <c r="K99" s="88" t="str">
        <f t="shared" si="17"/>
        <v/>
      </c>
      <c r="L99" s="85"/>
      <c r="M99" s="86"/>
      <c r="N99" s="86"/>
      <c r="O99" s="87" t="str">
        <f t="shared" si="18"/>
        <v/>
      </c>
      <c r="P99" s="55" t="str">
        <f t="shared" si="19"/>
        <v/>
      </c>
      <c r="Q99" s="88" t="str">
        <f t="shared" si="20"/>
        <v/>
      </c>
      <c r="R99" s="85"/>
      <c r="S99" s="86"/>
      <c r="T99" s="86"/>
      <c r="U99" s="87" t="str">
        <f t="shared" si="21"/>
        <v/>
      </c>
      <c r="V99" s="55" t="str">
        <f t="shared" si="22"/>
        <v/>
      </c>
      <c r="W99" s="88" t="str">
        <f t="shared" si="23"/>
        <v/>
      </c>
      <c r="X99" s="89" t="str">
        <f t="shared" si="28"/>
        <v/>
      </c>
      <c r="Y99" s="90" t="str">
        <f t="shared" si="29"/>
        <v/>
      </c>
      <c r="Z99" s="91"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85"/>
      <c r="E100" s="86"/>
      <c r="F100" s="86"/>
      <c r="G100" s="86"/>
      <c r="H100" s="86"/>
      <c r="I100" s="87" t="str">
        <f t="shared" si="15"/>
        <v/>
      </c>
      <c r="J100" s="55" t="str">
        <f t="shared" si="16"/>
        <v/>
      </c>
      <c r="K100" s="88" t="str">
        <f t="shared" si="17"/>
        <v/>
      </c>
      <c r="L100" s="85"/>
      <c r="M100" s="86"/>
      <c r="N100" s="86"/>
      <c r="O100" s="87" t="str">
        <f t="shared" si="18"/>
        <v/>
      </c>
      <c r="P100" s="55" t="str">
        <f t="shared" si="19"/>
        <v/>
      </c>
      <c r="Q100" s="88" t="str">
        <f t="shared" si="20"/>
        <v/>
      </c>
      <c r="R100" s="85"/>
      <c r="S100" s="86"/>
      <c r="T100" s="86"/>
      <c r="U100" s="87" t="str">
        <f t="shared" si="21"/>
        <v/>
      </c>
      <c r="V100" s="55" t="str">
        <f t="shared" si="22"/>
        <v/>
      </c>
      <c r="W100" s="88" t="str">
        <f t="shared" si="23"/>
        <v/>
      </c>
      <c r="X100" s="89" t="str">
        <f t="shared" si="28"/>
        <v/>
      </c>
      <c r="Y100" s="90" t="str">
        <f t="shared" si="29"/>
        <v/>
      </c>
      <c r="Z100" s="91"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85"/>
      <c r="E101" s="86"/>
      <c r="F101" s="86"/>
      <c r="G101" s="86"/>
      <c r="H101" s="86"/>
      <c r="I101" s="87" t="str">
        <f t="shared" si="15"/>
        <v/>
      </c>
      <c r="J101" s="55" t="str">
        <f t="shared" si="16"/>
        <v/>
      </c>
      <c r="K101" s="88" t="str">
        <f t="shared" si="17"/>
        <v/>
      </c>
      <c r="L101" s="85"/>
      <c r="M101" s="86"/>
      <c r="N101" s="86"/>
      <c r="O101" s="87" t="str">
        <f t="shared" si="18"/>
        <v/>
      </c>
      <c r="P101" s="55" t="str">
        <f t="shared" si="19"/>
        <v/>
      </c>
      <c r="Q101" s="88" t="str">
        <f t="shared" si="20"/>
        <v/>
      </c>
      <c r="R101" s="85"/>
      <c r="S101" s="86"/>
      <c r="T101" s="86"/>
      <c r="U101" s="87" t="str">
        <f t="shared" si="21"/>
        <v/>
      </c>
      <c r="V101" s="55" t="str">
        <f t="shared" si="22"/>
        <v/>
      </c>
      <c r="W101" s="88" t="str">
        <f t="shared" si="23"/>
        <v/>
      </c>
      <c r="X101" s="89" t="str">
        <f t="shared" si="28"/>
        <v/>
      </c>
      <c r="Y101" s="90" t="str">
        <f t="shared" si="29"/>
        <v/>
      </c>
      <c r="Z101" s="91"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85"/>
      <c r="E102" s="86"/>
      <c r="F102" s="86"/>
      <c r="G102" s="86"/>
      <c r="H102" s="86"/>
      <c r="I102" s="87" t="str">
        <f t="shared" si="15"/>
        <v/>
      </c>
      <c r="J102" s="55" t="str">
        <f t="shared" si="16"/>
        <v/>
      </c>
      <c r="K102" s="88" t="str">
        <f t="shared" si="17"/>
        <v/>
      </c>
      <c r="L102" s="85"/>
      <c r="M102" s="86"/>
      <c r="N102" s="86"/>
      <c r="O102" s="87" t="str">
        <f t="shared" si="18"/>
        <v/>
      </c>
      <c r="P102" s="55" t="str">
        <f t="shared" si="19"/>
        <v/>
      </c>
      <c r="Q102" s="88" t="str">
        <f t="shared" si="20"/>
        <v/>
      </c>
      <c r="R102" s="85"/>
      <c r="S102" s="86"/>
      <c r="T102" s="86"/>
      <c r="U102" s="87" t="str">
        <f t="shared" si="21"/>
        <v/>
      </c>
      <c r="V102" s="55" t="str">
        <f t="shared" si="22"/>
        <v/>
      </c>
      <c r="W102" s="88" t="str">
        <f t="shared" si="23"/>
        <v/>
      </c>
      <c r="X102" s="89" t="str">
        <f t="shared" si="28"/>
        <v/>
      </c>
      <c r="Y102" s="90" t="str">
        <f t="shared" si="29"/>
        <v/>
      </c>
      <c r="Z102" s="91"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85"/>
      <c r="E103" s="86"/>
      <c r="F103" s="86"/>
      <c r="G103" s="86"/>
      <c r="H103" s="86"/>
      <c r="I103" s="87" t="str">
        <f t="shared" si="15"/>
        <v/>
      </c>
      <c r="J103" s="55" t="str">
        <f t="shared" si="16"/>
        <v/>
      </c>
      <c r="K103" s="88" t="str">
        <f t="shared" si="17"/>
        <v/>
      </c>
      <c r="L103" s="85"/>
      <c r="M103" s="86"/>
      <c r="N103" s="86"/>
      <c r="O103" s="87" t="str">
        <f t="shared" si="18"/>
        <v/>
      </c>
      <c r="P103" s="55" t="str">
        <f t="shared" si="19"/>
        <v/>
      </c>
      <c r="Q103" s="88" t="str">
        <f t="shared" si="20"/>
        <v/>
      </c>
      <c r="R103" s="85"/>
      <c r="S103" s="86"/>
      <c r="T103" s="86"/>
      <c r="U103" s="87" t="str">
        <f t="shared" si="21"/>
        <v/>
      </c>
      <c r="V103" s="55" t="str">
        <f t="shared" si="22"/>
        <v/>
      </c>
      <c r="W103" s="88" t="str">
        <f t="shared" si="23"/>
        <v/>
      </c>
      <c r="X103" s="89" t="str">
        <f t="shared" si="28"/>
        <v/>
      </c>
      <c r="Y103" s="90" t="str">
        <f t="shared" si="29"/>
        <v/>
      </c>
      <c r="Z103" s="91"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85"/>
      <c r="E104" s="86"/>
      <c r="F104" s="86"/>
      <c r="G104" s="86"/>
      <c r="H104" s="86"/>
      <c r="I104" s="87" t="str">
        <f t="shared" si="15"/>
        <v/>
      </c>
      <c r="J104" s="55" t="str">
        <f t="shared" si="16"/>
        <v/>
      </c>
      <c r="K104" s="88" t="str">
        <f t="shared" si="17"/>
        <v/>
      </c>
      <c r="L104" s="85"/>
      <c r="M104" s="86"/>
      <c r="N104" s="86"/>
      <c r="O104" s="87" t="str">
        <f t="shared" si="18"/>
        <v/>
      </c>
      <c r="P104" s="55" t="str">
        <f t="shared" si="19"/>
        <v/>
      </c>
      <c r="Q104" s="88" t="str">
        <f t="shared" si="20"/>
        <v/>
      </c>
      <c r="R104" s="85"/>
      <c r="S104" s="86"/>
      <c r="T104" s="86"/>
      <c r="U104" s="87" t="str">
        <f t="shared" si="21"/>
        <v/>
      </c>
      <c r="V104" s="55" t="str">
        <f t="shared" si="22"/>
        <v/>
      </c>
      <c r="W104" s="88" t="str">
        <f t="shared" si="23"/>
        <v/>
      </c>
      <c r="X104" s="89" t="str">
        <f t="shared" si="28"/>
        <v/>
      </c>
      <c r="Y104" s="90" t="str">
        <f t="shared" si="29"/>
        <v/>
      </c>
      <c r="Z104" s="91"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85"/>
      <c r="E105" s="86"/>
      <c r="F105" s="86"/>
      <c r="G105" s="86"/>
      <c r="H105" s="86"/>
      <c r="I105" s="87" t="str">
        <f t="shared" si="15"/>
        <v/>
      </c>
      <c r="J105" s="55" t="str">
        <f t="shared" si="16"/>
        <v/>
      </c>
      <c r="K105" s="88" t="str">
        <f t="shared" si="17"/>
        <v/>
      </c>
      <c r="L105" s="85"/>
      <c r="M105" s="86"/>
      <c r="N105" s="86"/>
      <c r="O105" s="87" t="str">
        <f t="shared" si="18"/>
        <v/>
      </c>
      <c r="P105" s="55" t="str">
        <f t="shared" si="19"/>
        <v/>
      </c>
      <c r="Q105" s="88" t="str">
        <f t="shared" si="20"/>
        <v/>
      </c>
      <c r="R105" s="85"/>
      <c r="S105" s="86"/>
      <c r="T105" s="86"/>
      <c r="U105" s="87" t="str">
        <f t="shared" si="21"/>
        <v/>
      </c>
      <c r="V105" s="55" t="str">
        <f t="shared" si="22"/>
        <v/>
      </c>
      <c r="W105" s="88" t="str">
        <f t="shared" si="23"/>
        <v/>
      </c>
      <c r="X105" s="89" t="str">
        <f t="shared" si="28"/>
        <v/>
      </c>
      <c r="Y105" s="90" t="str">
        <f t="shared" si="29"/>
        <v/>
      </c>
      <c r="Z105" s="91"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85"/>
      <c r="E106" s="86"/>
      <c r="F106" s="86"/>
      <c r="G106" s="86"/>
      <c r="H106" s="86"/>
      <c r="I106" s="87" t="str">
        <f t="shared" si="15"/>
        <v/>
      </c>
      <c r="J106" s="55" t="str">
        <f t="shared" si="16"/>
        <v/>
      </c>
      <c r="K106" s="88" t="str">
        <f t="shared" si="17"/>
        <v/>
      </c>
      <c r="L106" s="85"/>
      <c r="M106" s="86"/>
      <c r="N106" s="86"/>
      <c r="O106" s="87" t="str">
        <f t="shared" si="18"/>
        <v/>
      </c>
      <c r="P106" s="55" t="str">
        <f t="shared" si="19"/>
        <v/>
      </c>
      <c r="Q106" s="88" t="str">
        <f t="shared" si="20"/>
        <v/>
      </c>
      <c r="R106" s="85"/>
      <c r="S106" s="86"/>
      <c r="T106" s="86"/>
      <c r="U106" s="87" t="str">
        <f t="shared" si="21"/>
        <v/>
      </c>
      <c r="V106" s="55" t="str">
        <f t="shared" si="22"/>
        <v/>
      </c>
      <c r="W106" s="88" t="str">
        <f t="shared" si="23"/>
        <v/>
      </c>
      <c r="X106" s="89" t="str">
        <f t="shared" si="28"/>
        <v/>
      </c>
      <c r="Y106" s="90" t="str">
        <f t="shared" si="29"/>
        <v/>
      </c>
      <c r="Z106" s="91"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85"/>
      <c r="E107" s="86"/>
      <c r="F107" s="86"/>
      <c r="G107" s="86"/>
      <c r="H107" s="86"/>
      <c r="I107" s="87" t="str">
        <f t="shared" si="15"/>
        <v/>
      </c>
      <c r="J107" s="55" t="str">
        <f t="shared" si="16"/>
        <v/>
      </c>
      <c r="K107" s="88" t="str">
        <f t="shared" si="17"/>
        <v/>
      </c>
      <c r="L107" s="85"/>
      <c r="M107" s="86"/>
      <c r="N107" s="86"/>
      <c r="O107" s="87" t="str">
        <f t="shared" si="18"/>
        <v/>
      </c>
      <c r="P107" s="55" t="str">
        <f t="shared" si="19"/>
        <v/>
      </c>
      <c r="Q107" s="88" t="str">
        <f t="shared" si="20"/>
        <v/>
      </c>
      <c r="R107" s="85"/>
      <c r="S107" s="86"/>
      <c r="T107" s="86"/>
      <c r="U107" s="87" t="str">
        <f t="shared" si="21"/>
        <v/>
      </c>
      <c r="V107" s="55" t="str">
        <f t="shared" si="22"/>
        <v/>
      </c>
      <c r="W107" s="88" t="str">
        <f t="shared" si="23"/>
        <v/>
      </c>
      <c r="X107" s="89" t="str">
        <f t="shared" si="28"/>
        <v/>
      </c>
      <c r="Y107" s="90" t="str">
        <f t="shared" si="29"/>
        <v/>
      </c>
      <c r="Z107" s="91"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85"/>
      <c r="E108" s="86"/>
      <c r="F108" s="86"/>
      <c r="G108" s="86"/>
      <c r="H108" s="86"/>
      <c r="I108" s="87" t="str">
        <f t="shared" si="15"/>
        <v/>
      </c>
      <c r="J108" s="55" t="str">
        <f t="shared" si="16"/>
        <v/>
      </c>
      <c r="K108" s="88" t="str">
        <f t="shared" si="17"/>
        <v/>
      </c>
      <c r="L108" s="85"/>
      <c r="M108" s="86"/>
      <c r="N108" s="86"/>
      <c r="O108" s="87" t="str">
        <f t="shared" si="18"/>
        <v/>
      </c>
      <c r="P108" s="55" t="str">
        <f t="shared" si="19"/>
        <v/>
      </c>
      <c r="Q108" s="88" t="str">
        <f t="shared" si="20"/>
        <v/>
      </c>
      <c r="R108" s="85"/>
      <c r="S108" s="86"/>
      <c r="T108" s="86"/>
      <c r="U108" s="87" t="str">
        <f t="shared" si="21"/>
        <v/>
      </c>
      <c r="V108" s="55" t="str">
        <f t="shared" si="22"/>
        <v/>
      </c>
      <c r="W108" s="88" t="str">
        <f t="shared" si="23"/>
        <v/>
      </c>
      <c r="X108" s="89" t="str">
        <f t="shared" si="28"/>
        <v/>
      </c>
      <c r="Y108" s="90" t="str">
        <f t="shared" si="29"/>
        <v/>
      </c>
      <c r="Z108" s="91"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85"/>
      <c r="E109" s="86"/>
      <c r="F109" s="86"/>
      <c r="G109" s="86"/>
      <c r="H109" s="86"/>
      <c r="I109" s="87" t="str">
        <f t="shared" si="15"/>
        <v/>
      </c>
      <c r="J109" s="55" t="str">
        <f t="shared" si="16"/>
        <v/>
      </c>
      <c r="K109" s="88" t="str">
        <f t="shared" si="17"/>
        <v/>
      </c>
      <c r="L109" s="85"/>
      <c r="M109" s="86"/>
      <c r="N109" s="86"/>
      <c r="O109" s="87" t="str">
        <f t="shared" si="18"/>
        <v/>
      </c>
      <c r="P109" s="55" t="str">
        <f t="shared" si="19"/>
        <v/>
      </c>
      <c r="Q109" s="88" t="str">
        <f t="shared" si="20"/>
        <v/>
      </c>
      <c r="R109" s="85"/>
      <c r="S109" s="86"/>
      <c r="T109" s="86"/>
      <c r="U109" s="87" t="str">
        <f t="shared" si="21"/>
        <v/>
      </c>
      <c r="V109" s="55" t="str">
        <f t="shared" si="22"/>
        <v/>
      </c>
      <c r="W109" s="88" t="str">
        <f t="shared" si="23"/>
        <v/>
      </c>
      <c r="X109" s="89" t="str">
        <f t="shared" si="28"/>
        <v/>
      </c>
      <c r="Y109" s="90" t="str">
        <f t="shared" si="29"/>
        <v/>
      </c>
      <c r="Z109" s="91"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85"/>
      <c r="E110" s="86"/>
      <c r="F110" s="86"/>
      <c r="G110" s="86"/>
      <c r="H110" s="86"/>
      <c r="I110" s="87" t="str">
        <f t="shared" si="15"/>
        <v/>
      </c>
      <c r="J110" s="55" t="str">
        <f t="shared" si="16"/>
        <v/>
      </c>
      <c r="K110" s="88" t="str">
        <f t="shared" si="17"/>
        <v/>
      </c>
      <c r="L110" s="85"/>
      <c r="M110" s="86"/>
      <c r="N110" s="86"/>
      <c r="O110" s="87" t="str">
        <f t="shared" si="18"/>
        <v/>
      </c>
      <c r="P110" s="55" t="str">
        <f t="shared" si="19"/>
        <v/>
      </c>
      <c r="Q110" s="88" t="str">
        <f t="shared" si="20"/>
        <v/>
      </c>
      <c r="R110" s="85"/>
      <c r="S110" s="86"/>
      <c r="T110" s="86"/>
      <c r="U110" s="87" t="str">
        <f t="shared" si="21"/>
        <v/>
      </c>
      <c r="V110" s="55" t="str">
        <f t="shared" si="22"/>
        <v/>
      </c>
      <c r="W110" s="88" t="str">
        <f t="shared" si="23"/>
        <v/>
      </c>
      <c r="X110" s="89" t="str">
        <f t="shared" si="28"/>
        <v/>
      </c>
      <c r="Y110" s="90" t="str">
        <f t="shared" si="29"/>
        <v/>
      </c>
      <c r="Z110" s="91"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85"/>
      <c r="E111" s="86"/>
      <c r="F111" s="86"/>
      <c r="G111" s="86"/>
      <c r="H111" s="86"/>
      <c r="I111" s="87" t="str">
        <f t="shared" si="15"/>
        <v/>
      </c>
      <c r="J111" s="55" t="str">
        <f t="shared" si="16"/>
        <v/>
      </c>
      <c r="K111" s="88" t="str">
        <f t="shared" si="17"/>
        <v/>
      </c>
      <c r="L111" s="85"/>
      <c r="M111" s="86"/>
      <c r="N111" s="86"/>
      <c r="O111" s="87" t="str">
        <f t="shared" si="18"/>
        <v/>
      </c>
      <c r="P111" s="55" t="str">
        <f t="shared" si="19"/>
        <v/>
      </c>
      <c r="Q111" s="88" t="str">
        <f t="shared" si="20"/>
        <v/>
      </c>
      <c r="R111" s="85"/>
      <c r="S111" s="86"/>
      <c r="T111" s="86"/>
      <c r="U111" s="87" t="str">
        <f t="shared" si="21"/>
        <v/>
      </c>
      <c r="V111" s="55" t="str">
        <f t="shared" si="22"/>
        <v/>
      </c>
      <c r="W111" s="88" t="str">
        <f t="shared" si="23"/>
        <v/>
      </c>
      <c r="X111" s="89" t="str">
        <f t="shared" si="28"/>
        <v/>
      </c>
      <c r="Y111" s="90" t="str">
        <f t="shared" si="29"/>
        <v/>
      </c>
      <c r="Z111" s="91"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85"/>
      <c r="E112" s="86"/>
      <c r="F112" s="86"/>
      <c r="G112" s="86"/>
      <c r="H112" s="86"/>
      <c r="I112" s="87" t="str">
        <f t="shared" si="15"/>
        <v/>
      </c>
      <c r="J112" s="55" t="str">
        <f t="shared" si="16"/>
        <v/>
      </c>
      <c r="K112" s="88" t="str">
        <f t="shared" si="17"/>
        <v/>
      </c>
      <c r="L112" s="85"/>
      <c r="M112" s="86"/>
      <c r="N112" s="86"/>
      <c r="O112" s="87" t="str">
        <f t="shared" si="18"/>
        <v/>
      </c>
      <c r="P112" s="55" t="str">
        <f t="shared" si="19"/>
        <v/>
      </c>
      <c r="Q112" s="88" t="str">
        <f t="shared" si="20"/>
        <v/>
      </c>
      <c r="R112" s="85"/>
      <c r="S112" s="86"/>
      <c r="T112" s="86"/>
      <c r="U112" s="87" t="str">
        <f t="shared" si="21"/>
        <v/>
      </c>
      <c r="V112" s="55" t="str">
        <f t="shared" si="22"/>
        <v/>
      </c>
      <c r="W112" s="88" t="str">
        <f t="shared" si="23"/>
        <v/>
      </c>
      <c r="X112" s="89" t="str">
        <f t="shared" si="28"/>
        <v/>
      </c>
      <c r="Y112" s="90" t="str">
        <f t="shared" si="29"/>
        <v/>
      </c>
      <c r="Z112" s="91"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85"/>
      <c r="E113" s="86"/>
      <c r="F113" s="86"/>
      <c r="G113" s="86"/>
      <c r="H113" s="86"/>
      <c r="I113" s="87" t="str">
        <f t="shared" si="15"/>
        <v/>
      </c>
      <c r="J113" s="55" t="str">
        <f t="shared" si="16"/>
        <v/>
      </c>
      <c r="K113" s="88" t="str">
        <f t="shared" si="17"/>
        <v/>
      </c>
      <c r="L113" s="85"/>
      <c r="M113" s="86"/>
      <c r="N113" s="86"/>
      <c r="O113" s="87" t="str">
        <f t="shared" si="18"/>
        <v/>
      </c>
      <c r="P113" s="55" t="str">
        <f t="shared" si="19"/>
        <v/>
      </c>
      <c r="Q113" s="88" t="str">
        <f t="shared" si="20"/>
        <v/>
      </c>
      <c r="R113" s="85"/>
      <c r="S113" s="86"/>
      <c r="T113" s="86"/>
      <c r="U113" s="87" t="str">
        <f t="shared" si="21"/>
        <v/>
      </c>
      <c r="V113" s="55" t="str">
        <f t="shared" si="22"/>
        <v/>
      </c>
      <c r="W113" s="88" t="str">
        <f t="shared" si="23"/>
        <v/>
      </c>
      <c r="X113" s="89" t="str">
        <f t="shared" si="28"/>
        <v/>
      </c>
      <c r="Y113" s="90" t="str">
        <f t="shared" si="29"/>
        <v/>
      </c>
      <c r="Z113" s="91"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s="1" customFormat="1" ht="18" hidden="1" customHeight="1" thickBot="1">
      <c r="A114" s="211" t="s">
        <v>101</v>
      </c>
      <c r="B114" s="212" t="s">
        <v>104</v>
      </c>
      <c r="C114" s="213" t="s">
        <v>102</v>
      </c>
      <c r="D114" s="205"/>
      <c r="E114" s="206"/>
      <c r="F114" s="206"/>
      <c r="G114" s="206"/>
      <c r="H114" s="206"/>
      <c r="I114" s="214" t="str">
        <f t="shared" si="15"/>
        <v/>
      </c>
      <c r="J114" s="215" t="str">
        <f t="shared" si="16"/>
        <v/>
      </c>
      <c r="K114" s="216" t="str">
        <f t="shared" si="17"/>
        <v/>
      </c>
      <c r="L114" s="205"/>
      <c r="M114" s="206"/>
      <c r="N114" s="206"/>
      <c r="O114" s="214" t="str">
        <f t="shared" si="18"/>
        <v/>
      </c>
      <c r="P114" s="215" t="str">
        <f t="shared" si="19"/>
        <v/>
      </c>
      <c r="Q114" s="216" t="str">
        <f t="shared" si="20"/>
        <v/>
      </c>
      <c r="R114" s="205"/>
      <c r="S114" s="206"/>
      <c r="T114" s="206"/>
      <c r="U114" s="214" t="str">
        <f t="shared" si="21"/>
        <v/>
      </c>
      <c r="V114" s="215" t="str">
        <f t="shared" si="22"/>
        <v/>
      </c>
      <c r="W114" s="216" t="str">
        <f t="shared" si="23"/>
        <v/>
      </c>
      <c r="X114" s="217" t="str">
        <f t="shared" si="28"/>
        <v/>
      </c>
      <c r="Y114" s="218" t="str">
        <f t="shared" si="29"/>
        <v/>
      </c>
      <c r="Z114" s="219" t="str">
        <f t="shared" si="24"/>
        <v/>
      </c>
      <c r="AD114" s="48"/>
      <c r="AS114" s="6"/>
      <c r="AT114" s="41" t="e">
        <f t="shared" si="25"/>
        <v>#DIV/0!</v>
      </c>
      <c r="AU114" s="41" t="e">
        <f t="shared" si="26"/>
        <v>#DIV/0!</v>
      </c>
      <c r="AV114" s="41" t="e">
        <f t="shared" si="27"/>
        <v>#DIV/0!</v>
      </c>
      <c r="AW114" s="6"/>
      <c r="AX114" s="6"/>
    </row>
    <row r="120" spans="1:50" s="2" customFormat="1">
      <c r="I120" s="3"/>
      <c r="J120" s="3"/>
      <c r="O120" s="3"/>
      <c r="P120" s="3"/>
      <c r="Q120" s="3"/>
      <c r="R120" s="3"/>
      <c r="U120" s="3"/>
      <c r="V120" s="3"/>
      <c r="W120" s="3"/>
      <c r="X120" s="4"/>
      <c r="AC120" s="4"/>
      <c r="AD120" s="4"/>
      <c r="AE120" s="4"/>
      <c r="AF120" s="4"/>
      <c r="AG120" s="4"/>
      <c r="AH120" s="4"/>
      <c r="AI120" s="4"/>
      <c r="AJ120" s="4"/>
      <c r="AK120" s="4"/>
      <c r="AL120" s="4"/>
      <c r="AM120" s="4"/>
      <c r="AN120" s="4"/>
      <c r="AO120" s="4"/>
      <c r="AP120" s="4"/>
      <c r="AQ120" s="4"/>
      <c r="AR120" s="19"/>
      <c r="AS120" s="19"/>
      <c r="AT120" s="47"/>
      <c r="AU120" s="47"/>
      <c r="AV120" s="47"/>
      <c r="AW120" s="47"/>
    </row>
  </sheetData>
  <mergeCells count="29">
    <mergeCell ref="D1:L2"/>
    <mergeCell ref="O1:T4"/>
    <mergeCell ref="B2:B5"/>
    <mergeCell ref="D4:E4"/>
    <mergeCell ref="F4:H4"/>
    <mergeCell ref="I4:L4"/>
    <mergeCell ref="D5:L5"/>
    <mergeCell ref="N5:O5"/>
    <mergeCell ref="P5:R5"/>
    <mergeCell ref="S5:V5"/>
    <mergeCell ref="W5:X5"/>
    <mergeCell ref="A7:C7"/>
    <mergeCell ref="I7:K7"/>
    <mergeCell ref="L7:N7"/>
    <mergeCell ref="O7:Q7"/>
    <mergeCell ref="R7:T7"/>
    <mergeCell ref="U7:W7"/>
    <mergeCell ref="B64:C64"/>
    <mergeCell ref="A8:A9"/>
    <mergeCell ref="B8:B9"/>
    <mergeCell ref="C8:C9"/>
    <mergeCell ref="D8:K8"/>
    <mergeCell ref="X8:X10"/>
    <mergeCell ref="Y8:Y10"/>
    <mergeCell ref="Z8:Z10"/>
    <mergeCell ref="A10:C10"/>
    <mergeCell ref="B11:C11"/>
    <mergeCell ref="L8:Q8"/>
    <mergeCell ref="R8:W8"/>
  </mergeCells>
  <conditionalFormatting sqref="Y13:Y63 Y66:Y114">
    <cfRule type="cellIs" dxfId="9" priority="6" operator="lessThan">
      <formula>75</formula>
    </cfRule>
  </conditionalFormatting>
  <conditionalFormatting sqref="Z13:Z114">
    <cfRule type="containsText" dxfId="8" priority="1" operator="containsText" text="Emerging">
      <formula>NOT(ISERROR(SEARCH("Emerging",Z13)))</formula>
    </cfRule>
    <cfRule type="containsText" dxfId="7" priority="2" operator="containsText" text="Developing">
      <formula>NOT(ISERROR(SEARCH("Developing",Z13)))</formula>
    </cfRule>
  </conditionalFormatting>
  <dataValidations count="51">
    <dataValidation allowBlank="1" showInputMessage="1" prompt="Encode Quarterly Assessment's Highest Possible Score" sqref="T10:U10 T12:U12" xr:uid="{CFDFD2B8-4EB3-4FA0-A7F6-4C8CEBD06982}"/>
    <dataValidation allowBlank="1" showInputMessage="1" showErrorMessage="1" prompt="Encode Quarterly Assessment's Highest Possible Score" sqref="T10:U10 T12:U12" xr:uid="{A7ED77E6-FF47-478E-A4E8-F3FB155D01BB}"/>
    <dataValidation allowBlank="1" showInputMessage="1" prompt="Quarterly Assessment's Weighted Score" sqref="W10 W12" xr:uid="{527695DE-6D95-4117-B35A-08972D677172}"/>
    <dataValidation allowBlank="1" showInputMessage="1" showErrorMessage="1" prompt="Quarterly Assessment's Weighted Score" sqref="W10 W12" xr:uid="{83F0F600-4B45-4DF7-8931-7672A05C54E1}"/>
    <dataValidation allowBlank="1" showInputMessage="1" prompt="Quarterly Assessment's Percentage Score" sqref="V10 V12" xr:uid="{CC030E5B-156E-442E-B726-E002F4A65CF0}"/>
    <dataValidation allowBlank="1" showInputMessage="1" showErrorMessage="1" prompt="Quarterly Assessment's Percentage Score" sqref="V10 V12" xr:uid="{89C6DC5F-9785-4631-9A2B-FDBB828E517B}"/>
    <dataValidation allowBlank="1" showInputMessage="1" prompt="Either encode Highest Possible Score or Empty" sqref="D10:H10 L12:N12 L10:N10 D12:H12" xr:uid="{CCB728AA-EE61-4D63-8BB3-06F6C8B2B0A5}"/>
    <dataValidation allowBlank="1" showInputMessage="1" showErrorMessage="1" prompt="Either encode Highest Possible Score or Empty" sqref="D10:H10 L12:N12 L10:N10 D12:H12" xr:uid="{944B417C-75C2-42EA-8D9D-5DF24D353267}"/>
    <dataValidation allowBlank="1" showInputMessage="1" showErrorMessage="1" prompt="Performance Tasks' Weighted Score" sqref="Q10:S10 Q12:S12" xr:uid="{C45FA78C-2546-4F9F-AD5B-6C3AFEF716E8}"/>
    <dataValidation allowBlank="1" showInputMessage="1" showErrorMessage="1" prompt="Written Works' Weighted Score" sqref="K10 K12" xr:uid="{17E48047-83E6-4F79-A502-58B4E38C1770}"/>
    <dataValidation allowBlank="1" showInputMessage="1" showErrorMessage="1" prompt="Performance Tasks' Percentage Score" sqref="P10 P12" xr:uid="{6A3A3ECE-1C6D-446C-9C0F-5CAE1842AA17}"/>
    <dataValidation allowBlank="1" showInputMessage="1" showErrorMessage="1" prompt="Written Works' Percentage Score" sqref="J10 J12" xr:uid="{872A22B8-EA2A-4EE1-AB45-4805CF48194F}"/>
    <dataValidation allowBlank="1" showInputMessage="1" prompt="Performance Tasks' Highest Possible Score" sqref="O10 O12" xr:uid="{AD8E694B-F462-4BEA-A272-D8CAEF3B1883}"/>
    <dataValidation allowBlank="1" showInputMessage="1" showErrorMessage="1" prompt="Performance Tasks' Total Highest Possible Score" sqref="O10 O12" xr:uid="{6BC21AAA-C412-4C3E-B4DD-90673C1C2996}"/>
    <dataValidation allowBlank="1" showInputMessage="1" prompt="Written Works' Total Highest Possible Score" sqref="I10 I12" xr:uid="{5EAA3F4C-D44B-4F39-8127-2ED4CDF71DDF}"/>
    <dataValidation allowBlank="1" showInputMessage="1" showErrorMessage="1" prompt="Written Works' Total Highest Possible Score" sqref="I10 I12" xr:uid="{6F0FDEE7-E84B-49DA-B074-A37293EA5C4A}"/>
    <dataValidation type="whole" operator="lessThanOrEqual" allowBlank="1" showInputMessage="1" showErrorMessage="1" error="INPUT NUMBER LESS THAN OR EQUAL THE HPS" prompt="Encode learner's raw score" sqref="T13:T63 T66:T114" xr:uid="{A4112803-C24A-4185-9C55-C0CA05221959}">
      <formula1>$T$10</formula1>
    </dataValidation>
    <dataValidation type="whole" operator="lessThanOrEqual" allowBlank="1" showInputMessage="1" showErrorMessage="1" error="INPUT NUMBER LESS THAN OR EQUAL THE HPS" prompt="Encode Learners' Raw Score" sqref="R13:R63 R66:R114" xr:uid="{89DA1E39-669D-4FDD-AEB2-1F7065DEFB73}">
      <formula1>$R$10</formula1>
    </dataValidation>
    <dataValidation type="whole" operator="lessThanOrEqual" allowBlank="1" showInputMessage="1" showErrorMessage="1" error="INPUT NUMBER LESS THAN OR EQUAL THE HPS" prompt="Encode Learners' Raw Score" sqref="S13:S63 S66:S114" xr:uid="{430578C5-4BAD-4548-A504-9A7E7A4C05F0}">
      <formula1>$S$10</formula1>
    </dataValidation>
    <dataValidation type="whole" operator="lessThanOrEqual" allowBlank="1" showInputMessage="1" showErrorMessage="1" error="INPUT NUMBER LESS THAN OR EQUAL THE HPS" prompt="Encode learner's raw score." sqref="L13:N63 D13:H63 L66:N114 D66:H114" xr:uid="{5123DA27-A177-4A4C-A06E-F8F48AF16733}">
      <formula1>D$10</formula1>
    </dataValidation>
    <dataValidation type="whole" operator="lessThanOrEqual" allowBlank="1" showInputMessage="1" showErrorMessage="1" error="INPUT NUMBER LESS THAN OR EQUAL THE HIGHEST POSSIBLE SCORE" prompt="Input Raw Score" sqref="JD13:JJ63 IR65549:IV65649 IR131085:IV131185 IR196621:IV196721 IR262157:IV262257 IR327693:IV327793 IR393229:IV393329 IR458765:IV458865 IR524301:IV524401 IR589837:IV589937 IR655373:IV655473 IR720909:IV721009 IR786445:IV786545 IR851981:IV852081 IR917517:IV917617 IR983053:IV983153 SO13:SS63 JC65549:JI65649 JC131085:JI131185 JC196621:JI196721 JC262157:JI262257 JC327693:JI327793 JC393229:JI393329 JC458765:JI458865 JC524301:JI524401 JC589837:JI589937 JC655373:JI655473 JC720909:JI721009 JC786445:JI786545 JC851981:JI852081 JC917517:JI917617 JC983053:JI983153 SZ13:TF63 SN65549:SR65649 SN131085:SR131185 SN196621:SR196721 SN262157:SR262257 SN327693:SR327793 SN393229:SR393329 SN458765:SR458865 SN524301:SR524401 SN589837:SR589937 SN655373:SR655473 SN720909:SR721009 SN786445:SR786545 SN851981:SR852081 SN917517:SR917617 SN983053:SR983153 ACK13:ACO63 SY65549:TE65649 SY131085:TE131185 SY196621:TE196721 SY262157:TE262257 SY327693:TE327793 SY393229:TE393329 SY458765:TE458865 SY524301:TE524401 SY589837:TE589937 SY655373:TE655473 SY720909:TE721009 SY786445:TE786545 SY851981:TE852081 SY917517:TE917617 SY983053:TE983153 ACV13:ADB63 ACJ65549:ACN65649 ACJ131085:ACN131185 ACJ196621:ACN196721 ACJ262157:ACN262257 ACJ327693:ACN327793 ACJ393229:ACN393329 ACJ458765:ACN458865 ACJ524301:ACN524401 ACJ589837:ACN589937 ACJ655373:ACN655473 ACJ720909:ACN721009 ACJ786445:ACN786545 ACJ851981:ACN852081 ACJ917517:ACN917617 ACJ983053:ACN983153 AMG13:AMK63 ACU65549:ADA65649 ACU131085:ADA131185 ACU196621:ADA196721 ACU262157:ADA262257 ACU327693:ADA327793 ACU393229:ADA393329 ACU458765:ADA458865 ACU524301:ADA524401 ACU589837:ADA589937 ACU655373:ADA655473 ACU720909:ADA721009 ACU786445:ADA786545 ACU851981:ADA852081 ACU917517:ADA917617 ACU983053:ADA983153 AMR13:AMX63 AMF65549:AMJ65649 AMF131085:AMJ131185 AMF196621:AMJ196721 AMF262157:AMJ262257 AMF327693:AMJ327793 AMF393229:AMJ393329 AMF458765:AMJ458865 AMF524301:AMJ524401 AMF589837:AMJ589937 AMF655373:AMJ655473 AMF720909:AMJ721009 AMF786445:AMJ786545 AMF851981:AMJ852081 AMF917517:AMJ917617 AMF983053:AMJ983153 AWC13:AWG63 AMQ65549:AMW65649 AMQ131085:AMW131185 AMQ196621:AMW196721 AMQ262157:AMW262257 AMQ327693:AMW327793 AMQ393229:AMW393329 AMQ458765:AMW458865 AMQ524301:AMW524401 AMQ589837:AMW589937 AMQ655373:AMW655473 AMQ720909:AMW721009 AMQ786445:AMW786545 AMQ851981:AMW852081 AMQ917517:AMW917617 AMQ983053:AMW983153 AWN13:AWT63 AWB65549:AWF65649 AWB131085:AWF131185 AWB196621:AWF196721 AWB262157:AWF262257 AWB327693:AWF327793 AWB393229:AWF393329 AWB458765:AWF458865 AWB524301:AWF524401 AWB589837:AWF589937 AWB655373:AWF655473 AWB720909:AWF721009 AWB786445:AWF786545 AWB851981:AWF852081 AWB917517:AWF917617 AWB983053:AWF983153 BFY13:BGC63 AWM65549:AWS65649 AWM131085:AWS131185 AWM196621:AWS196721 AWM262157:AWS262257 AWM327693:AWS327793 AWM393229:AWS393329 AWM458765:AWS458865 AWM524301:AWS524401 AWM589837:AWS589937 AWM655373:AWS655473 AWM720909:AWS721009 AWM786445:AWS786545 AWM851981:AWS852081 AWM917517:AWS917617 AWM983053:AWS983153 BGJ13:BGP63 BFX65549:BGB65649 BFX131085:BGB131185 BFX196621:BGB196721 BFX262157:BGB262257 BFX327693:BGB327793 BFX393229:BGB393329 BFX458765:BGB458865 BFX524301:BGB524401 BFX589837:BGB589937 BFX655373:BGB655473 BFX720909:BGB721009 BFX786445:BGB786545 BFX851981:BGB852081 BFX917517:BGB917617 BFX983053:BGB983153 BPU13:BPY63 BGI65549:BGO65649 BGI131085:BGO131185 BGI196621:BGO196721 BGI262157:BGO262257 BGI327693:BGO327793 BGI393229:BGO393329 BGI458765:BGO458865 BGI524301:BGO524401 BGI589837:BGO589937 BGI655373:BGO655473 BGI720909:BGO721009 BGI786445:BGO786545 BGI851981:BGO852081 BGI917517:BGO917617 BGI983053:BGO983153 BQF13:BQL63 BPT65549:BPX65649 BPT131085:BPX131185 BPT196621:BPX196721 BPT262157:BPX262257 BPT327693:BPX327793 BPT393229:BPX393329 BPT458765:BPX458865 BPT524301:BPX524401 BPT589837:BPX589937 BPT655373:BPX655473 BPT720909:BPX721009 BPT786445:BPX786545 BPT851981:BPX852081 BPT917517:BPX917617 BPT983053:BPX983153 BZQ13:BZU63 BQE65549:BQK65649 BQE131085:BQK131185 BQE196621:BQK196721 BQE262157:BQK262257 BQE327693:BQK327793 BQE393229:BQK393329 BQE458765:BQK458865 BQE524301:BQK524401 BQE589837:BQK589937 BQE655373:BQK655473 BQE720909:BQK721009 BQE786445:BQK786545 BQE851981:BQK852081 BQE917517:BQK917617 BQE983053:BQK983153 CAB13:CAH63 BZP65549:BZT65649 BZP131085:BZT131185 BZP196621:BZT196721 BZP262157:BZT262257 BZP327693:BZT327793 BZP393229:BZT393329 BZP458765:BZT458865 BZP524301:BZT524401 BZP589837:BZT589937 BZP655373:BZT655473 BZP720909:BZT721009 BZP786445:BZT786545 BZP851981:BZT852081 BZP917517:BZT917617 BZP983053:BZT983153 CJM13:CJQ63 CAA65549:CAG65649 CAA131085:CAG131185 CAA196621:CAG196721 CAA262157:CAG262257 CAA327693:CAG327793 CAA393229:CAG393329 CAA458765:CAG458865 CAA524301:CAG524401 CAA589837:CAG589937 CAA655373:CAG655473 CAA720909:CAG721009 CAA786445:CAG786545 CAA851981:CAG852081 CAA917517:CAG917617 CAA983053:CAG983153 CJX13:CKD63 CJL65549:CJP65649 CJL131085:CJP131185 CJL196621:CJP196721 CJL262157:CJP262257 CJL327693:CJP327793 CJL393229:CJP393329 CJL458765:CJP458865 CJL524301:CJP524401 CJL589837:CJP589937 CJL655373:CJP655473 CJL720909:CJP721009 CJL786445:CJP786545 CJL851981:CJP852081 CJL917517:CJP917617 CJL983053:CJP983153 CTI13:CTM63 CJW65549:CKC65649 CJW131085:CKC131185 CJW196621:CKC196721 CJW262157:CKC262257 CJW327693:CKC327793 CJW393229:CKC393329 CJW458765:CKC458865 CJW524301:CKC524401 CJW589837:CKC589937 CJW655373:CKC655473 CJW720909:CKC721009 CJW786445:CKC786545 CJW851981:CKC852081 CJW917517:CKC917617 CJW983053:CKC983153 CTT13:CTZ63 CTH65549:CTL65649 CTH131085:CTL131185 CTH196621:CTL196721 CTH262157:CTL262257 CTH327693:CTL327793 CTH393229:CTL393329 CTH458765:CTL458865 CTH524301:CTL524401 CTH589837:CTL589937 CTH655373:CTL655473 CTH720909:CTL721009 CTH786445:CTL786545 CTH851981:CTL852081 CTH917517:CTL917617 CTH983053:CTL983153 DDE13:DDI63 CTS65549:CTY65649 CTS131085:CTY131185 CTS196621:CTY196721 CTS262157:CTY262257 CTS327693:CTY327793 CTS393229:CTY393329 CTS458765:CTY458865 CTS524301:CTY524401 CTS589837:CTY589937 CTS655373:CTY655473 CTS720909:CTY721009 CTS786445:CTY786545 CTS851981:CTY852081 CTS917517:CTY917617 CTS983053:CTY983153 DDP13:DDV63 DDD65549:DDH65649 DDD131085:DDH131185 DDD196621:DDH196721 DDD262157:DDH262257 DDD327693:DDH327793 DDD393229:DDH393329 DDD458765:DDH458865 DDD524301:DDH524401 DDD589837:DDH589937 DDD655373:DDH655473 DDD720909:DDH721009 DDD786445:DDH786545 DDD851981:DDH852081 DDD917517:DDH917617 DDD983053:DDH983153 DNA13:DNE63 DDO65549:DDU65649 DDO131085:DDU131185 DDO196621:DDU196721 DDO262157:DDU262257 DDO327693:DDU327793 DDO393229:DDU393329 DDO458765:DDU458865 DDO524301:DDU524401 DDO589837:DDU589937 DDO655373:DDU655473 DDO720909:DDU721009 DDO786445:DDU786545 DDO851981:DDU852081 DDO917517:DDU917617 DDO983053:DDU983153 DNL13:DNR63 DMZ65549:DND65649 DMZ131085:DND131185 DMZ196621:DND196721 DMZ262157:DND262257 DMZ327693:DND327793 DMZ393229:DND393329 DMZ458765:DND458865 DMZ524301:DND524401 DMZ589837:DND589937 DMZ655373:DND655473 DMZ720909:DND721009 DMZ786445:DND786545 DMZ851981:DND852081 DMZ917517:DND917617 DMZ983053:DND983153 DWW13:DXA63 DNK65549:DNQ65649 DNK131085:DNQ131185 DNK196621:DNQ196721 DNK262157:DNQ262257 DNK327693:DNQ327793 DNK393229:DNQ393329 DNK458765:DNQ458865 DNK524301:DNQ524401 DNK589837:DNQ589937 DNK655373:DNQ655473 DNK720909:DNQ721009 DNK786445:DNQ786545 DNK851981:DNQ852081 DNK917517:DNQ917617 DNK983053:DNQ983153 DXH13:DXN63 DWV65549:DWZ65649 DWV131085:DWZ131185 DWV196621:DWZ196721 DWV262157:DWZ262257 DWV327693:DWZ327793 DWV393229:DWZ393329 DWV458765:DWZ458865 DWV524301:DWZ524401 DWV589837:DWZ589937 DWV655373:DWZ655473 DWV720909:DWZ721009 DWV786445:DWZ786545 DWV851981:DWZ852081 DWV917517:DWZ917617 DWV983053:DWZ983153 EGS13:EGW63 DXG65549:DXM65649 DXG131085:DXM131185 DXG196621:DXM196721 DXG262157:DXM262257 DXG327693:DXM327793 DXG393229:DXM393329 DXG458765:DXM458865 DXG524301:DXM524401 DXG589837:DXM589937 DXG655373:DXM655473 DXG720909:DXM721009 DXG786445:DXM786545 DXG851981:DXM852081 DXG917517:DXM917617 DXG983053:DXM983153 EHD13:EHJ63 EGR65549:EGV65649 EGR131085:EGV131185 EGR196621:EGV196721 EGR262157:EGV262257 EGR327693:EGV327793 EGR393229:EGV393329 EGR458765:EGV458865 EGR524301:EGV524401 EGR589837:EGV589937 EGR655373:EGV655473 EGR720909:EGV721009 EGR786445:EGV786545 EGR851981:EGV852081 EGR917517:EGV917617 EGR983053:EGV983153 EQO13:EQS63 EHC65549:EHI65649 EHC131085:EHI131185 EHC196621:EHI196721 EHC262157:EHI262257 EHC327693:EHI327793 EHC393229:EHI393329 EHC458765:EHI458865 EHC524301:EHI524401 EHC589837:EHI589937 EHC655373:EHI655473 EHC720909:EHI721009 EHC786445:EHI786545 EHC851981:EHI852081 EHC917517:EHI917617 EHC983053:EHI983153 EQZ13:ERF63 EQN65549:EQR65649 EQN131085:EQR131185 EQN196621:EQR196721 EQN262157:EQR262257 EQN327693:EQR327793 EQN393229:EQR393329 EQN458765:EQR458865 EQN524301:EQR524401 EQN589837:EQR589937 EQN655373:EQR655473 EQN720909:EQR721009 EQN786445:EQR786545 EQN851981:EQR852081 EQN917517:EQR917617 EQN983053:EQR983153 FAK13:FAO63 EQY65549:ERE65649 EQY131085:ERE131185 EQY196621:ERE196721 EQY262157:ERE262257 EQY327693:ERE327793 EQY393229:ERE393329 EQY458765:ERE458865 EQY524301:ERE524401 EQY589837:ERE589937 EQY655373:ERE655473 EQY720909:ERE721009 EQY786445:ERE786545 EQY851981:ERE852081 EQY917517:ERE917617 EQY983053:ERE983153 FAV13:FBB63 FAJ65549:FAN65649 FAJ131085:FAN131185 FAJ196621:FAN196721 FAJ262157:FAN262257 FAJ327693:FAN327793 FAJ393229:FAN393329 FAJ458765:FAN458865 FAJ524301:FAN524401 FAJ589837:FAN589937 FAJ655373:FAN655473 FAJ720909:FAN721009 FAJ786445:FAN786545 FAJ851981:FAN852081 FAJ917517:FAN917617 FAJ983053:FAN983153 FKG13:FKK63 FAU65549:FBA65649 FAU131085:FBA131185 FAU196621:FBA196721 FAU262157:FBA262257 FAU327693:FBA327793 FAU393229:FBA393329 FAU458765:FBA458865 FAU524301:FBA524401 FAU589837:FBA589937 FAU655373:FBA655473 FAU720909:FBA721009 FAU786445:FBA786545 FAU851981:FBA852081 FAU917517:FBA917617 FAU983053:FBA983153 FKR13:FKX63 FKF65549:FKJ65649 FKF131085:FKJ131185 FKF196621:FKJ196721 FKF262157:FKJ262257 FKF327693:FKJ327793 FKF393229:FKJ393329 FKF458765:FKJ458865 FKF524301:FKJ524401 FKF589837:FKJ589937 FKF655373:FKJ655473 FKF720909:FKJ721009 FKF786445:FKJ786545 FKF851981:FKJ852081 FKF917517:FKJ917617 FKF983053:FKJ983153 FUC13:FUG63 FKQ65549:FKW65649 FKQ131085:FKW131185 FKQ196621:FKW196721 FKQ262157:FKW262257 FKQ327693:FKW327793 FKQ393229:FKW393329 FKQ458765:FKW458865 FKQ524301:FKW524401 FKQ589837:FKW589937 FKQ655373:FKW655473 FKQ720909:FKW721009 FKQ786445:FKW786545 FKQ851981:FKW852081 FKQ917517:FKW917617 FKQ983053:FKW983153 FUN13:FUT63 FUB65549:FUF65649 FUB131085:FUF131185 FUB196621:FUF196721 FUB262157:FUF262257 FUB327693:FUF327793 FUB393229:FUF393329 FUB458765:FUF458865 FUB524301:FUF524401 FUB589837:FUF589937 FUB655373:FUF655473 FUB720909:FUF721009 FUB786445:FUF786545 FUB851981:FUF852081 FUB917517:FUF917617 FUB983053:FUF983153 GDY13:GEC63 FUM65549:FUS65649 FUM131085:FUS131185 FUM196621:FUS196721 FUM262157:FUS262257 FUM327693:FUS327793 FUM393229:FUS393329 FUM458765:FUS458865 FUM524301:FUS524401 FUM589837:FUS589937 FUM655373:FUS655473 FUM720909:FUS721009 FUM786445:FUS786545 FUM851981:FUS852081 FUM917517:FUS917617 FUM983053:FUS983153 GEJ13:GEP63 GDX65549:GEB65649 GDX131085:GEB131185 GDX196621:GEB196721 GDX262157:GEB262257 GDX327693:GEB327793 GDX393229:GEB393329 GDX458765:GEB458865 GDX524301:GEB524401 GDX589837:GEB589937 GDX655373:GEB655473 GDX720909:GEB721009 GDX786445:GEB786545 GDX851981:GEB852081 GDX917517:GEB917617 GDX983053:GEB983153 GNU13:GNY63 GEI65549:GEO65649 GEI131085:GEO131185 GEI196621:GEO196721 GEI262157:GEO262257 GEI327693:GEO327793 GEI393229:GEO393329 GEI458765:GEO458865 GEI524301:GEO524401 GEI589837:GEO589937 GEI655373:GEO655473 GEI720909:GEO721009 GEI786445:GEO786545 GEI851981:GEO852081 GEI917517:GEO917617 GEI983053:GEO983153 GOF13:GOL63 GNT65549:GNX65649 GNT131085:GNX131185 GNT196621:GNX196721 GNT262157:GNX262257 GNT327693:GNX327793 GNT393229:GNX393329 GNT458765:GNX458865 GNT524301:GNX524401 GNT589837:GNX589937 GNT655373:GNX655473 GNT720909:GNX721009 GNT786445:GNX786545 GNT851981:GNX852081 GNT917517:GNX917617 GNT983053:GNX983153 GXQ13:GXU63 GOE65549:GOK65649 GOE131085:GOK131185 GOE196621:GOK196721 GOE262157:GOK262257 GOE327693:GOK327793 GOE393229:GOK393329 GOE458765:GOK458865 GOE524301:GOK524401 GOE589837:GOK589937 GOE655373:GOK655473 GOE720909:GOK721009 GOE786445:GOK786545 GOE851981:GOK852081 GOE917517:GOK917617 GOE983053:GOK983153 GYB13:GYH63 GXP65549:GXT65649 GXP131085:GXT131185 GXP196621:GXT196721 GXP262157:GXT262257 GXP327693:GXT327793 GXP393229:GXT393329 GXP458765:GXT458865 GXP524301:GXT524401 GXP589837:GXT589937 GXP655373:GXT655473 GXP720909:GXT721009 GXP786445:GXT786545 GXP851981:GXT852081 GXP917517:GXT917617 GXP983053:GXT983153 HHM13:HHQ63 GYA65549:GYG65649 GYA131085:GYG131185 GYA196621:GYG196721 GYA262157:GYG262257 GYA327693:GYG327793 GYA393229:GYG393329 GYA458765:GYG458865 GYA524301:GYG524401 GYA589837:GYG589937 GYA655373:GYG655473 GYA720909:GYG721009 GYA786445:GYG786545 GYA851981:GYG852081 GYA917517:GYG917617 GYA983053:GYG983153 HHX13:HID63 HHL65549:HHP65649 HHL131085:HHP131185 HHL196621:HHP196721 HHL262157:HHP262257 HHL327693:HHP327793 HHL393229:HHP393329 HHL458765:HHP458865 HHL524301:HHP524401 HHL589837:HHP589937 HHL655373:HHP655473 HHL720909:HHP721009 HHL786445:HHP786545 HHL851981:HHP852081 HHL917517:HHP917617 HHL983053:HHP983153 HRI13:HRM63 HHW65549:HIC65649 HHW131085:HIC131185 HHW196621:HIC196721 HHW262157:HIC262257 HHW327693:HIC327793 HHW393229:HIC393329 HHW458765:HIC458865 HHW524301:HIC524401 HHW589837:HIC589937 HHW655373:HIC655473 HHW720909:HIC721009 HHW786445:HIC786545 HHW851981:HIC852081 HHW917517:HIC917617 HHW983053:HIC983153 HRT13:HRZ63 HRH65549:HRL65649 HRH131085:HRL131185 HRH196621:HRL196721 HRH262157:HRL262257 HRH327693:HRL327793 HRH393229:HRL393329 HRH458765:HRL458865 HRH524301:HRL524401 HRH589837:HRL589937 HRH655373:HRL655473 HRH720909:HRL721009 HRH786445:HRL786545 HRH851981:HRL852081 HRH917517:HRL917617 HRH983053:HRL983153 IBE13:IBI63 HRS65549:HRY65649 HRS131085:HRY131185 HRS196621:HRY196721 HRS262157:HRY262257 HRS327693:HRY327793 HRS393229:HRY393329 HRS458765:HRY458865 HRS524301:HRY524401 HRS589837:HRY589937 HRS655373:HRY655473 HRS720909:HRY721009 HRS786445:HRY786545 HRS851981:HRY852081 HRS917517:HRY917617 HRS983053:HRY983153 IBP13:IBV63 IBD65549:IBH65649 IBD131085:IBH131185 IBD196621:IBH196721 IBD262157:IBH262257 IBD327693:IBH327793 IBD393229:IBH393329 IBD458765:IBH458865 IBD524301:IBH524401 IBD589837:IBH589937 IBD655373:IBH655473 IBD720909:IBH721009 IBD786445:IBH786545 IBD851981:IBH852081 IBD917517:IBH917617 IBD983053:IBH983153 ILA13:ILE63 IBO65549:IBU65649 IBO131085:IBU131185 IBO196621:IBU196721 IBO262157:IBU262257 IBO327693:IBU327793 IBO393229:IBU393329 IBO458765:IBU458865 IBO524301:IBU524401 IBO589837:IBU589937 IBO655373:IBU655473 IBO720909:IBU721009 IBO786445:IBU786545 IBO851981:IBU852081 IBO917517:IBU917617 IBO983053:IBU983153 ILL13:ILR63 IKZ65549:ILD65649 IKZ131085:ILD131185 IKZ196621:ILD196721 IKZ262157:ILD262257 IKZ327693:ILD327793 IKZ393229:ILD393329 IKZ458765:ILD458865 IKZ524301:ILD524401 IKZ589837:ILD589937 IKZ655373:ILD655473 IKZ720909:ILD721009 IKZ786445:ILD786545 IKZ851981:ILD852081 IKZ917517:ILD917617 IKZ983053:ILD983153 IUW13:IVA63 ILK65549:ILQ65649 ILK131085:ILQ131185 ILK196621:ILQ196721 ILK262157:ILQ262257 ILK327693:ILQ327793 ILK393229:ILQ393329 ILK458765:ILQ458865 ILK524301:ILQ524401 ILK589837:ILQ589937 ILK655373:ILQ655473 ILK720909:ILQ721009 ILK786445:ILQ786545 ILK851981:ILQ852081 ILK917517:ILQ917617 ILK983053:ILQ983153 IVH13:IVN63 IUV65549:IUZ65649 IUV131085:IUZ131185 IUV196621:IUZ196721 IUV262157:IUZ262257 IUV327693:IUZ327793 IUV393229:IUZ393329 IUV458765:IUZ458865 IUV524301:IUZ524401 IUV589837:IUZ589937 IUV655373:IUZ655473 IUV720909:IUZ721009 IUV786445:IUZ786545 IUV851981:IUZ852081 IUV917517:IUZ917617 IUV983053:IUZ983153 JES13:JEW63 IVG65549:IVM65649 IVG131085:IVM131185 IVG196621:IVM196721 IVG262157:IVM262257 IVG327693:IVM327793 IVG393229:IVM393329 IVG458765:IVM458865 IVG524301:IVM524401 IVG589837:IVM589937 IVG655373:IVM655473 IVG720909:IVM721009 IVG786445:IVM786545 IVG851981:IVM852081 IVG917517:IVM917617 IVG983053:IVM983153 JFD13:JFJ63 JER65549:JEV65649 JER131085:JEV131185 JER196621:JEV196721 JER262157:JEV262257 JER327693:JEV327793 JER393229:JEV393329 JER458765:JEV458865 JER524301:JEV524401 JER589837:JEV589937 JER655373:JEV655473 JER720909:JEV721009 JER786445:JEV786545 JER851981:JEV852081 JER917517:JEV917617 JER983053:JEV983153 JOO13:JOS63 JFC65549:JFI65649 JFC131085:JFI131185 JFC196621:JFI196721 JFC262157:JFI262257 JFC327693:JFI327793 JFC393229:JFI393329 JFC458765:JFI458865 JFC524301:JFI524401 JFC589837:JFI589937 JFC655373:JFI655473 JFC720909:JFI721009 JFC786445:JFI786545 JFC851981:JFI852081 JFC917517:JFI917617 JFC983053:JFI983153 JOZ13:JPF63 JON65549:JOR65649 JON131085:JOR131185 JON196621:JOR196721 JON262157:JOR262257 JON327693:JOR327793 JON393229:JOR393329 JON458765:JOR458865 JON524301:JOR524401 JON589837:JOR589937 JON655373:JOR655473 JON720909:JOR721009 JON786445:JOR786545 JON851981:JOR852081 JON917517:JOR917617 JON983053:JOR983153 JYK13:JYO63 JOY65549:JPE65649 JOY131085:JPE131185 JOY196621:JPE196721 JOY262157:JPE262257 JOY327693:JPE327793 JOY393229:JPE393329 JOY458765:JPE458865 JOY524301:JPE524401 JOY589837:JPE589937 JOY655373:JPE655473 JOY720909:JPE721009 JOY786445:JPE786545 JOY851981:JPE852081 JOY917517:JPE917617 JOY983053:JPE983153 JYV13:JZB63 JYJ65549:JYN65649 JYJ131085:JYN131185 JYJ196621:JYN196721 JYJ262157:JYN262257 JYJ327693:JYN327793 JYJ393229:JYN393329 JYJ458765:JYN458865 JYJ524301:JYN524401 JYJ589837:JYN589937 JYJ655373:JYN655473 JYJ720909:JYN721009 JYJ786445:JYN786545 JYJ851981:JYN852081 JYJ917517:JYN917617 JYJ983053:JYN983153 KIG13:KIK63 JYU65549:JZA65649 JYU131085:JZA131185 JYU196621:JZA196721 JYU262157:JZA262257 JYU327693:JZA327793 JYU393229:JZA393329 JYU458765:JZA458865 JYU524301:JZA524401 JYU589837:JZA589937 JYU655373:JZA655473 JYU720909:JZA721009 JYU786445:JZA786545 JYU851981:JZA852081 JYU917517:JZA917617 JYU983053:JZA983153 KIR13:KIX63 KIF65549:KIJ65649 KIF131085:KIJ131185 KIF196621:KIJ196721 KIF262157:KIJ262257 KIF327693:KIJ327793 KIF393229:KIJ393329 KIF458765:KIJ458865 KIF524301:KIJ524401 KIF589837:KIJ589937 KIF655373:KIJ655473 KIF720909:KIJ721009 KIF786445:KIJ786545 KIF851981:KIJ852081 KIF917517:KIJ917617 KIF983053:KIJ983153 KSC13:KSG63 KIQ65549:KIW65649 KIQ131085:KIW131185 KIQ196621:KIW196721 KIQ262157:KIW262257 KIQ327693:KIW327793 KIQ393229:KIW393329 KIQ458765:KIW458865 KIQ524301:KIW524401 KIQ589837:KIW589937 KIQ655373:KIW655473 KIQ720909:KIW721009 KIQ786445:KIW786545 KIQ851981:KIW852081 KIQ917517:KIW917617 KIQ983053:KIW983153 KSN13:KST63 KSB65549:KSF65649 KSB131085:KSF131185 KSB196621:KSF196721 KSB262157:KSF262257 KSB327693:KSF327793 KSB393229:KSF393329 KSB458765:KSF458865 KSB524301:KSF524401 KSB589837:KSF589937 KSB655373:KSF655473 KSB720909:KSF721009 KSB786445:KSF786545 KSB851981:KSF852081 KSB917517:KSF917617 KSB983053:KSF983153 LBY13:LCC63 KSM65549:KSS65649 KSM131085:KSS131185 KSM196621:KSS196721 KSM262157:KSS262257 KSM327693:KSS327793 KSM393229:KSS393329 KSM458765:KSS458865 KSM524301:KSS524401 KSM589837:KSS589937 KSM655373:KSS655473 KSM720909:KSS721009 KSM786445:KSS786545 KSM851981:KSS852081 KSM917517:KSS917617 KSM983053:KSS983153 LCJ13:LCP63 LBX65549:LCB65649 LBX131085:LCB131185 LBX196621:LCB196721 LBX262157:LCB262257 LBX327693:LCB327793 LBX393229:LCB393329 LBX458765:LCB458865 LBX524301:LCB524401 LBX589837:LCB589937 LBX655373:LCB655473 LBX720909:LCB721009 LBX786445:LCB786545 LBX851981:LCB852081 LBX917517:LCB917617 LBX983053:LCB983153 LLU13:LLY63 LCI65549:LCO65649 LCI131085:LCO131185 LCI196621:LCO196721 LCI262157:LCO262257 LCI327693:LCO327793 LCI393229:LCO393329 LCI458765:LCO458865 LCI524301:LCO524401 LCI589837:LCO589937 LCI655373:LCO655473 LCI720909:LCO721009 LCI786445:LCO786545 LCI851981:LCO852081 LCI917517:LCO917617 LCI983053:LCO983153 LMF13:LML63 LLT65549:LLX65649 LLT131085:LLX131185 LLT196621:LLX196721 LLT262157:LLX262257 LLT327693:LLX327793 LLT393229:LLX393329 LLT458765:LLX458865 LLT524301:LLX524401 LLT589837:LLX589937 LLT655373:LLX655473 LLT720909:LLX721009 LLT786445:LLX786545 LLT851981:LLX852081 LLT917517:LLX917617 LLT983053:LLX983153 LVQ13:LVU63 LME65549:LMK65649 LME131085:LMK131185 LME196621:LMK196721 LME262157:LMK262257 LME327693:LMK327793 LME393229:LMK393329 LME458765:LMK458865 LME524301:LMK524401 LME589837:LMK589937 LME655373:LMK655473 LME720909:LMK721009 LME786445:LMK786545 LME851981:LMK852081 LME917517:LMK917617 LME983053:LMK983153 LWB13:LWH63 LVP65549:LVT65649 LVP131085:LVT131185 LVP196621:LVT196721 LVP262157:LVT262257 LVP327693:LVT327793 LVP393229:LVT393329 LVP458765:LVT458865 LVP524301:LVT524401 LVP589837:LVT589937 LVP655373:LVT655473 LVP720909:LVT721009 LVP786445:LVT786545 LVP851981:LVT852081 LVP917517:LVT917617 LVP983053:LVT983153 MFM13:MFQ63 LWA65549:LWG65649 LWA131085:LWG131185 LWA196621:LWG196721 LWA262157:LWG262257 LWA327693:LWG327793 LWA393229:LWG393329 LWA458765:LWG458865 LWA524301:LWG524401 LWA589837:LWG589937 LWA655373:LWG655473 LWA720909:LWG721009 LWA786445:LWG786545 LWA851981:LWG852081 LWA917517:LWG917617 LWA983053:LWG983153 MFX13:MGD63 MFL65549:MFP65649 MFL131085:MFP131185 MFL196621:MFP196721 MFL262157:MFP262257 MFL327693:MFP327793 MFL393229:MFP393329 MFL458765:MFP458865 MFL524301:MFP524401 MFL589837:MFP589937 MFL655373:MFP655473 MFL720909:MFP721009 MFL786445:MFP786545 MFL851981:MFP852081 MFL917517:MFP917617 MFL983053:MFP983153 MPI13:MPM63 MFW65549:MGC65649 MFW131085:MGC131185 MFW196621:MGC196721 MFW262157:MGC262257 MFW327693:MGC327793 MFW393229:MGC393329 MFW458765:MGC458865 MFW524301:MGC524401 MFW589837:MGC589937 MFW655373:MGC655473 MFW720909:MGC721009 MFW786445:MGC786545 MFW851981:MGC852081 MFW917517:MGC917617 MFW983053:MGC983153 MPT13:MPZ63 MPH65549:MPL65649 MPH131085:MPL131185 MPH196621:MPL196721 MPH262157:MPL262257 MPH327693:MPL327793 MPH393229:MPL393329 MPH458765:MPL458865 MPH524301:MPL524401 MPH589837:MPL589937 MPH655373:MPL655473 MPH720909:MPL721009 MPH786445:MPL786545 MPH851981:MPL852081 MPH917517:MPL917617 MPH983053:MPL983153 MZE13:MZI63 MPS65549:MPY65649 MPS131085:MPY131185 MPS196621:MPY196721 MPS262157:MPY262257 MPS327693:MPY327793 MPS393229:MPY393329 MPS458765:MPY458865 MPS524301:MPY524401 MPS589837:MPY589937 MPS655373:MPY655473 MPS720909:MPY721009 MPS786445:MPY786545 MPS851981:MPY852081 MPS917517:MPY917617 MPS983053:MPY983153 MZP13:MZV63 MZD65549:MZH65649 MZD131085:MZH131185 MZD196621:MZH196721 MZD262157:MZH262257 MZD327693:MZH327793 MZD393229:MZH393329 MZD458765:MZH458865 MZD524301:MZH524401 MZD589837:MZH589937 MZD655373:MZH655473 MZD720909:MZH721009 MZD786445:MZH786545 MZD851981:MZH852081 MZD917517:MZH917617 MZD983053:MZH983153 NJA13:NJE63 MZO65549:MZU65649 MZO131085:MZU131185 MZO196621:MZU196721 MZO262157:MZU262257 MZO327693:MZU327793 MZO393229:MZU393329 MZO458765:MZU458865 MZO524301:MZU524401 MZO589837:MZU589937 MZO655373:MZU655473 MZO720909:MZU721009 MZO786445:MZU786545 MZO851981:MZU852081 MZO917517:MZU917617 MZO983053:MZU983153 NJL13:NJR63 NIZ65549:NJD65649 NIZ131085:NJD131185 NIZ196621:NJD196721 NIZ262157:NJD262257 NIZ327693:NJD327793 NIZ393229:NJD393329 NIZ458765:NJD458865 NIZ524301:NJD524401 NIZ589837:NJD589937 NIZ655373:NJD655473 NIZ720909:NJD721009 NIZ786445:NJD786545 NIZ851981:NJD852081 NIZ917517:NJD917617 NIZ983053:NJD983153 NSW13:NTA63 NJK65549:NJQ65649 NJK131085:NJQ131185 NJK196621:NJQ196721 NJK262157:NJQ262257 NJK327693:NJQ327793 NJK393229:NJQ393329 NJK458765:NJQ458865 NJK524301:NJQ524401 NJK589837:NJQ589937 NJK655373:NJQ655473 NJK720909:NJQ721009 NJK786445:NJQ786545 NJK851981:NJQ852081 NJK917517:NJQ917617 NJK983053:NJQ983153 NTH13:NTN63 NSV65549:NSZ65649 NSV131085:NSZ131185 NSV196621:NSZ196721 NSV262157:NSZ262257 NSV327693:NSZ327793 NSV393229:NSZ393329 NSV458765:NSZ458865 NSV524301:NSZ524401 NSV589837:NSZ589937 NSV655373:NSZ655473 NSV720909:NSZ721009 NSV786445:NSZ786545 NSV851981:NSZ852081 NSV917517:NSZ917617 NSV983053:NSZ983153 OCS13:OCW63 NTG65549:NTM65649 NTG131085:NTM131185 NTG196621:NTM196721 NTG262157:NTM262257 NTG327693:NTM327793 NTG393229:NTM393329 NTG458765:NTM458865 NTG524301:NTM524401 NTG589837:NTM589937 NTG655373:NTM655473 NTG720909:NTM721009 NTG786445:NTM786545 NTG851981:NTM852081 NTG917517:NTM917617 NTG983053:NTM983153 ODD13:ODJ63 OCR65549:OCV65649 OCR131085:OCV131185 OCR196621:OCV196721 OCR262157:OCV262257 OCR327693:OCV327793 OCR393229:OCV393329 OCR458765:OCV458865 OCR524301:OCV524401 OCR589837:OCV589937 OCR655373:OCV655473 OCR720909:OCV721009 OCR786445:OCV786545 OCR851981:OCV852081 OCR917517:OCV917617 OCR983053:OCV983153 OMO13:OMS63 ODC65549:ODI65649 ODC131085:ODI131185 ODC196621:ODI196721 ODC262157:ODI262257 ODC327693:ODI327793 ODC393229:ODI393329 ODC458765:ODI458865 ODC524301:ODI524401 ODC589837:ODI589937 ODC655373:ODI655473 ODC720909:ODI721009 ODC786445:ODI786545 ODC851981:ODI852081 ODC917517:ODI917617 ODC983053:ODI983153 OMZ13:ONF63 OMN65549:OMR65649 OMN131085:OMR131185 OMN196621:OMR196721 OMN262157:OMR262257 OMN327693:OMR327793 OMN393229:OMR393329 OMN458765:OMR458865 OMN524301:OMR524401 OMN589837:OMR589937 OMN655373:OMR655473 OMN720909:OMR721009 OMN786445:OMR786545 OMN851981:OMR852081 OMN917517:OMR917617 OMN983053:OMR983153 OWK13:OWO63 OMY65549:ONE65649 OMY131085:ONE131185 OMY196621:ONE196721 OMY262157:ONE262257 OMY327693:ONE327793 OMY393229:ONE393329 OMY458765:ONE458865 OMY524301:ONE524401 OMY589837:ONE589937 OMY655373:ONE655473 OMY720909:ONE721009 OMY786445:ONE786545 OMY851981:ONE852081 OMY917517:ONE917617 OMY983053:ONE983153 OWV13:OXB63 OWJ65549:OWN65649 OWJ131085:OWN131185 OWJ196621:OWN196721 OWJ262157:OWN262257 OWJ327693:OWN327793 OWJ393229:OWN393329 OWJ458765:OWN458865 OWJ524301:OWN524401 OWJ589837:OWN589937 OWJ655373:OWN655473 OWJ720909:OWN721009 OWJ786445:OWN786545 OWJ851981:OWN852081 OWJ917517:OWN917617 OWJ983053:OWN983153 PGG13:PGK63 OWU65549:OXA65649 OWU131085:OXA131185 OWU196621:OXA196721 OWU262157:OXA262257 OWU327693:OXA327793 OWU393229:OXA393329 OWU458765:OXA458865 OWU524301:OXA524401 OWU589837:OXA589937 OWU655373:OXA655473 OWU720909:OXA721009 OWU786445:OXA786545 OWU851981:OXA852081 OWU917517:OXA917617 OWU983053:OXA983153 PGR13:PGX63 PGF65549:PGJ65649 PGF131085:PGJ131185 PGF196621:PGJ196721 PGF262157:PGJ262257 PGF327693:PGJ327793 PGF393229:PGJ393329 PGF458765:PGJ458865 PGF524301:PGJ524401 PGF589837:PGJ589937 PGF655373:PGJ655473 PGF720909:PGJ721009 PGF786445:PGJ786545 PGF851981:PGJ852081 PGF917517:PGJ917617 PGF983053:PGJ983153 PQC13:PQG63 PGQ65549:PGW65649 PGQ131085:PGW131185 PGQ196621:PGW196721 PGQ262157:PGW262257 PGQ327693:PGW327793 PGQ393229:PGW393329 PGQ458765:PGW458865 PGQ524301:PGW524401 PGQ589837:PGW589937 PGQ655373:PGW655473 PGQ720909:PGW721009 PGQ786445:PGW786545 PGQ851981:PGW852081 PGQ917517:PGW917617 PGQ983053:PGW983153 PQN13:PQT63 PQB65549:PQF65649 PQB131085:PQF131185 PQB196621:PQF196721 PQB262157:PQF262257 PQB327693:PQF327793 PQB393229:PQF393329 PQB458765:PQF458865 PQB524301:PQF524401 PQB589837:PQF589937 PQB655373:PQF655473 PQB720909:PQF721009 PQB786445:PQF786545 PQB851981:PQF852081 PQB917517:PQF917617 PQB983053:PQF983153 PZY13:QAC63 PQM65549:PQS65649 PQM131085:PQS131185 PQM196621:PQS196721 PQM262157:PQS262257 PQM327693:PQS327793 PQM393229:PQS393329 PQM458765:PQS458865 PQM524301:PQS524401 PQM589837:PQS589937 PQM655373:PQS655473 PQM720909:PQS721009 PQM786445:PQS786545 PQM851981:PQS852081 PQM917517:PQS917617 PQM983053:PQS983153 QAJ13:QAP63 PZX65549:QAB65649 PZX131085:QAB131185 PZX196621:QAB196721 PZX262157:QAB262257 PZX327693:QAB327793 PZX393229:QAB393329 PZX458765:QAB458865 PZX524301:QAB524401 PZX589837:QAB589937 PZX655373:QAB655473 PZX720909:QAB721009 PZX786445:QAB786545 PZX851981:QAB852081 PZX917517:QAB917617 PZX983053:QAB983153 QJU13:QJY63 QAI65549:QAO65649 QAI131085:QAO131185 QAI196621:QAO196721 QAI262157:QAO262257 QAI327693:QAO327793 QAI393229:QAO393329 QAI458765:QAO458865 QAI524301:QAO524401 QAI589837:QAO589937 QAI655373:QAO655473 QAI720909:QAO721009 QAI786445:QAO786545 QAI851981:QAO852081 QAI917517:QAO917617 QAI983053:QAO983153 QKF13:QKL63 QJT65549:QJX65649 QJT131085:QJX131185 QJT196621:QJX196721 QJT262157:QJX262257 QJT327693:QJX327793 QJT393229:QJX393329 QJT458765:QJX458865 QJT524301:QJX524401 QJT589837:QJX589937 QJT655373:QJX655473 QJT720909:QJX721009 QJT786445:QJX786545 QJT851981:QJX852081 QJT917517:QJX917617 QJT983053:QJX983153 QTQ13:QTU63 QKE65549:QKK65649 QKE131085:QKK131185 QKE196621:QKK196721 QKE262157:QKK262257 QKE327693:QKK327793 QKE393229:QKK393329 QKE458765:QKK458865 QKE524301:QKK524401 QKE589837:QKK589937 QKE655373:QKK655473 QKE720909:QKK721009 QKE786445:QKK786545 QKE851981:QKK852081 QKE917517:QKK917617 QKE983053:QKK983153 QUB13:QUH63 QTP65549:QTT65649 QTP131085:QTT131185 QTP196621:QTT196721 QTP262157:QTT262257 QTP327693:QTT327793 QTP393229:QTT393329 QTP458765:QTT458865 QTP524301:QTT524401 QTP589837:QTT589937 QTP655373:QTT655473 QTP720909:QTT721009 QTP786445:QTT786545 QTP851981:QTT852081 QTP917517:QTT917617 QTP983053:QTT983153 RDM13:RDQ63 QUA65549:QUG65649 QUA131085:QUG131185 QUA196621:QUG196721 QUA262157:QUG262257 QUA327693:QUG327793 QUA393229:QUG393329 QUA458765:QUG458865 QUA524301:QUG524401 QUA589837:QUG589937 QUA655373:QUG655473 QUA720909:QUG721009 QUA786445:QUG786545 QUA851981:QUG852081 QUA917517:QUG917617 QUA983053:QUG983153 RDX13:RED63 RDL65549:RDP65649 RDL131085:RDP131185 RDL196621:RDP196721 RDL262157:RDP262257 RDL327693:RDP327793 RDL393229:RDP393329 RDL458765:RDP458865 RDL524301:RDP524401 RDL589837:RDP589937 RDL655373:RDP655473 RDL720909:RDP721009 RDL786445:RDP786545 RDL851981:RDP852081 RDL917517:RDP917617 RDL983053:RDP983153 RNI13:RNM63 RDW65549:REC65649 RDW131085:REC131185 RDW196621:REC196721 RDW262157:REC262257 RDW327693:REC327793 RDW393229:REC393329 RDW458765:REC458865 RDW524301:REC524401 RDW589837:REC589937 RDW655373:REC655473 RDW720909:REC721009 RDW786445:REC786545 RDW851981:REC852081 RDW917517:REC917617 RDW983053:REC983153 RNT13:RNZ63 RNH65549:RNL65649 RNH131085:RNL131185 RNH196621:RNL196721 RNH262157:RNL262257 RNH327693:RNL327793 RNH393229:RNL393329 RNH458765:RNL458865 RNH524301:RNL524401 RNH589837:RNL589937 RNH655373:RNL655473 RNH720909:RNL721009 RNH786445:RNL786545 RNH851981:RNL852081 RNH917517:RNL917617 RNH983053:RNL983153 RXE13:RXI63 RNS65549:RNY65649 RNS131085:RNY131185 RNS196621:RNY196721 RNS262157:RNY262257 RNS327693:RNY327793 RNS393229:RNY393329 RNS458765:RNY458865 RNS524301:RNY524401 RNS589837:RNY589937 RNS655373:RNY655473 RNS720909:RNY721009 RNS786445:RNY786545 RNS851981:RNY852081 RNS917517:RNY917617 RNS983053:RNY983153 RXP13:RXV63 RXD65549:RXH65649 RXD131085:RXH131185 RXD196621:RXH196721 RXD262157:RXH262257 RXD327693:RXH327793 RXD393229:RXH393329 RXD458765:RXH458865 RXD524301:RXH524401 RXD589837:RXH589937 RXD655373:RXH655473 RXD720909:RXH721009 RXD786445:RXH786545 RXD851981:RXH852081 RXD917517:RXH917617 RXD983053:RXH983153 SHA13:SHE63 RXO65549:RXU65649 RXO131085:RXU131185 RXO196621:RXU196721 RXO262157:RXU262257 RXO327693:RXU327793 RXO393229:RXU393329 RXO458765:RXU458865 RXO524301:RXU524401 RXO589837:RXU589937 RXO655373:RXU655473 RXO720909:RXU721009 RXO786445:RXU786545 RXO851981:RXU852081 RXO917517:RXU917617 RXO983053:RXU983153 SHL13:SHR63 SGZ65549:SHD65649 SGZ131085:SHD131185 SGZ196621:SHD196721 SGZ262157:SHD262257 SGZ327693:SHD327793 SGZ393229:SHD393329 SGZ458765:SHD458865 SGZ524301:SHD524401 SGZ589837:SHD589937 SGZ655373:SHD655473 SGZ720909:SHD721009 SGZ786445:SHD786545 SGZ851981:SHD852081 SGZ917517:SHD917617 SGZ983053:SHD983153 SQW13:SRA63 SHK65549:SHQ65649 SHK131085:SHQ131185 SHK196621:SHQ196721 SHK262157:SHQ262257 SHK327693:SHQ327793 SHK393229:SHQ393329 SHK458765:SHQ458865 SHK524301:SHQ524401 SHK589837:SHQ589937 SHK655373:SHQ655473 SHK720909:SHQ721009 SHK786445:SHQ786545 SHK851981:SHQ852081 SHK917517:SHQ917617 SHK983053:SHQ983153 SRH13:SRN63 SQV65549:SQZ65649 SQV131085:SQZ131185 SQV196621:SQZ196721 SQV262157:SQZ262257 SQV327693:SQZ327793 SQV393229:SQZ393329 SQV458765:SQZ458865 SQV524301:SQZ524401 SQV589837:SQZ589937 SQV655373:SQZ655473 SQV720909:SQZ721009 SQV786445:SQZ786545 SQV851981:SQZ852081 SQV917517:SQZ917617 SQV983053:SQZ983153 TAS13:TAW63 SRG65549:SRM65649 SRG131085:SRM131185 SRG196621:SRM196721 SRG262157:SRM262257 SRG327693:SRM327793 SRG393229:SRM393329 SRG458765:SRM458865 SRG524301:SRM524401 SRG589837:SRM589937 SRG655373:SRM655473 SRG720909:SRM721009 SRG786445:SRM786545 SRG851981:SRM852081 SRG917517:SRM917617 SRG983053:SRM983153 TBD13:TBJ63 TAR65549:TAV65649 TAR131085:TAV131185 TAR196621:TAV196721 TAR262157:TAV262257 TAR327693:TAV327793 TAR393229:TAV393329 TAR458765:TAV458865 TAR524301:TAV524401 TAR589837:TAV589937 TAR655373:TAV655473 TAR720909:TAV721009 TAR786445:TAV786545 TAR851981:TAV852081 TAR917517:TAV917617 TAR983053:TAV983153 TKO13:TKS63 TBC65549:TBI65649 TBC131085:TBI131185 TBC196621:TBI196721 TBC262157:TBI262257 TBC327693:TBI327793 TBC393229:TBI393329 TBC458765:TBI458865 TBC524301:TBI524401 TBC589837:TBI589937 TBC655373:TBI655473 TBC720909:TBI721009 TBC786445:TBI786545 TBC851981:TBI852081 TBC917517:TBI917617 TBC983053:TBI983153 TKZ13:TLF63 TKN65549:TKR65649 TKN131085:TKR131185 TKN196621:TKR196721 TKN262157:TKR262257 TKN327693:TKR327793 TKN393229:TKR393329 TKN458765:TKR458865 TKN524301:TKR524401 TKN589837:TKR589937 TKN655373:TKR655473 TKN720909:TKR721009 TKN786445:TKR786545 TKN851981:TKR852081 TKN917517:TKR917617 TKN983053:TKR983153 TUK13:TUO63 TKY65549:TLE65649 TKY131085:TLE131185 TKY196621:TLE196721 TKY262157:TLE262257 TKY327693:TLE327793 TKY393229:TLE393329 TKY458765:TLE458865 TKY524301:TLE524401 TKY589837:TLE589937 TKY655373:TLE655473 TKY720909:TLE721009 TKY786445:TLE786545 TKY851981:TLE852081 TKY917517:TLE917617 TKY983053:TLE983153 TUV13:TVB63 TUJ65549:TUN65649 TUJ131085:TUN131185 TUJ196621:TUN196721 TUJ262157:TUN262257 TUJ327693:TUN327793 TUJ393229:TUN393329 TUJ458765:TUN458865 TUJ524301:TUN524401 TUJ589837:TUN589937 TUJ655373:TUN655473 TUJ720909:TUN721009 TUJ786445:TUN786545 TUJ851981:TUN852081 TUJ917517:TUN917617 TUJ983053:TUN983153 UEG13:UEK63 TUU65549:TVA65649 TUU131085:TVA131185 TUU196621:TVA196721 TUU262157:TVA262257 TUU327693:TVA327793 TUU393229:TVA393329 TUU458765:TVA458865 TUU524301:TVA524401 TUU589837:TVA589937 TUU655373:TVA655473 TUU720909:TVA721009 TUU786445:TVA786545 TUU851981:TVA852081 TUU917517:TVA917617 TUU983053:TVA983153 UER13:UEX63 UEF65549:UEJ65649 UEF131085:UEJ131185 UEF196621:UEJ196721 UEF262157:UEJ262257 UEF327693:UEJ327793 UEF393229:UEJ393329 UEF458765:UEJ458865 UEF524301:UEJ524401 UEF589837:UEJ589937 UEF655373:UEJ655473 UEF720909:UEJ721009 UEF786445:UEJ786545 UEF851981:UEJ852081 UEF917517:UEJ917617 UEF983053:UEJ983153 UOC13:UOG63 UEQ65549:UEW65649 UEQ131085:UEW131185 UEQ196621:UEW196721 UEQ262157:UEW262257 UEQ327693:UEW327793 UEQ393229:UEW393329 UEQ458765:UEW458865 UEQ524301:UEW524401 UEQ589837:UEW589937 UEQ655373:UEW655473 UEQ720909:UEW721009 UEQ786445:UEW786545 UEQ851981:UEW852081 UEQ917517:UEW917617 UEQ983053:UEW983153 UON13:UOT63 UOB65549:UOF65649 UOB131085:UOF131185 UOB196621:UOF196721 UOB262157:UOF262257 UOB327693:UOF327793 UOB393229:UOF393329 UOB458765:UOF458865 UOB524301:UOF524401 UOB589837:UOF589937 UOB655373:UOF655473 UOB720909:UOF721009 UOB786445:UOF786545 UOB851981:UOF852081 UOB917517:UOF917617 UOB983053:UOF983153 UXY13:UYC63 UOM65549:UOS65649 UOM131085:UOS131185 UOM196621:UOS196721 UOM262157:UOS262257 UOM327693:UOS327793 UOM393229:UOS393329 UOM458765:UOS458865 UOM524301:UOS524401 UOM589837:UOS589937 UOM655373:UOS655473 UOM720909:UOS721009 UOM786445:UOS786545 UOM851981:UOS852081 UOM917517:UOS917617 UOM983053:UOS983153 UYJ13:UYP63 UXX65549:UYB65649 UXX131085:UYB131185 UXX196621:UYB196721 UXX262157:UYB262257 UXX327693:UYB327793 UXX393229:UYB393329 UXX458765:UYB458865 UXX524301:UYB524401 UXX589837:UYB589937 UXX655373:UYB655473 UXX720909:UYB721009 UXX786445:UYB786545 UXX851981:UYB852081 UXX917517:UYB917617 UXX983053:UYB983153 VHU13:VHY63 UYI65549:UYO65649 UYI131085:UYO131185 UYI196621:UYO196721 UYI262157:UYO262257 UYI327693:UYO327793 UYI393229:UYO393329 UYI458765:UYO458865 UYI524301:UYO524401 UYI589837:UYO589937 UYI655373:UYO655473 UYI720909:UYO721009 UYI786445:UYO786545 UYI851981:UYO852081 UYI917517:UYO917617 UYI983053:UYO983153 VIF13:VIL63 VHT65549:VHX65649 VHT131085:VHX131185 VHT196621:VHX196721 VHT262157:VHX262257 VHT327693:VHX327793 VHT393229:VHX393329 VHT458765:VHX458865 VHT524301:VHX524401 VHT589837:VHX589937 VHT655373:VHX655473 VHT720909:VHX721009 VHT786445:VHX786545 VHT851981:VHX852081 VHT917517:VHX917617 VHT983053:VHX983153 VRQ13:VRU63 VIE65549:VIK65649 VIE131085:VIK131185 VIE196621:VIK196721 VIE262157:VIK262257 VIE327693:VIK327793 VIE393229:VIK393329 VIE458765:VIK458865 VIE524301:VIK524401 VIE589837:VIK589937 VIE655373:VIK655473 VIE720909:VIK721009 VIE786445:VIK786545 VIE851981:VIK852081 VIE917517:VIK917617 VIE983053:VIK983153 VSB13:VSH63 VRP65549:VRT65649 VRP131085:VRT131185 VRP196621:VRT196721 VRP262157:VRT262257 VRP327693:VRT327793 VRP393229:VRT393329 VRP458765:VRT458865 VRP524301:VRT524401 VRP589837:VRT589937 VRP655373:VRT655473 VRP720909:VRT721009 VRP786445:VRT786545 VRP851981:VRT852081 VRP917517:VRT917617 VRP983053:VRT983153 WBM13:WBQ63 VSA65549:VSG65649 VSA131085:VSG131185 VSA196621:VSG196721 VSA262157:VSG262257 VSA327693:VSG327793 VSA393229:VSG393329 VSA458765:VSG458865 VSA524301:VSG524401 VSA589837:VSG589937 VSA655373:VSG655473 VSA720909:VSG721009 VSA786445:VSG786545 VSA851981:VSG852081 VSA917517:VSG917617 VSA983053:VSG983153 WBX13:WCD63 WBL65549:WBP65649 WBL131085:WBP131185 WBL196621:WBP196721 WBL262157:WBP262257 WBL327693:WBP327793 WBL393229:WBP393329 WBL458765:WBP458865 WBL524301:WBP524401 WBL589837:WBP589937 WBL655373:WBP655473 WBL720909:WBP721009 WBL786445:WBP786545 WBL851981:WBP852081 WBL917517:WBP917617 WBL983053:WBP983153 WLI13:WLM63 WBW65549:WCC65649 WBW131085:WCC131185 WBW196621:WCC196721 WBW262157:WCC262257 WBW327693:WCC327793 WBW393229:WCC393329 WBW458765:WCC458865 WBW524301:WCC524401 WBW589837:WCC589937 WBW655373:WCC655473 WBW720909:WCC721009 WBW786445:WCC786545 WBW851981:WCC852081 WBW917517:WCC917617 WBW983053:WCC983153 WLT13:WLZ63 WLH65549:WLL65649 WLH131085:WLL131185 WLH196621:WLL196721 WLH262157:WLL262257 WLH327693:WLL327793 WLH393229:WLL393329 WLH458765:WLL458865 WLH524301:WLL524401 WLH589837:WLL589937 WLH655373:WLL655473 WLH720909:WLL721009 WLH786445:WLL786545 WLH851981:WLL852081 WLH917517:WLL917617 WLH983053:WLL983153 WVE13:WVI63 WLS65549:WLY65649 WLS131085:WLY131185 WLS196621:WLY196721 WLS262157:WLY262257 WLS327693:WLY327793 WLS393229:WLY393329 WLS458765:WLY458865 WLS524301:WLY524401 WLS589837:WLY589937 WLS655373:WLY655473 WLS720909:WLY721009 WLS786445:WLY786545 WLS851981:WLY852081 WLS917517:WLY917617 WLS983053:WLY983153 WVP13:WVV63 WVD65549:WVH65649 WVD131085:WVH131185 WVD196621:WVH196721 WVD262157:WVH262257 WVD327693:WVH327793 WVD393229:WVH393329 WVD458765:WVH458865 WVD524301:WVH524401 WVD589837:WVH589937 WVD655373:WVH655473 WVD720909:WVH721009 WVD786445:WVH786545 WVD851981:WVH852081 WVD917517:WVH917617 WVD983053:WVH983153 WVO983053:WVU983153 WVO65549:WVU65649 WVO131085:WVU131185 WVO196621:WVU196721 WVO262157:WVU262257 WVO327693:WVU327793 WVO393229:WVU393329 WVO458765:WVU458865 WVO524301:WVU524401 WVO589837:WVU589937 WVO655373:WVU655473 WVO720909:WVU721009 WVO786445:WVU786545 WVO851981:WVU852081 WVO917517:WVU917617 IS13:IW63 WVP66:WVV114 WVE66:WVI114 WLT66:WLZ114 WLI66:WLM114 WBX66:WCD114 WBM66:WBQ114 VSB66:VSH114 VRQ66:VRU114 VIF66:VIL114 VHU66:VHY114 UYJ66:UYP114 UXY66:UYC114 UON66:UOT114 UOC66:UOG114 UER66:UEX114 UEG66:UEK114 TUV66:TVB114 TUK66:TUO114 TKZ66:TLF114 TKO66:TKS114 TBD66:TBJ114 TAS66:TAW114 SRH66:SRN114 SQW66:SRA114 SHL66:SHR114 SHA66:SHE114 RXP66:RXV114 RXE66:RXI114 RNT66:RNZ114 RNI66:RNM114 RDX66:RED114 RDM66:RDQ114 QUB66:QUH114 QTQ66:QTU114 QKF66:QKL114 QJU66:QJY114 QAJ66:QAP114 PZY66:QAC114 PQN66:PQT114 PQC66:PQG114 PGR66:PGX114 PGG66:PGK114 OWV66:OXB114 OWK66:OWO114 OMZ66:ONF114 OMO66:OMS114 ODD66:ODJ114 OCS66:OCW114 NTH66:NTN114 NSW66:NTA114 NJL66:NJR114 NJA66:NJE114 MZP66:MZV114 MZE66:MZI114 MPT66:MPZ114 MPI66:MPM114 MFX66:MGD114 MFM66:MFQ114 LWB66:LWH114 LVQ66:LVU114 LMF66:LML114 LLU66:LLY114 LCJ66:LCP114 LBY66:LCC114 KSN66:KST114 KSC66:KSG114 KIR66:KIX114 KIG66:KIK114 JYV66:JZB114 JYK66:JYO114 JOZ66:JPF114 JOO66:JOS114 JFD66:JFJ114 JES66:JEW114 IVH66:IVN114 IUW66:IVA114 ILL66:ILR114 ILA66:ILE114 IBP66:IBV114 IBE66:IBI114 HRT66:HRZ114 HRI66:HRM114 HHX66:HID114 HHM66:HHQ114 GYB66:GYH114 GXQ66:GXU114 GOF66:GOL114 GNU66:GNY114 GEJ66:GEP114 GDY66:GEC114 FUN66:FUT114 FUC66:FUG114 FKR66:FKX114 FKG66:FKK114 FAV66:FBB114 FAK66:FAO114 EQZ66:ERF114 EQO66:EQS114 EHD66:EHJ114 EGS66:EGW114 DXH66:DXN114 DWW66:DXA114 DNL66:DNR114 DNA66:DNE114 DDP66:DDV114 DDE66:DDI114 CTT66:CTZ114 CTI66:CTM114 CJX66:CKD114 CJM66:CJQ114 CAB66:CAH114 BZQ66:BZU114 BQF66:BQL114 BPU66:BPY114 BGJ66:BGP114 BFY66:BGC114 AWN66:AWT114 AWC66:AWG114 AMR66:AMX114 AMG66:AMK114 ACV66:ADB114 ACK66:ACO114 SZ66:TF114 SO66:SS114 JD66:JJ114 IS66:IW114" xr:uid="{15043311-BE91-4712-8164-3D306078A756}">
      <formula1>#REF!</formula1>
    </dataValidation>
    <dataValidation allowBlank="1" showErrorMessage="1" sqref="A11:B11 AB14:AE14 AC18:AE18 AC24:AE24 AC30:AE30 D11:Z11 A64:A65 B65:Q65 AW64:XFD65 Z64:AU65 B64 D64:Q64" xr:uid="{EE6B433B-75DE-4457-A7D1-EF4113A289D7}"/>
    <dataValidation allowBlank="1" showInputMessage="1" prompt="QUARTERLY GRADE (TRANSMUTED GRADE)" sqref="Y13:Y63 Y66:Y114" xr:uid="{B8650982-0590-4E77-9C33-BFFB0E51F970}"/>
    <dataValidation allowBlank="1" showInputMessage="1" prompt="INITIAL GRADE" sqref="X13:X63 X66:X114" xr:uid="{6B644496-B075-4C25-ABA5-A4617DFE4F34}"/>
    <dataValidation allowBlank="1" showInputMessage="1" prompt="Performance Tasks' Weighted Score" sqref="Q10:S10 Q12:S12 Q13:Q63 Q66:Q114" xr:uid="{4DAA28E7-24A9-47A2-9AB3-304FCE07E3C4}"/>
    <dataValidation allowBlank="1" showInputMessage="1" prompt="Written Works' Weighted Score" sqref="K10 K12:K63 K66:K114" xr:uid="{350F031F-00AE-414A-BC7A-7DF33298E47D}"/>
    <dataValidation allowBlank="1" showInputMessage="1" prompt="Performance Tasks' Percentage Score" sqref="P10 P12:P63 P66:P114" xr:uid="{1D40FCAC-A93D-4276-955E-8D9E290A68ED}"/>
    <dataValidation allowBlank="1" showInputMessage="1" prompt="Written Works' Percentage Score" sqref="J10 J12:J63 J66:J114" xr:uid="{78947427-A063-4FEA-89E0-4CB8C6D8D887}"/>
    <dataValidation allowBlank="1" showInputMessage="1" prompt="Do not type name of learners here. Go to INPUT DATA sheet." sqref="B13:C63 A66:A113 B66:C113 A13:A62" xr:uid="{45F3121A-0B66-4D2C-BDC3-3900BC61BF35}"/>
    <dataValidation allowBlank="1" showInputMessage="1" showErrorMessage="1" prompt="Performance Tasks' Total Raw Scores" sqref="O13:O63 O66:O114" xr:uid="{97216A5F-80E8-4368-ADD4-FA6B4B0096AE}"/>
    <dataValidation allowBlank="1" showInputMessage="1" showErrorMessage="1" prompt="Written Works' Total Raw Score" sqref="I13:I63 I66:I114" xr:uid="{5315F093-28F4-46EC-A921-A295AC01B37E}"/>
    <dataValidation allowBlank="1" sqref="AB10:XFD12 A12:C12 A10 A114:C114 A63" xr:uid="{583EEF99-CA4C-4E8E-8468-D0FAE3995EE1}"/>
    <dataValidation allowBlank="1" showInputMessage="1" showErrorMessage="1" prompt="TYPE IN INPUT INFOS" sqref="B65549:C65598 B65600:C65649 B131085:C131134 B131136:C131185 B196621:C196670 B196672:C196721 B262157:C262206 B262208:C262257 B327693:C327742 B327744:C327793 B393229:C393278 B393280:C393329 B458765:C458814 B458816:C458865 B524301:C524350 B524352:C524401 B589837:C589886 B589888:C589937 B655373:C655422 B655424:C655473 B720909:C720958 B720960:C721009 B786445:C786494 B786496:C786545 B851981:C852030 B852032:C852081 B917517:C917566 B917568:C917617 B983053:C983102 B983104:C983153 SF13:SF63 II65549:II65598 II65600:II65649 II131085:II131134 II131136:II131185 II196621:II196670 II196672:II196721 II262157:II262206 II262208:II262257 II327693:II327742 II327744:II327793 II393229:II393278 II393280:II393329 II458765:II458814 II458816:II458865 II524301:II524350 II524352:II524401 II589837:II589886 II589888:II589937 II655373:II655422 II655424:II655473 II720909:II720958 II720960:II721009 II786445:II786494 II786496:II786545 II851981:II852030 II852032:II852081 II917517:II917566 II917568:II917617 II983053:II983102 II983104:II983153 ACB13:ACB63 SE65549:SE65598 SE65600:SE65649 SE131085:SE131134 SE131136:SE131185 SE196621:SE196670 SE196672:SE196721 SE262157:SE262206 SE262208:SE262257 SE327693:SE327742 SE327744:SE327793 SE393229:SE393278 SE393280:SE393329 SE458765:SE458814 SE458816:SE458865 SE524301:SE524350 SE524352:SE524401 SE589837:SE589886 SE589888:SE589937 SE655373:SE655422 SE655424:SE655473 SE720909:SE720958 SE720960:SE721009 SE786445:SE786494 SE786496:SE786545 SE851981:SE852030 SE852032:SE852081 SE917517:SE917566 SE917568:SE917617 SE983053:SE983102 SE983104:SE983153 ALX13:ALX63 ACA65549:ACA65598 ACA65600:ACA65649 ACA131085:ACA131134 ACA131136:ACA131185 ACA196621:ACA196670 ACA196672:ACA196721 ACA262157:ACA262206 ACA262208:ACA262257 ACA327693:ACA327742 ACA327744:ACA327793 ACA393229:ACA393278 ACA393280:ACA393329 ACA458765:ACA458814 ACA458816:ACA458865 ACA524301:ACA524350 ACA524352:ACA524401 ACA589837:ACA589886 ACA589888:ACA589937 ACA655373:ACA655422 ACA655424:ACA655473 ACA720909:ACA720958 ACA720960:ACA721009 ACA786445:ACA786494 ACA786496:ACA786545 ACA851981:ACA852030 ACA852032:ACA852081 ACA917517:ACA917566 ACA917568:ACA917617 ACA983053:ACA983102 ACA983104:ACA983153 AVT13:AVT63 ALW65549:ALW65598 ALW65600:ALW65649 ALW131085:ALW131134 ALW131136:ALW131185 ALW196621:ALW196670 ALW196672:ALW196721 ALW262157:ALW262206 ALW262208:ALW262257 ALW327693:ALW327742 ALW327744:ALW327793 ALW393229:ALW393278 ALW393280:ALW393329 ALW458765:ALW458814 ALW458816:ALW458865 ALW524301:ALW524350 ALW524352:ALW524401 ALW589837:ALW589886 ALW589888:ALW589937 ALW655373:ALW655422 ALW655424:ALW655473 ALW720909:ALW720958 ALW720960:ALW721009 ALW786445:ALW786494 ALW786496:ALW786545 ALW851981:ALW852030 ALW852032:ALW852081 ALW917517:ALW917566 ALW917568:ALW917617 ALW983053:ALW983102 ALW983104:ALW983153 BFP13:BFP63 AVS65549:AVS65598 AVS65600:AVS65649 AVS131085:AVS131134 AVS131136:AVS131185 AVS196621:AVS196670 AVS196672:AVS196721 AVS262157:AVS262206 AVS262208:AVS262257 AVS327693:AVS327742 AVS327744:AVS327793 AVS393229:AVS393278 AVS393280:AVS393329 AVS458765:AVS458814 AVS458816:AVS458865 AVS524301:AVS524350 AVS524352:AVS524401 AVS589837:AVS589886 AVS589888:AVS589937 AVS655373:AVS655422 AVS655424:AVS655473 AVS720909:AVS720958 AVS720960:AVS721009 AVS786445:AVS786494 AVS786496:AVS786545 AVS851981:AVS852030 AVS852032:AVS852081 AVS917517:AVS917566 AVS917568:AVS917617 AVS983053:AVS983102 AVS983104:AVS983153 BPL13:BPL63 BFO65549:BFO65598 BFO65600:BFO65649 BFO131085:BFO131134 BFO131136:BFO131185 BFO196621:BFO196670 BFO196672:BFO196721 BFO262157:BFO262206 BFO262208:BFO262257 BFO327693:BFO327742 BFO327744:BFO327793 BFO393229:BFO393278 BFO393280:BFO393329 BFO458765:BFO458814 BFO458816:BFO458865 BFO524301:BFO524350 BFO524352:BFO524401 BFO589837:BFO589886 BFO589888:BFO589937 BFO655373:BFO655422 BFO655424:BFO655473 BFO720909:BFO720958 BFO720960:BFO721009 BFO786445:BFO786494 BFO786496:BFO786545 BFO851981:BFO852030 BFO852032:BFO852081 BFO917517:BFO917566 BFO917568:BFO917617 BFO983053:BFO983102 BFO983104:BFO983153 BZH13:BZH63 BPK65549:BPK65598 BPK65600:BPK65649 BPK131085:BPK131134 BPK131136:BPK131185 BPK196621:BPK196670 BPK196672:BPK196721 BPK262157:BPK262206 BPK262208:BPK262257 BPK327693:BPK327742 BPK327744:BPK327793 BPK393229:BPK393278 BPK393280:BPK393329 BPK458765:BPK458814 BPK458816:BPK458865 BPK524301:BPK524350 BPK524352:BPK524401 BPK589837:BPK589886 BPK589888:BPK589937 BPK655373:BPK655422 BPK655424:BPK655473 BPK720909:BPK720958 BPK720960:BPK721009 BPK786445:BPK786494 BPK786496:BPK786545 BPK851981:BPK852030 BPK852032:BPK852081 BPK917517:BPK917566 BPK917568:BPK917617 BPK983053:BPK983102 BPK983104:BPK983153 CJD13:CJD63 BZG65549:BZG65598 BZG65600:BZG65649 BZG131085:BZG131134 BZG131136:BZG131185 BZG196621:BZG196670 BZG196672:BZG196721 BZG262157:BZG262206 BZG262208:BZG262257 BZG327693:BZG327742 BZG327744:BZG327793 BZG393229:BZG393278 BZG393280:BZG393329 BZG458765:BZG458814 BZG458816:BZG458865 BZG524301:BZG524350 BZG524352:BZG524401 BZG589837:BZG589886 BZG589888:BZG589937 BZG655373:BZG655422 BZG655424:BZG655473 BZG720909:BZG720958 BZG720960:BZG721009 BZG786445:BZG786494 BZG786496:BZG786545 BZG851981:BZG852030 BZG852032:BZG852081 BZG917517:BZG917566 BZG917568:BZG917617 BZG983053:BZG983102 BZG983104:BZG983153 CSZ13:CSZ63 CJC65549:CJC65598 CJC65600:CJC65649 CJC131085:CJC131134 CJC131136:CJC131185 CJC196621:CJC196670 CJC196672:CJC196721 CJC262157:CJC262206 CJC262208:CJC262257 CJC327693:CJC327742 CJC327744:CJC327793 CJC393229:CJC393278 CJC393280:CJC393329 CJC458765:CJC458814 CJC458816:CJC458865 CJC524301:CJC524350 CJC524352:CJC524401 CJC589837:CJC589886 CJC589888:CJC589937 CJC655373:CJC655422 CJC655424:CJC655473 CJC720909:CJC720958 CJC720960:CJC721009 CJC786445:CJC786494 CJC786496:CJC786545 CJC851981:CJC852030 CJC852032:CJC852081 CJC917517:CJC917566 CJC917568:CJC917617 CJC983053:CJC983102 CJC983104:CJC983153 DCV13:DCV63 CSY65549:CSY65598 CSY65600:CSY65649 CSY131085:CSY131134 CSY131136:CSY131185 CSY196621:CSY196670 CSY196672:CSY196721 CSY262157:CSY262206 CSY262208:CSY262257 CSY327693:CSY327742 CSY327744:CSY327793 CSY393229:CSY393278 CSY393280:CSY393329 CSY458765:CSY458814 CSY458816:CSY458865 CSY524301:CSY524350 CSY524352:CSY524401 CSY589837:CSY589886 CSY589888:CSY589937 CSY655373:CSY655422 CSY655424:CSY655473 CSY720909:CSY720958 CSY720960:CSY721009 CSY786445:CSY786494 CSY786496:CSY786545 CSY851981:CSY852030 CSY852032:CSY852081 CSY917517:CSY917566 CSY917568:CSY917617 CSY983053:CSY983102 CSY983104:CSY983153 DMR13:DMR63 DCU65549:DCU65598 DCU65600:DCU65649 DCU131085:DCU131134 DCU131136:DCU131185 DCU196621:DCU196670 DCU196672:DCU196721 DCU262157:DCU262206 DCU262208:DCU262257 DCU327693:DCU327742 DCU327744:DCU327793 DCU393229:DCU393278 DCU393280:DCU393329 DCU458765:DCU458814 DCU458816:DCU458865 DCU524301:DCU524350 DCU524352:DCU524401 DCU589837:DCU589886 DCU589888:DCU589937 DCU655373:DCU655422 DCU655424:DCU655473 DCU720909:DCU720958 DCU720960:DCU721009 DCU786445:DCU786494 DCU786496:DCU786545 DCU851981:DCU852030 DCU852032:DCU852081 DCU917517:DCU917566 DCU917568:DCU917617 DCU983053:DCU983102 DCU983104:DCU983153 DWN13:DWN63 DMQ65549:DMQ65598 DMQ65600:DMQ65649 DMQ131085:DMQ131134 DMQ131136:DMQ131185 DMQ196621:DMQ196670 DMQ196672:DMQ196721 DMQ262157:DMQ262206 DMQ262208:DMQ262257 DMQ327693:DMQ327742 DMQ327744:DMQ327793 DMQ393229:DMQ393278 DMQ393280:DMQ393329 DMQ458765:DMQ458814 DMQ458816:DMQ458865 DMQ524301:DMQ524350 DMQ524352:DMQ524401 DMQ589837:DMQ589886 DMQ589888:DMQ589937 DMQ655373:DMQ655422 DMQ655424:DMQ655473 DMQ720909:DMQ720958 DMQ720960:DMQ721009 DMQ786445:DMQ786494 DMQ786496:DMQ786545 DMQ851981:DMQ852030 DMQ852032:DMQ852081 DMQ917517:DMQ917566 DMQ917568:DMQ917617 DMQ983053:DMQ983102 DMQ983104:DMQ983153 EGJ13:EGJ63 DWM65549:DWM65598 DWM65600:DWM65649 DWM131085:DWM131134 DWM131136:DWM131185 DWM196621:DWM196670 DWM196672:DWM196721 DWM262157:DWM262206 DWM262208:DWM262257 DWM327693:DWM327742 DWM327744:DWM327793 DWM393229:DWM393278 DWM393280:DWM393329 DWM458765:DWM458814 DWM458816:DWM458865 DWM524301:DWM524350 DWM524352:DWM524401 DWM589837:DWM589886 DWM589888:DWM589937 DWM655373:DWM655422 DWM655424:DWM655473 DWM720909:DWM720958 DWM720960:DWM721009 DWM786445:DWM786494 DWM786496:DWM786545 DWM851981:DWM852030 DWM852032:DWM852081 DWM917517:DWM917566 DWM917568:DWM917617 DWM983053:DWM983102 DWM983104:DWM983153 EQF13:EQF63 EGI65549:EGI65598 EGI65600:EGI65649 EGI131085:EGI131134 EGI131136:EGI131185 EGI196621:EGI196670 EGI196672:EGI196721 EGI262157:EGI262206 EGI262208:EGI262257 EGI327693:EGI327742 EGI327744:EGI327793 EGI393229:EGI393278 EGI393280:EGI393329 EGI458765:EGI458814 EGI458816:EGI458865 EGI524301:EGI524350 EGI524352:EGI524401 EGI589837:EGI589886 EGI589888:EGI589937 EGI655373:EGI655422 EGI655424:EGI655473 EGI720909:EGI720958 EGI720960:EGI721009 EGI786445:EGI786494 EGI786496:EGI786545 EGI851981:EGI852030 EGI852032:EGI852081 EGI917517:EGI917566 EGI917568:EGI917617 EGI983053:EGI983102 EGI983104:EGI983153 FAB13:FAB63 EQE65549:EQE65598 EQE65600:EQE65649 EQE131085:EQE131134 EQE131136:EQE131185 EQE196621:EQE196670 EQE196672:EQE196721 EQE262157:EQE262206 EQE262208:EQE262257 EQE327693:EQE327742 EQE327744:EQE327793 EQE393229:EQE393278 EQE393280:EQE393329 EQE458765:EQE458814 EQE458816:EQE458865 EQE524301:EQE524350 EQE524352:EQE524401 EQE589837:EQE589886 EQE589888:EQE589937 EQE655373:EQE655422 EQE655424:EQE655473 EQE720909:EQE720958 EQE720960:EQE721009 EQE786445:EQE786494 EQE786496:EQE786545 EQE851981:EQE852030 EQE852032:EQE852081 EQE917517:EQE917566 EQE917568:EQE917617 EQE983053:EQE983102 EQE983104:EQE983153 FJX13:FJX63 FAA65549:FAA65598 FAA65600:FAA65649 FAA131085:FAA131134 FAA131136:FAA131185 FAA196621:FAA196670 FAA196672:FAA196721 FAA262157:FAA262206 FAA262208:FAA262257 FAA327693:FAA327742 FAA327744:FAA327793 FAA393229:FAA393278 FAA393280:FAA393329 FAA458765:FAA458814 FAA458816:FAA458865 FAA524301:FAA524350 FAA524352:FAA524401 FAA589837:FAA589886 FAA589888:FAA589937 FAA655373:FAA655422 FAA655424:FAA655473 FAA720909:FAA720958 FAA720960:FAA721009 FAA786445:FAA786494 FAA786496:FAA786545 FAA851981:FAA852030 FAA852032:FAA852081 FAA917517:FAA917566 FAA917568:FAA917617 FAA983053:FAA983102 FAA983104:FAA983153 FTT13:FTT63 FJW65549:FJW65598 FJW65600:FJW65649 FJW131085:FJW131134 FJW131136:FJW131185 FJW196621:FJW196670 FJW196672:FJW196721 FJW262157:FJW262206 FJW262208:FJW262257 FJW327693:FJW327742 FJW327744:FJW327793 FJW393229:FJW393278 FJW393280:FJW393329 FJW458765:FJW458814 FJW458816:FJW458865 FJW524301:FJW524350 FJW524352:FJW524401 FJW589837:FJW589886 FJW589888:FJW589937 FJW655373:FJW655422 FJW655424:FJW655473 FJW720909:FJW720958 FJW720960:FJW721009 FJW786445:FJW786494 FJW786496:FJW786545 FJW851981:FJW852030 FJW852032:FJW852081 FJW917517:FJW917566 FJW917568:FJW917617 FJW983053:FJW983102 FJW983104:FJW983153 GDP13:GDP63 FTS65549:FTS65598 FTS65600:FTS65649 FTS131085:FTS131134 FTS131136:FTS131185 FTS196621:FTS196670 FTS196672:FTS196721 FTS262157:FTS262206 FTS262208:FTS262257 FTS327693:FTS327742 FTS327744:FTS327793 FTS393229:FTS393278 FTS393280:FTS393329 FTS458765:FTS458814 FTS458816:FTS458865 FTS524301:FTS524350 FTS524352:FTS524401 FTS589837:FTS589886 FTS589888:FTS589937 FTS655373:FTS655422 FTS655424:FTS655473 FTS720909:FTS720958 FTS720960:FTS721009 FTS786445:FTS786494 FTS786496:FTS786545 FTS851981:FTS852030 FTS852032:FTS852081 FTS917517:FTS917566 FTS917568:FTS917617 FTS983053:FTS983102 FTS983104:FTS983153 GNL13:GNL63 GDO65549:GDO65598 GDO65600:GDO65649 GDO131085:GDO131134 GDO131136:GDO131185 GDO196621:GDO196670 GDO196672:GDO196721 GDO262157:GDO262206 GDO262208:GDO262257 GDO327693:GDO327742 GDO327744:GDO327793 GDO393229:GDO393278 GDO393280:GDO393329 GDO458765:GDO458814 GDO458816:GDO458865 GDO524301:GDO524350 GDO524352:GDO524401 GDO589837:GDO589886 GDO589888:GDO589937 GDO655373:GDO655422 GDO655424:GDO655473 GDO720909:GDO720958 GDO720960:GDO721009 GDO786445:GDO786494 GDO786496:GDO786545 GDO851981:GDO852030 GDO852032:GDO852081 GDO917517:GDO917566 GDO917568:GDO917617 GDO983053:GDO983102 GDO983104:GDO983153 GXH13:GXH63 GNK65549:GNK65598 GNK65600:GNK65649 GNK131085:GNK131134 GNK131136:GNK131185 GNK196621:GNK196670 GNK196672:GNK196721 GNK262157:GNK262206 GNK262208:GNK262257 GNK327693:GNK327742 GNK327744:GNK327793 GNK393229:GNK393278 GNK393280:GNK393329 GNK458765:GNK458814 GNK458816:GNK458865 GNK524301:GNK524350 GNK524352:GNK524401 GNK589837:GNK589886 GNK589888:GNK589937 GNK655373:GNK655422 GNK655424:GNK655473 GNK720909:GNK720958 GNK720960:GNK721009 GNK786445:GNK786494 GNK786496:GNK786545 GNK851981:GNK852030 GNK852032:GNK852081 GNK917517:GNK917566 GNK917568:GNK917617 GNK983053:GNK983102 GNK983104:GNK983153 HHD13:HHD63 GXG65549:GXG65598 GXG65600:GXG65649 GXG131085:GXG131134 GXG131136:GXG131185 GXG196621:GXG196670 GXG196672:GXG196721 GXG262157:GXG262206 GXG262208:GXG262257 GXG327693:GXG327742 GXG327744:GXG327793 GXG393229:GXG393278 GXG393280:GXG393329 GXG458765:GXG458814 GXG458816:GXG458865 GXG524301:GXG524350 GXG524352:GXG524401 GXG589837:GXG589886 GXG589888:GXG589937 GXG655373:GXG655422 GXG655424:GXG655473 GXG720909:GXG720958 GXG720960:GXG721009 GXG786445:GXG786494 GXG786496:GXG786545 GXG851981:GXG852030 GXG852032:GXG852081 GXG917517:GXG917566 GXG917568:GXG917617 GXG983053:GXG983102 GXG983104:GXG983153 HQZ13:HQZ63 HHC65549:HHC65598 HHC65600:HHC65649 HHC131085:HHC131134 HHC131136:HHC131185 HHC196621:HHC196670 HHC196672:HHC196721 HHC262157:HHC262206 HHC262208:HHC262257 HHC327693:HHC327742 HHC327744:HHC327793 HHC393229:HHC393278 HHC393280:HHC393329 HHC458765:HHC458814 HHC458816:HHC458865 HHC524301:HHC524350 HHC524352:HHC524401 HHC589837:HHC589886 HHC589888:HHC589937 HHC655373:HHC655422 HHC655424:HHC655473 HHC720909:HHC720958 HHC720960:HHC721009 HHC786445:HHC786494 HHC786496:HHC786545 HHC851981:HHC852030 HHC852032:HHC852081 HHC917517:HHC917566 HHC917568:HHC917617 HHC983053:HHC983102 HHC983104:HHC983153 IAV13:IAV63 HQY65549:HQY65598 HQY65600:HQY65649 HQY131085:HQY131134 HQY131136:HQY131185 HQY196621:HQY196670 HQY196672:HQY196721 HQY262157:HQY262206 HQY262208:HQY262257 HQY327693:HQY327742 HQY327744:HQY327793 HQY393229:HQY393278 HQY393280:HQY393329 HQY458765:HQY458814 HQY458816:HQY458865 HQY524301:HQY524350 HQY524352:HQY524401 HQY589837:HQY589886 HQY589888:HQY589937 HQY655373:HQY655422 HQY655424:HQY655473 HQY720909:HQY720958 HQY720960:HQY721009 HQY786445:HQY786494 HQY786496:HQY786545 HQY851981:HQY852030 HQY852032:HQY852081 HQY917517:HQY917566 HQY917568:HQY917617 HQY983053:HQY983102 HQY983104:HQY983153 IKR13:IKR63 IAU65549:IAU65598 IAU65600:IAU65649 IAU131085:IAU131134 IAU131136:IAU131185 IAU196621:IAU196670 IAU196672:IAU196721 IAU262157:IAU262206 IAU262208:IAU262257 IAU327693:IAU327742 IAU327744:IAU327793 IAU393229:IAU393278 IAU393280:IAU393329 IAU458765:IAU458814 IAU458816:IAU458865 IAU524301:IAU524350 IAU524352:IAU524401 IAU589837:IAU589886 IAU589888:IAU589937 IAU655373:IAU655422 IAU655424:IAU655473 IAU720909:IAU720958 IAU720960:IAU721009 IAU786445:IAU786494 IAU786496:IAU786545 IAU851981:IAU852030 IAU852032:IAU852081 IAU917517:IAU917566 IAU917568:IAU917617 IAU983053:IAU983102 IAU983104:IAU983153 IUN13:IUN63 IKQ65549:IKQ65598 IKQ65600:IKQ65649 IKQ131085:IKQ131134 IKQ131136:IKQ131185 IKQ196621:IKQ196670 IKQ196672:IKQ196721 IKQ262157:IKQ262206 IKQ262208:IKQ262257 IKQ327693:IKQ327742 IKQ327744:IKQ327793 IKQ393229:IKQ393278 IKQ393280:IKQ393329 IKQ458765:IKQ458814 IKQ458816:IKQ458865 IKQ524301:IKQ524350 IKQ524352:IKQ524401 IKQ589837:IKQ589886 IKQ589888:IKQ589937 IKQ655373:IKQ655422 IKQ655424:IKQ655473 IKQ720909:IKQ720958 IKQ720960:IKQ721009 IKQ786445:IKQ786494 IKQ786496:IKQ786545 IKQ851981:IKQ852030 IKQ852032:IKQ852081 IKQ917517:IKQ917566 IKQ917568:IKQ917617 IKQ983053:IKQ983102 IKQ983104:IKQ983153 JEJ13:JEJ63 IUM65549:IUM65598 IUM65600:IUM65649 IUM131085:IUM131134 IUM131136:IUM131185 IUM196621:IUM196670 IUM196672:IUM196721 IUM262157:IUM262206 IUM262208:IUM262257 IUM327693:IUM327742 IUM327744:IUM327793 IUM393229:IUM393278 IUM393280:IUM393329 IUM458765:IUM458814 IUM458816:IUM458865 IUM524301:IUM524350 IUM524352:IUM524401 IUM589837:IUM589886 IUM589888:IUM589937 IUM655373:IUM655422 IUM655424:IUM655473 IUM720909:IUM720958 IUM720960:IUM721009 IUM786445:IUM786494 IUM786496:IUM786545 IUM851981:IUM852030 IUM852032:IUM852081 IUM917517:IUM917566 IUM917568:IUM917617 IUM983053:IUM983102 IUM983104:IUM983153 JOF13:JOF63 JEI65549:JEI65598 JEI65600:JEI65649 JEI131085:JEI131134 JEI131136:JEI131185 JEI196621:JEI196670 JEI196672:JEI196721 JEI262157:JEI262206 JEI262208:JEI262257 JEI327693:JEI327742 JEI327744:JEI327793 JEI393229:JEI393278 JEI393280:JEI393329 JEI458765:JEI458814 JEI458816:JEI458865 JEI524301:JEI524350 JEI524352:JEI524401 JEI589837:JEI589886 JEI589888:JEI589937 JEI655373:JEI655422 JEI655424:JEI655473 JEI720909:JEI720958 JEI720960:JEI721009 JEI786445:JEI786494 JEI786496:JEI786545 JEI851981:JEI852030 JEI852032:JEI852081 JEI917517:JEI917566 JEI917568:JEI917617 JEI983053:JEI983102 JEI983104:JEI983153 JYB13:JYB63 JOE65549:JOE65598 JOE65600:JOE65649 JOE131085:JOE131134 JOE131136:JOE131185 JOE196621:JOE196670 JOE196672:JOE196721 JOE262157:JOE262206 JOE262208:JOE262257 JOE327693:JOE327742 JOE327744:JOE327793 JOE393229:JOE393278 JOE393280:JOE393329 JOE458765:JOE458814 JOE458816:JOE458865 JOE524301:JOE524350 JOE524352:JOE524401 JOE589837:JOE589886 JOE589888:JOE589937 JOE655373:JOE655422 JOE655424:JOE655473 JOE720909:JOE720958 JOE720960:JOE721009 JOE786445:JOE786494 JOE786496:JOE786545 JOE851981:JOE852030 JOE852032:JOE852081 JOE917517:JOE917566 JOE917568:JOE917617 JOE983053:JOE983102 JOE983104:JOE983153 KHX13:KHX63 JYA65549:JYA65598 JYA65600:JYA65649 JYA131085:JYA131134 JYA131136:JYA131185 JYA196621:JYA196670 JYA196672:JYA196721 JYA262157:JYA262206 JYA262208:JYA262257 JYA327693:JYA327742 JYA327744:JYA327793 JYA393229:JYA393278 JYA393280:JYA393329 JYA458765:JYA458814 JYA458816:JYA458865 JYA524301:JYA524350 JYA524352:JYA524401 JYA589837:JYA589886 JYA589888:JYA589937 JYA655373:JYA655422 JYA655424:JYA655473 JYA720909:JYA720958 JYA720960:JYA721009 JYA786445:JYA786494 JYA786496:JYA786545 JYA851981:JYA852030 JYA852032:JYA852081 JYA917517:JYA917566 JYA917568:JYA917617 JYA983053:JYA983102 JYA983104:JYA983153 KRT13:KRT63 KHW65549:KHW65598 KHW65600:KHW65649 KHW131085:KHW131134 KHW131136:KHW131185 KHW196621:KHW196670 KHW196672:KHW196721 KHW262157:KHW262206 KHW262208:KHW262257 KHW327693:KHW327742 KHW327744:KHW327793 KHW393229:KHW393278 KHW393280:KHW393329 KHW458765:KHW458814 KHW458816:KHW458865 KHW524301:KHW524350 KHW524352:KHW524401 KHW589837:KHW589886 KHW589888:KHW589937 KHW655373:KHW655422 KHW655424:KHW655473 KHW720909:KHW720958 KHW720960:KHW721009 KHW786445:KHW786494 KHW786496:KHW786545 KHW851981:KHW852030 KHW852032:KHW852081 KHW917517:KHW917566 KHW917568:KHW917617 KHW983053:KHW983102 KHW983104:KHW983153 LBP13:LBP63 KRS65549:KRS65598 KRS65600:KRS65649 KRS131085:KRS131134 KRS131136:KRS131185 KRS196621:KRS196670 KRS196672:KRS196721 KRS262157:KRS262206 KRS262208:KRS262257 KRS327693:KRS327742 KRS327744:KRS327793 KRS393229:KRS393278 KRS393280:KRS393329 KRS458765:KRS458814 KRS458816:KRS458865 KRS524301:KRS524350 KRS524352:KRS524401 KRS589837:KRS589886 KRS589888:KRS589937 KRS655373:KRS655422 KRS655424:KRS655473 KRS720909:KRS720958 KRS720960:KRS721009 KRS786445:KRS786494 KRS786496:KRS786545 KRS851981:KRS852030 KRS852032:KRS852081 KRS917517:KRS917566 KRS917568:KRS917617 KRS983053:KRS983102 KRS983104:KRS983153 LLL13:LLL63 LBO65549:LBO65598 LBO65600:LBO65649 LBO131085:LBO131134 LBO131136:LBO131185 LBO196621:LBO196670 LBO196672:LBO196721 LBO262157:LBO262206 LBO262208:LBO262257 LBO327693:LBO327742 LBO327744:LBO327793 LBO393229:LBO393278 LBO393280:LBO393329 LBO458765:LBO458814 LBO458816:LBO458865 LBO524301:LBO524350 LBO524352:LBO524401 LBO589837:LBO589886 LBO589888:LBO589937 LBO655373:LBO655422 LBO655424:LBO655473 LBO720909:LBO720958 LBO720960:LBO721009 LBO786445:LBO786494 LBO786496:LBO786545 LBO851981:LBO852030 LBO852032:LBO852081 LBO917517:LBO917566 LBO917568:LBO917617 LBO983053:LBO983102 LBO983104:LBO983153 LVH13:LVH63 LLK65549:LLK65598 LLK65600:LLK65649 LLK131085:LLK131134 LLK131136:LLK131185 LLK196621:LLK196670 LLK196672:LLK196721 LLK262157:LLK262206 LLK262208:LLK262257 LLK327693:LLK327742 LLK327744:LLK327793 LLK393229:LLK393278 LLK393280:LLK393329 LLK458765:LLK458814 LLK458816:LLK458865 LLK524301:LLK524350 LLK524352:LLK524401 LLK589837:LLK589886 LLK589888:LLK589937 LLK655373:LLK655422 LLK655424:LLK655473 LLK720909:LLK720958 LLK720960:LLK721009 LLK786445:LLK786494 LLK786496:LLK786545 LLK851981:LLK852030 LLK852032:LLK852081 LLK917517:LLK917566 LLK917568:LLK917617 LLK983053:LLK983102 LLK983104:LLK983153 MFD13:MFD63 LVG65549:LVG65598 LVG65600:LVG65649 LVG131085:LVG131134 LVG131136:LVG131185 LVG196621:LVG196670 LVG196672:LVG196721 LVG262157:LVG262206 LVG262208:LVG262257 LVG327693:LVG327742 LVG327744:LVG327793 LVG393229:LVG393278 LVG393280:LVG393329 LVG458765:LVG458814 LVG458816:LVG458865 LVG524301:LVG524350 LVG524352:LVG524401 LVG589837:LVG589886 LVG589888:LVG589937 LVG655373:LVG655422 LVG655424:LVG655473 LVG720909:LVG720958 LVG720960:LVG721009 LVG786445:LVG786494 LVG786496:LVG786545 LVG851981:LVG852030 LVG852032:LVG852081 LVG917517:LVG917566 LVG917568:LVG917617 LVG983053:LVG983102 LVG983104:LVG983153 MOZ13:MOZ63 MFC65549:MFC65598 MFC65600:MFC65649 MFC131085:MFC131134 MFC131136:MFC131185 MFC196621:MFC196670 MFC196672:MFC196721 MFC262157:MFC262206 MFC262208:MFC262257 MFC327693:MFC327742 MFC327744:MFC327793 MFC393229:MFC393278 MFC393280:MFC393329 MFC458765:MFC458814 MFC458816:MFC458865 MFC524301:MFC524350 MFC524352:MFC524401 MFC589837:MFC589886 MFC589888:MFC589937 MFC655373:MFC655422 MFC655424:MFC655473 MFC720909:MFC720958 MFC720960:MFC721009 MFC786445:MFC786494 MFC786496:MFC786545 MFC851981:MFC852030 MFC852032:MFC852081 MFC917517:MFC917566 MFC917568:MFC917617 MFC983053:MFC983102 MFC983104:MFC983153 MYV13:MYV63 MOY65549:MOY65598 MOY65600:MOY65649 MOY131085:MOY131134 MOY131136:MOY131185 MOY196621:MOY196670 MOY196672:MOY196721 MOY262157:MOY262206 MOY262208:MOY262257 MOY327693:MOY327742 MOY327744:MOY327793 MOY393229:MOY393278 MOY393280:MOY393329 MOY458765:MOY458814 MOY458816:MOY458865 MOY524301:MOY524350 MOY524352:MOY524401 MOY589837:MOY589886 MOY589888:MOY589937 MOY655373:MOY655422 MOY655424:MOY655473 MOY720909:MOY720958 MOY720960:MOY721009 MOY786445:MOY786494 MOY786496:MOY786545 MOY851981:MOY852030 MOY852032:MOY852081 MOY917517:MOY917566 MOY917568:MOY917617 MOY983053:MOY983102 MOY983104:MOY983153 NIR13:NIR63 MYU65549:MYU65598 MYU65600:MYU65649 MYU131085:MYU131134 MYU131136:MYU131185 MYU196621:MYU196670 MYU196672:MYU196721 MYU262157:MYU262206 MYU262208:MYU262257 MYU327693:MYU327742 MYU327744:MYU327793 MYU393229:MYU393278 MYU393280:MYU393329 MYU458765:MYU458814 MYU458816:MYU458865 MYU524301:MYU524350 MYU524352:MYU524401 MYU589837:MYU589886 MYU589888:MYU589937 MYU655373:MYU655422 MYU655424:MYU655473 MYU720909:MYU720958 MYU720960:MYU721009 MYU786445:MYU786494 MYU786496:MYU786545 MYU851981:MYU852030 MYU852032:MYU852081 MYU917517:MYU917566 MYU917568:MYU917617 MYU983053:MYU983102 MYU983104:MYU983153 NSN13:NSN63 NIQ65549:NIQ65598 NIQ65600:NIQ65649 NIQ131085:NIQ131134 NIQ131136:NIQ131185 NIQ196621:NIQ196670 NIQ196672:NIQ196721 NIQ262157:NIQ262206 NIQ262208:NIQ262257 NIQ327693:NIQ327742 NIQ327744:NIQ327793 NIQ393229:NIQ393278 NIQ393280:NIQ393329 NIQ458765:NIQ458814 NIQ458816:NIQ458865 NIQ524301:NIQ524350 NIQ524352:NIQ524401 NIQ589837:NIQ589886 NIQ589888:NIQ589937 NIQ655373:NIQ655422 NIQ655424:NIQ655473 NIQ720909:NIQ720958 NIQ720960:NIQ721009 NIQ786445:NIQ786494 NIQ786496:NIQ786545 NIQ851981:NIQ852030 NIQ852032:NIQ852081 NIQ917517:NIQ917566 NIQ917568:NIQ917617 NIQ983053:NIQ983102 NIQ983104:NIQ983153 OCJ13:OCJ63 NSM65549:NSM65598 NSM65600:NSM65649 NSM131085:NSM131134 NSM131136:NSM131185 NSM196621:NSM196670 NSM196672:NSM196721 NSM262157:NSM262206 NSM262208:NSM262257 NSM327693:NSM327742 NSM327744:NSM327793 NSM393229:NSM393278 NSM393280:NSM393329 NSM458765:NSM458814 NSM458816:NSM458865 NSM524301:NSM524350 NSM524352:NSM524401 NSM589837:NSM589886 NSM589888:NSM589937 NSM655373:NSM655422 NSM655424:NSM655473 NSM720909:NSM720958 NSM720960:NSM721009 NSM786445:NSM786494 NSM786496:NSM786545 NSM851981:NSM852030 NSM852032:NSM852081 NSM917517:NSM917566 NSM917568:NSM917617 NSM983053:NSM983102 NSM983104:NSM983153 OMF13:OMF63 OCI65549:OCI65598 OCI65600:OCI65649 OCI131085:OCI131134 OCI131136:OCI131185 OCI196621:OCI196670 OCI196672:OCI196721 OCI262157:OCI262206 OCI262208:OCI262257 OCI327693:OCI327742 OCI327744:OCI327793 OCI393229:OCI393278 OCI393280:OCI393329 OCI458765:OCI458814 OCI458816:OCI458865 OCI524301:OCI524350 OCI524352:OCI524401 OCI589837:OCI589886 OCI589888:OCI589937 OCI655373:OCI655422 OCI655424:OCI655473 OCI720909:OCI720958 OCI720960:OCI721009 OCI786445:OCI786494 OCI786496:OCI786545 OCI851981:OCI852030 OCI852032:OCI852081 OCI917517:OCI917566 OCI917568:OCI917617 OCI983053:OCI983102 OCI983104:OCI983153 OWB13:OWB63 OME65549:OME65598 OME65600:OME65649 OME131085:OME131134 OME131136:OME131185 OME196621:OME196670 OME196672:OME196721 OME262157:OME262206 OME262208:OME262257 OME327693:OME327742 OME327744:OME327793 OME393229:OME393278 OME393280:OME393329 OME458765:OME458814 OME458816:OME458865 OME524301:OME524350 OME524352:OME524401 OME589837:OME589886 OME589888:OME589937 OME655373:OME655422 OME655424:OME655473 OME720909:OME720958 OME720960:OME721009 OME786445:OME786494 OME786496:OME786545 OME851981:OME852030 OME852032:OME852081 OME917517:OME917566 OME917568:OME917617 OME983053:OME983102 OME983104:OME983153 PFX13:PFX63 OWA65549:OWA65598 OWA65600:OWA65649 OWA131085:OWA131134 OWA131136:OWA131185 OWA196621:OWA196670 OWA196672:OWA196721 OWA262157:OWA262206 OWA262208:OWA262257 OWA327693:OWA327742 OWA327744:OWA327793 OWA393229:OWA393278 OWA393280:OWA393329 OWA458765:OWA458814 OWA458816:OWA458865 OWA524301:OWA524350 OWA524352:OWA524401 OWA589837:OWA589886 OWA589888:OWA589937 OWA655373:OWA655422 OWA655424:OWA655473 OWA720909:OWA720958 OWA720960:OWA721009 OWA786445:OWA786494 OWA786496:OWA786545 OWA851981:OWA852030 OWA852032:OWA852081 OWA917517:OWA917566 OWA917568:OWA917617 OWA983053:OWA983102 OWA983104:OWA983153 PPT13:PPT63 PFW65549:PFW65598 PFW65600:PFW65649 PFW131085:PFW131134 PFW131136:PFW131185 PFW196621:PFW196670 PFW196672:PFW196721 PFW262157:PFW262206 PFW262208:PFW262257 PFW327693:PFW327742 PFW327744:PFW327793 PFW393229:PFW393278 PFW393280:PFW393329 PFW458765:PFW458814 PFW458816:PFW458865 PFW524301:PFW524350 PFW524352:PFW524401 PFW589837:PFW589886 PFW589888:PFW589937 PFW655373:PFW655422 PFW655424:PFW655473 PFW720909:PFW720958 PFW720960:PFW721009 PFW786445:PFW786494 PFW786496:PFW786545 PFW851981:PFW852030 PFW852032:PFW852081 PFW917517:PFW917566 PFW917568:PFW917617 PFW983053:PFW983102 PFW983104:PFW983153 PZP13:PZP63 PPS65549:PPS65598 PPS65600:PPS65649 PPS131085:PPS131134 PPS131136:PPS131185 PPS196621:PPS196670 PPS196672:PPS196721 PPS262157:PPS262206 PPS262208:PPS262257 PPS327693:PPS327742 PPS327744:PPS327793 PPS393229:PPS393278 PPS393280:PPS393329 PPS458765:PPS458814 PPS458816:PPS458865 PPS524301:PPS524350 PPS524352:PPS524401 PPS589837:PPS589886 PPS589888:PPS589937 PPS655373:PPS655422 PPS655424:PPS655473 PPS720909:PPS720958 PPS720960:PPS721009 PPS786445:PPS786494 PPS786496:PPS786545 PPS851981:PPS852030 PPS852032:PPS852081 PPS917517:PPS917566 PPS917568:PPS917617 PPS983053:PPS983102 PPS983104:PPS983153 QJL13:QJL63 PZO65549:PZO65598 PZO65600:PZO65649 PZO131085:PZO131134 PZO131136:PZO131185 PZO196621:PZO196670 PZO196672:PZO196721 PZO262157:PZO262206 PZO262208:PZO262257 PZO327693:PZO327742 PZO327744:PZO327793 PZO393229:PZO393278 PZO393280:PZO393329 PZO458765:PZO458814 PZO458816:PZO458865 PZO524301:PZO524350 PZO524352:PZO524401 PZO589837:PZO589886 PZO589888:PZO589937 PZO655373:PZO655422 PZO655424:PZO655473 PZO720909:PZO720958 PZO720960:PZO721009 PZO786445:PZO786494 PZO786496:PZO786545 PZO851981:PZO852030 PZO852032:PZO852081 PZO917517:PZO917566 PZO917568:PZO917617 PZO983053:PZO983102 PZO983104:PZO983153 QTH13:QTH63 QJK65549:QJK65598 QJK65600:QJK65649 QJK131085:QJK131134 QJK131136:QJK131185 QJK196621:QJK196670 QJK196672:QJK196721 QJK262157:QJK262206 QJK262208:QJK262257 QJK327693:QJK327742 QJK327744:QJK327793 QJK393229:QJK393278 QJK393280:QJK393329 QJK458765:QJK458814 QJK458816:QJK458865 QJK524301:QJK524350 QJK524352:QJK524401 QJK589837:QJK589886 QJK589888:QJK589937 QJK655373:QJK655422 QJK655424:QJK655473 QJK720909:QJK720958 QJK720960:QJK721009 QJK786445:QJK786494 QJK786496:QJK786545 QJK851981:QJK852030 QJK852032:QJK852081 QJK917517:QJK917566 QJK917568:QJK917617 QJK983053:QJK983102 QJK983104:QJK983153 RDD13:RDD63 QTG65549:QTG65598 QTG65600:QTG65649 QTG131085:QTG131134 QTG131136:QTG131185 QTG196621:QTG196670 QTG196672:QTG196721 QTG262157:QTG262206 QTG262208:QTG262257 QTG327693:QTG327742 QTG327744:QTG327793 QTG393229:QTG393278 QTG393280:QTG393329 QTG458765:QTG458814 QTG458816:QTG458865 QTG524301:QTG524350 QTG524352:QTG524401 QTG589837:QTG589886 QTG589888:QTG589937 QTG655373:QTG655422 QTG655424:QTG655473 QTG720909:QTG720958 QTG720960:QTG721009 QTG786445:QTG786494 QTG786496:QTG786545 QTG851981:QTG852030 QTG852032:QTG852081 QTG917517:QTG917566 QTG917568:QTG917617 QTG983053:QTG983102 QTG983104:QTG983153 RMZ13:RMZ63 RDC65549:RDC65598 RDC65600:RDC65649 RDC131085:RDC131134 RDC131136:RDC131185 RDC196621:RDC196670 RDC196672:RDC196721 RDC262157:RDC262206 RDC262208:RDC262257 RDC327693:RDC327742 RDC327744:RDC327793 RDC393229:RDC393278 RDC393280:RDC393329 RDC458765:RDC458814 RDC458816:RDC458865 RDC524301:RDC524350 RDC524352:RDC524401 RDC589837:RDC589886 RDC589888:RDC589937 RDC655373:RDC655422 RDC655424:RDC655473 RDC720909:RDC720958 RDC720960:RDC721009 RDC786445:RDC786494 RDC786496:RDC786545 RDC851981:RDC852030 RDC852032:RDC852081 RDC917517:RDC917566 RDC917568:RDC917617 RDC983053:RDC983102 RDC983104:RDC983153 RWV13:RWV63 RMY65549:RMY65598 RMY65600:RMY65649 RMY131085:RMY131134 RMY131136:RMY131185 RMY196621:RMY196670 RMY196672:RMY196721 RMY262157:RMY262206 RMY262208:RMY262257 RMY327693:RMY327742 RMY327744:RMY327793 RMY393229:RMY393278 RMY393280:RMY393329 RMY458765:RMY458814 RMY458816:RMY458865 RMY524301:RMY524350 RMY524352:RMY524401 RMY589837:RMY589886 RMY589888:RMY589937 RMY655373:RMY655422 RMY655424:RMY655473 RMY720909:RMY720958 RMY720960:RMY721009 RMY786445:RMY786494 RMY786496:RMY786545 RMY851981:RMY852030 RMY852032:RMY852081 RMY917517:RMY917566 RMY917568:RMY917617 RMY983053:RMY983102 RMY983104:RMY983153 SGR13:SGR63 RWU65549:RWU65598 RWU65600:RWU65649 RWU131085:RWU131134 RWU131136:RWU131185 RWU196621:RWU196670 RWU196672:RWU196721 RWU262157:RWU262206 RWU262208:RWU262257 RWU327693:RWU327742 RWU327744:RWU327793 RWU393229:RWU393278 RWU393280:RWU393329 RWU458765:RWU458814 RWU458816:RWU458865 RWU524301:RWU524350 RWU524352:RWU524401 RWU589837:RWU589886 RWU589888:RWU589937 RWU655373:RWU655422 RWU655424:RWU655473 RWU720909:RWU720958 RWU720960:RWU721009 RWU786445:RWU786494 RWU786496:RWU786545 RWU851981:RWU852030 RWU852032:RWU852081 RWU917517:RWU917566 RWU917568:RWU917617 RWU983053:RWU983102 RWU983104:RWU983153 SQN13:SQN63 SGQ65549:SGQ65598 SGQ65600:SGQ65649 SGQ131085:SGQ131134 SGQ131136:SGQ131185 SGQ196621:SGQ196670 SGQ196672:SGQ196721 SGQ262157:SGQ262206 SGQ262208:SGQ262257 SGQ327693:SGQ327742 SGQ327744:SGQ327793 SGQ393229:SGQ393278 SGQ393280:SGQ393329 SGQ458765:SGQ458814 SGQ458816:SGQ458865 SGQ524301:SGQ524350 SGQ524352:SGQ524401 SGQ589837:SGQ589886 SGQ589888:SGQ589937 SGQ655373:SGQ655422 SGQ655424:SGQ655473 SGQ720909:SGQ720958 SGQ720960:SGQ721009 SGQ786445:SGQ786494 SGQ786496:SGQ786545 SGQ851981:SGQ852030 SGQ852032:SGQ852081 SGQ917517:SGQ917566 SGQ917568:SGQ917617 SGQ983053:SGQ983102 SGQ983104:SGQ983153 TAJ13:TAJ63 SQM65549:SQM65598 SQM65600:SQM65649 SQM131085:SQM131134 SQM131136:SQM131185 SQM196621:SQM196670 SQM196672:SQM196721 SQM262157:SQM262206 SQM262208:SQM262257 SQM327693:SQM327742 SQM327744:SQM327793 SQM393229:SQM393278 SQM393280:SQM393329 SQM458765:SQM458814 SQM458816:SQM458865 SQM524301:SQM524350 SQM524352:SQM524401 SQM589837:SQM589886 SQM589888:SQM589937 SQM655373:SQM655422 SQM655424:SQM655473 SQM720909:SQM720958 SQM720960:SQM721009 SQM786445:SQM786494 SQM786496:SQM786545 SQM851981:SQM852030 SQM852032:SQM852081 SQM917517:SQM917566 SQM917568:SQM917617 SQM983053:SQM983102 SQM983104:SQM983153 TKF13:TKF63 TAI65549:TAI65598 TAI65600:TAI65649 TAI131085:TAI131134 TAI131136:TAI131185 TAI196621:TAI196670 TAI196672:TAI196721 TAI262157:TAI262206 TAI262208:TAI262257 TAI327693:TAI327742 TAI327744:TAI327793 TAI393229:TAI393278 TAI393280:TAI393329 TAI458765:TAI458814 TAI458816:TAI458865 TAI524301:TAI524350 TAI524352:TAI524401 TAI589837:TAI589886 TAI589888:TAI589937 TAI655373:TAI655422 TAI655424:TAI655473 TAI720909:TAI720958 TAI720960:TAI721009 TAI786445:TAI786494 TAI786496:TAI786545 TAI851981:TAI852030 TAI852032:TAI852081 TAI917517:TAI917566 TAI917568:TAI917617 TAI983053:TAI983102 TAI983104:TAI983153 TUB13:TUB63 TKE65549:TKE65598 TKE65600:TKE65649 TKE131085:TKE131134 TKE131136:TKE131185 TKE196621:TKE196670 TKE196672:TKE196721 TKE262157:TKE262206 TKE262208:TKE262257 TKE327693:TKE327742 TKE327744:TKE327793 TKE393229:TKE393278 TKE393280:TKE393329 TKE458765:TKE458814 TKE458816:TKE458865 TKE524301:TKE524350 TKE524352:TKE524401 TKE589837:TKE589886 TKE589888:TKE589937 TKE655373:TKE655422 TKE655424:TKE655473 TKE720909:TKE720958 TKE720960:TKE721009 TKE786445:TKE786494 TKE786496:TKE786545 TKE851981:TKE852030 TKE852032:TKE852081 TKE917517:TKE917566 TKE917568:TKE917617 TKE983053:TKE983102 TKE983104:TKE983153 UDX13:UDX63 TUA65549:TUA65598 TUA65600:TUA65649 TUA131085:TUA131134 TUA131136:TUA131185 TUA196621:TUA196670 TUA196672:TUA196721 TUA262157:TUA262206 TUA262208:TUA262257 TUA327693:TUA327742 TUA327744:TUA327793 TUA393229:TUA393278 TUA393280:TUA393329 TUA458765:TUA458814 TUA458816:TUA458865 TUA524301:TUA524350 TUA524352:TUA524401 TUA589837:TUA589886 TUA589888:TUA589937 TUA655373:TUA655422 TUA655424:TUA655473 TUA720909:TUA720958 TUA720960:TUA721009 TUA786445:TUA786494 TUA786496:TUA786545 TUA851981:TUA852030 TUA852032:TUA852081 TUA917517:TUA917566 TUA917568:TUA917617 TUA983053:TUA983102 TUA983104:TUA983153 UNT13:UNT63 UDW65549:UDW65598 UDW65600:UDW65649 UDW131085:UDW131134 UDW131136:UDW131185 UDW196621:UDW196670 UDW196672:UDW196721 UDW262157:UDW262206 UDW262208:UDW262257 UDW327693:UDW327742 UDW327744:UDW327793 UDW393229:UDW393278 UDW393280:UDW393329 UDW458765:UDW458814 UDW458816:UDW458865 UDW524301:UDW524350 UDW524352:UDW524401 UDW589837:UDW589886 UDW589888:UDW589937 UDW655373:UDW655422 UDW655424:UDW655473 UDW720909:UDW720958 UDW720960:UDW721009 UDW786445:UDW786494 UDW786496:UDW786545 UDW851981:UDW852030 UDW852032:UDW852081 UDW917517:UDW917566 UDW917568:UDW917617 UDW983053:UDW983102 UDW983104:UDW983153 UXP13:UXP63 UNS65549:UNS65598 UNS65600:UNS65649 UNS131085:UNS131134 UNS131136:UNS131185 UNS196621:UNS196670 UNS196672:UNS196721 UNS262157:UNS262206 UNS262208:UNS262257 UNS327693:UNS327742 UNS327744:UNS327793 UNS393229:UNS393278 UNS393280:UNS393329 UNS458765:UNS458814 UNS458816:UNS458865 UNS524301:UNS524350 UNS524352:UNS524401 UNS589837:UNS589886 UNS589888:UNS589937 UNS655373:UNS655422 UNS655424:UNS655473 UNS720909:UNS720958 UNS720960:UNS721009 UNS786445:UNS786494 UNS786496:UNS786545 UNS851981:UNS852030 UNS852032:UNS852081 UNS917517:UNS917566 UNS917568:UNS917617 UNS983053:UNS983102 UNS983104:UNS983153 VHL13:VHL63 UXO65549:UXO65598 UXO65600:UXO65649 UXO131085:UXO131134 UXO131136:UXO131185 UXO196621:UXO196670 UXO196672:UXO196721 UXO262157:UXO262206 UXO262208:UXO262257 UXO327693:UXO327742 UXO327744:UXO327793 UXO393229:UXO393278 UXO393280:UXO393329 UXO458765:UXO458814 UXO458816:UXO458865 UXO524301:UXO524350 UXO524352:UXO524401 UXO589837:UXO589886 UXO589888:UXO589937 UXO655373:UXO655422 UXO655424:UXO655473 UXO720909:UXO720958 UXO720960:UXO721009 UXO786445:UXO786494 UXO786496:UXO786545 UXO851981:UXO852030 UXO852032:UXO852081 UXO917517:UXO917566 UXO917568:UXO917617 UXO983053:UXO983102 UXO983104:UXO983153 VRH13:VRH63 VHK65549:VHK65598 VHK65600:VHK65649 VHK131085:VHK131134 VHK131136:VHK131185 VHK196621:VHK196670 VHK196672:VHK196721 VHK262157:VHK262206 VHK262208:VHK262257 VHK327693:VHK327742 VHK327744:VHK327793 VHK393229:VHK393278 VHK393280:VHK393329 VHK458765:VHK458814 VHK458816:VHK458865 VHK524301:VHK524350 VHK524352:VHK524401 VHK589837:VHK589886 VHK589888:VHK589937 VHK655373:VHK655422 VHK655424:VHK655473 VHK720909:VHK720958 VHK720960:VHK721009 VHK786445:VHK786494 VHK786496:VHK786545 VHK851981:VHK852030 VHK852032:VHK852081 VHK917517:VHK917566 VHK917568:VHK917617 VHK983053:VHK983102 VHK983104:VHK983153 WBD13:WBD63 VRG65549:VRG65598 VRG65600:VRG65649 VRG131085:VRG131134 VRG131136:VRG131185 VRG196621:VRG196670 VRG196672:VRG196721 VRG262157:VRG262206 VRG262208:VRG262257 VRG327693:VRG327742 VRG327744:VRG327793 VRG393229:VRG393278 VRG393280:VRG393329 VRG458765:VRG458814 VRG458816:VRG458865 VRG524301:VRG524350 VRG524352:VRG524401 VRG589837:VRG589886 VRG589888:VRG589937 VRG655373:VRG655422 VRG655424:VRG655473 VRG720909:VRG720958 VRG720960:VRG721009 VRG786445:VRG786494 VRG786496:VRG786545 VRG851981:VRG852030 VRG852032:VRG852081 VRG917517:VRG917566 VRG917568:VRG917617 VRG983053:VRG983102 VRG983104:VRG983153 WKZ13:WKZ63 WBC65549:WBC65598 WBC65600:WBC65649 WBC131085:WBC131134 WBC131136:WBC131185 WBC196621:WBC196670 WBC196672:WBC196721 WBC262157:WBC262206 WBC262208:WBC262257 WBC327693:WBC327742 WBC327744:WBC327793 WBC393229:WBC393278 WBC393280:WBC393329 WBC458765:WBC458814 WBC458816:WBC458865 WBC524301:WBC524350 WBC524352:WBC524401 WBC589837:WBC589886 WBC589888:WBC589937 WBC655373:WBC655422 WBC655424:WBC655473 WBC720909:WBC720958 WBC720960:WBC721009 WBC786445:WBC786494 WBC786496:WBC786545 WBC851981:WBC852030 WBC852032:WBC852081 WBC917517:WBC917566 WBC917568:WBC917617 WBC983053:WBC983102 WBC983104:WBC983153 WUV13:WUV63 WKY65549:WKY65598 WKY65600:WKY65649 WKY131085:WKY131134 WKY131136:WKY131185 WKY196621:WKY196670 WKY196672:WKY196721 WKY262157:WKY262206 WKY262208:WKY262257 WKY327693:WKY327742 WKY327744:WKY327793 WKY393229:WKY393278 WKY393280:WKY393329 WKY458765:WKY458814 WKY458816:WKY458865 WKY524301:WKY524350 WKY524352:WKY524401 WKY589837:WKY589886 WKY589888:WKY589937 WKY655373:WKY655422 WKY655424:WKY655473 WKY720909:WKY720958 WKY720960:WKY721009 WKY786445:WKY786494 WKY786496:WKY786545 WKY851981:WKY852030 WKY852032:WKY852081 WKY917517:WKY917566 WKY917568:WKY917617 WKY983053:WKY983102 WKY983104:WKY983153 WUU983104:WUU983153 WUU65549:WUU65598 WUU65600:WUU65649 WUU131085:WUU131134 WUU131136:WUU131185 WUU196621:WUU196670 WUU196672:WUU196721 WUU262157:WUU262206 WUU262208:WUU262257 WUU327693:WUU327742 WUU327744:WUU327793 WUU393229:WUU393278 WUU393280:WUU393329 WUU458765:WUU458814 WUU458816:WUU458865 WUU524301:WUU524350 WUU524352:WUU524401 WUU589837:WUU589886 WUU589888:WUU589937 WUU655373:WUU655422 WUU655424:WUU655473 WUU720909:WUU720958 WUU720960:WUU721009 WUU786445:WUU786494 WUU786496:WUU786545 WUU851981:WUU852030 WUU852032:WUU852081 WUU917517:WUU917566 WUU917568:WUU917617 WUU983053:WUU983102 IJ13:IJ63 WUV66:WUV114 WKZ66:WKZ114 WBD66:WBD114 VRH66:VRH114 VHL66:VHL114 UXP66:UXP114 UNT66:UNT114 UDX66:UDX114 TUB66:TUB114 TKF66:TKF114 TAJ66:TAJ114 SQN66:SQN114 SGR66:SGR114 RWV66:RWV114 RMZ66:RMZ114 RDD66:RDD114 QTH66:QTH114 QJL66:QJL114 PZP66:PZP114 PPT66:PPT114 PFX66:PFX114 OWB66:OWB114 OMF66:OMF114 OCJ66:OCJ114 NSN66:NSN114 NIR66:NIR114 MYV66:MYV114 MOZ66:MOZ114 MFD66:MFD114 LVH66:LVH114 LLL66:LLL114 LBP66:LBP114 KRT66:KRT114 KHX66:KHX114 JYB66:JYB114 JOF66:JOF114 JEJ66:JEJ114 IUN66:IUN114 IKR66:IKR114 IAV66:IAV114 HQZ66:HQZ114 HHD66:HHD114 GXH66:GXH114 GNL66:GNL114 GDP66:GDP114 FTT66:FTT114 FJX66:FJX114 FAB66:FAB114 EQF66:EQF114 EGJ66:EGJ114 DWN66:DWN114 DMR66:DMR114 DCV66:DCV114 CSZ66:CSZ114 CJD66:CJD114 BZH66:BZH114 BPL66:BPL114 BFP66:BFP114 AVT66:AVT114 ALX66:ALX114 ACB66:ACB114 SF66:SF114 IJ66:IJ114" xr:uid="{00D1B8E7-3B03-4E71-B5C1-35D6F1D7184C}"/>
    <dataValidation allowBlank="1" showInputMessage="1" showErrorMessage="1" prompt="Percentage" sqref="WVZ851978 I65546 I131082 I196618 I262154 I327690 I393226 I458762 I524298 I589834 I655370 I720906 I786442 I851978 I917514 I983050 WVZ917514 O65546 O131082 O196618 O262154 O327690 O393226 O458762 O524298 O589834 O655370 O720906 O786442 O851978 O917514 O983050 WVZ983050 U65546 U131082 U196618 U262154 U327690 U393226 U458762 U524298 U589834 U655370 U720906 U786442 U851978 U917514 U983050 IY9 IX65546 IX131082 IX196618 IX262154 IX327690 IX393226 IX458762 IX524298 IX589834 IX655370 IX720906 IX786442 IX851978 IX917514 IX983050 JL9 JK65546 JK131082 JK196618 JK262154 JK327690 JK393226 JK458762 JK524298 JK589834 JK655370 JK720906 JK786442 JK851978 JK917514 JK983050 JO9 JN65546 JN131082 JN196618 JN262154 JN327690 JN393226 JN458762 JN524298 JN589834 JN655370 JN720906 JN786442 JN851978 JN917514 JN983050 SU9 ST65546 ST131082 ST196618 ST262154 ST327690 ST393226 ST458762 ST524298 ST589834 ST655370 ST720906 ST786442 ST851978 ST917514 ST983050 TH9 TG65546 TG131082 TG196618 TG262154 TG327690 TG393226 TG458762 TG524298 TG589834 TG655370 TG720906 TG786442 TG851978 TG917514 TG983050 TK9 TJ65546 TJ131082 TJ196618 TJ262154 TJ327690 TJ393226 TJ458762 TJ524298 TJ589834 TJ655370 TJ720906 TJ786442 TJ851978 TJ917514 TJ983050 ACQ9 ACP65546 ACP131082 ACP196618 ACP262154 ACP327690 ACP393226 ACP458762 ACP524298 ACP589834 ACP655370 ACP720906 ACP786442 ACP851978 ACP917514 ACP983050 ADD9 ADC65546 ADC131082 ADC196618 ADC262154 ADC327690 ADC393226 ADC458762 ADC524298 ADC589834 ADC655370 ADC720906 ADC786442 ADC851978 ADC917514 ADC983050 ADG9 ADF65546 ADF131082 ADF196618 ADF262154 ADF327690 ADF393226 ADF458762 ADF524298 ADF589834 ADF655370 ADF720906 ADF786442 ADF851978 ADF917514 ADF983050 AMM9 AML65546 AML131082 AML196618 AML262154 AML327690 AML393226 AML458762 AML524298 AML589834 AML655370 AML720906 AML786442 AML851978 AML917514 AML983050 AMZ9 AMY65546 AMY131082 AMY196618 AMY262154 AMY327690 AMY393226 AMY458762 AMY524298 AMY589834 AMY655370 AMY720906 AMY786442 AMY851978 AMY917514 AMY983050 ANC9 ANB65546 ANB131082 ANB196618 ANB262154 ANB327690 ANB393226 ANB458762 ANB524298 ANB589834 ANB655370 ANB720906 ANB786442 ANB851978 ANB917514 ANB983050 AWI9 AWH65546 AWH131082 AWH196618 AWH262154 AWH327690 AWH393226 AWH458762 AWH524298 AWH589834 AWH655370 AWH720906 AWH786442 AWH851978 AWH917514 AWH983050 AWV9 AWU65546 AWU131082 AWU196618 AWU262154 AWU327690 AWU393226 AWU458762 AWU524298 AWU589834 AWU655370 AWU720906 AWU786442 AWU851978 AWU917514 AWU983050 AWY9 AWX65546 AWX131082 AWX196618 AWX262154 AWX327690 AWX393226 AWX458762 AWX524298 AWX589834 AWX655370 AWX720906 AWX786442 AWX851978 AWX917514 AWX983050 BGE9 BGD65546 BGD131082 BGD196618 BGD262154 BGD327690 BGD393226 BGD458762 BGD524298 BGD589834 BGD655370 BGD720906 BGD786442 BGD851978 BGD917514 BGD983050 BGR9 BGQ65546 BGQ131082 BGQ196618 BGQ262154 BGQ327690 BGQ393226 BGQ458762 BGQ524298 BGQ589834 BGQ655370 BGQ720906 BGQ786442 BGQ851978 BGQ917514 BGQ983050 BGU9 BGT65546 BGT131082 BGT196618 BGT262154 BGT327690 BGT393226 BGT458762 BGT524298 BGT589834 BGT655370 BGT720906 BGT786442 BGT851978 BGT917514 BGT983050 BQA9 BPZ65546 BPZ131082 BPZ196618 BPZ262154 BPZ327690 BPZ393226 BPZ458762 BPZ524298 BPZ589834 BPZ655370 BPZ720906 BPZ786442 BPZ851978 BPZ917514 BPZ983050 BQN9 BQM65546 BQM131082 BQM196618 BQM262154 BQM327690 BQM393226 BQM458762 BQM524298 BQM589834 BQM655370 BQM720906 BQM786442 BQM851978 BQM917514 BQM983050 BQQ9 BQP65546 BQP131082 BQP196618 BQP262154 BQP327690 BQP393226 BQP458762 BQP524298 BQP589834 BQP655370 BQP720906 BQP786442 BQP851978 BQP917514 BQP983050 BZW9 BZV65546 BZV131082 BZV196618 BZV262154 BZV327690 BZV393226 BZV458762 BZV524298 BZV589834 BZV655370 BZV720906 BZV786442 BZV851978 BZV917514 BZV983050 CAJ9 CAI65546 CAI131082 CAI196618 CAI262154 CAI327690 CAI393226 CAI458762 CAI524298 CAI589834 CAI655370 CAI720906 CAI786442 CAI851978 CAI917514 CAI983050 CAM9 CAL65546 CAL131082 CAL196618 CAL262154 CAL327690 CAL393226 CAL458762 CAL524298 CAL589834 CAL655370 CAL720906 CAL786442 CAL851978 CAL917514 CAL983050 CJS9 CJR65546 CJR131082 CJR196618 CJR262154 CJR327690 CJR393226 CJR458762 CJR524298 CJR589834 CJR655370 CJR720906 CJR786442 CJR851978 CJR917514 CJR983050 CKF9 CKE65546 CKE131082 CKE196618 CKE262154 CKE327690 CKE393226 CKE458762 CKE524298 CKE589834 CKE655370 CKE720906 CKE786442 CKE851978 CKE917514 CKE983050 CKI9 CKH65546 CKH131082 CKH196618 CKH262154 CKH327690 CKH393226 CKH458762 CKH524298 CKH589834 CKH655370 CKH720906 CKH786442 CKH851978 CKH917514 CKH983050 CTO9 CTN65546 CTN131082 CTN196618 CTN262154 CTN327690 CTN393226 CTN458762 CTN524298 CTN589834 CTN655370 CTN720906 CTN786442 CTN851978 CTN917514 CTN983050 CUB9 CUA65546 CUA131082 CUA196618 CUA262154 CUA327690 CUA393226 CUA458762 CUA524298 CUA589834 CUA655370 CUA720906 CUA786442 CUA851978 CUA917514 CUA983050 CUE9 CUD65546 CUD131082 CUD196618 CUD262154 CUD327690 CUD393226 CUD458762 CUD524298 CUD589834 CUD655370 CUD720906 CUD786442 CUD851978 CUD917514 CUD983050 DDK9 DDJ65546 DDJ131082 DDJ196618 DDJ262154 DDJ327690 DDJ393226 DDJ458762 DDJ524298 DDJ589834 DDJ655370 DDJ720906 DDJ786442 DDJ851978 DDJ917514 DDJ983050 DDX9 DDW65546 DDW131082 DDW196618 DDW262154 DDW327690 DDW393226 DDW458762 DDW524298 DDW589834 DDW655370 DDW720906 DDW786442 DDW851978 DDW917514 DDW983050 DEA9 DDZ65546 DDZ131082 DDZ196618 DDZ262154 DDZ327690 DDZ393226 DDZ458762 DDZ524298 DDZ589834 DDZ655370 DDZ720906 DDZ786442 DDZ851978 DDZ917514 DDZ983050 DNG9 DNF65546 DNF131082 DNF196618 DNF262154 DNF327690 DNF393226 DNF458762 DNF524298 DNF589834 DNF655370 DNF720906 DNF786442 DNF851978 DNF917514 DNF983050 DNT9 DNS65546 DNS131082 DNS196618 DNS262154 DNS327690 DNS393226 DNS458762 DNS524298 DNS589834 DNS655370 DNS720906 DNS786442 DNS851978 DNS917514 DNS983050 DNW9 DNV65546 DNV131082 DNV196618 DNV262154 DNV327690 DNV393226 DNV458762 DNV524298 DNV589834 DNV655370 DNV720906 DNV786442 DNV851978 DNV917514 DNV983050 DXC9 DXB65546 DXB131082 DXB196618 DXB262154 DXB327690 DXB393226 DXB458762 DXB524298 DXB589834 DXB655370 DXB720906 DXB786442 DXB851978 DXB917514 DXB983050 DXP9 DXO65546 DXO131082 DXO196618 DXO262154 DXO327690 DXO393226 DXO458762 DXO524298 DXO589834 DXO655370 DXO720906 DXO786442 DXO851978 DXO917514 DXO983050 DXS9 DXR65546 DXR131082 DXR196618 DXR262154 DXR327690 DXR393226 DXR458762 DXR524298 DXR589834 DXR655370 DXR720906 DXR786442 DXR851978 DXR917514 DXR983050 EGY9 EGX65546 EGX131082 EGX196618 EGX262154 EGX327690 EGX393226 EGX458762 EGX524298 EGX589834 EGX655370 EGX720906 EGX786442 EGX851978 EGX917514 EGX983050 EHL9 EHK65546 EHK131082 EHK196618 EHK262154 EHK327690 EHK393226 EHK458762 EHK524298 EHK589834 EHK655370 EHK720906 EHK786442 EHK851978 EHK917514 EHK983050 EHO9 EHN65546 EHN131082 EHN196618 EHN262154 EHN327690 EHN393226 EHN458762 EHN524298 EHN589834 EHN655370 EHN720906 EHN786442 EHN851978 EHN917514 EHN983050 EQU9 EQT65546 EQT131082 EQT196618 EQT262154 EQT327690 EQT393226 EQT458762 EQT524298 EQT589834 EQT655370 EQT720906 EQT786442 EQT851978 EQT917514 EQT983050 ERH9 ERG65546 ERG131082 ERG196618 ERG262154 ERG327690 ERG393226 ERG458762 ERG524298 ERG589834 ERG655370 ERG720906 ERG786442 ERG851978 ERG917514 ERG983050 ERK9 ERJ65546 ERJ131082 ERJ196618 ERJ262154 ERJ327690 ERJ393226 ERJ458762 ERJ524298 ERJ589834 ERJ655370 ERJ720906 ERJ786442 ERJ851978 ERJ917514 ERJ983050 FAQ9 FAP65546 FAP131082 FAP196618 FAP262154 FAP327690 FAP393226 FAP458762 FAP524298 FAP589834 FAP655370 FAP720906 FAP786442 FAP851978 FAP917514 FAP983050 FBD9 FBC65546 FBC131082 FBC196618 FBC262154 FBC327690 FBC393226 FBC458762 FBC524298 FBC589834 FBC655370 FBC720906 FBC786442 FBC851978 FBC917514 FBC983050 FBG9 FBF65546 FBF131082 FBF196618 FBF262154 FBF327690 FBF393226 FBF458762 FBF524298 FBF589834 FBF655370 FBF720906 FBF786442 FBF851978 FBF917514 FBF983050 FKM9 FKL65546 FKL131082 FKL196618 FKL262154 FKL327690 FKL393226 FKL458762 FKL524298 FKL589834 FKL655370 FKL720906 FKL786442 FKL851978 FKL917514 FKL983050 FKZ9 FKY65546 FKY131082 FKY196618 FKY262154 FKY327690 FKY393226 FKY458762 FKY524298 FKY589834 FKY655370 FKY720906 FKY786442 FKY851978 FKY917514 FKY983050 FLC9 FLB65546 FLB131082 FLB196618 FLB262154 FLB327690 FLB393226 FLB458762 FLB524298 FLB589834 FLB655370 FLB720906 FLB786442 FLB851978 FLB917514 FLB983050 FUI9 FUH65546 FUH131082 FUH196618 FUH262154 FUH327690 FUH393226 FUH458762 FUH524298 FUH589834 FUH655370 FUH720906 FUH786442 FUH851978 FUH917514 FUH983050 FUV9 FUU65546 FUU131082 FUU196618 FUU262154 FUU327690 FUU393226 FUU458762 FUU524298 FUU589834 FUU655370 FUU720906 FUU786442 FUU851978 FUU917514 FUU983050 FUY9 FUX65546 FUX131082 FUX196618 FUX262154 FUX327690 FUX393226 FUX458762 FUX524298 FUX589834 FUX655370 FUX720906 FUX786442 FUX851978 FUX917514 FUX983050 GEE9 GED65546 GED131082 GED196618 GED262154 GED327690 GED393226 GED458762 GED524298 GED589834 GED655370 GED720906 GED786442 GED851978 GED917514 GED983050 GER9 GEQ65546 GEQ131082 GEQ196618 GEQ262154 GEQ327690 GEQ393226 GEQ458762 GEQ524298 GEQ589834 GEQ655370 GEQ720906 GEQ786442 GEQ851978 GEQ917514 GEQ983050 GEU9 GET65546 GET131082 GET196618 GET262154 GET327690 GET393226 GET458762 GET524298 GET589834 GET655370 GET720906 GET786442 GET851978 GET917514 GET983050 GOA9 GNZ65546 GNZ131082 GNZ196618 GNZ262154 GNZ327690 GNZ393226 GNZ458762 GNZ524298 GNZ589834 GNZ655370 GNZ720906 GNZ786442 GNZ851978 GNZ917514 GNZ983050 GON9 GOM65546 GOM131082 GOM196618 GOM262154 GOM327690 GOM393226 GOM458762 GOM524298 GOM589834 GOM655370 GOM720906 GOM786442 GOM851978 GOM917514 GOM983050 GOQ9 GOP65546 GOP131082 GOP196618 GOP262154 GOP327690 GOP393226 GOP458762 GOP524298 GOP589834 GOP655370 GOP720906 GOP786442 GOP851978 GOP917514 GOP983050 GXW9 GXV65546 GXV131082 GXV196618 GXV262154 GXV327690 GXV393226 GXV458762 GXV524298 GXV589834 GXV655370 GXV720906 GXV786442 GXV851978 GXV917514 GXV983050 GYJ9 GYI65546 GYI131082 GYI196618 GYI262154 GYI327690 GYI393226 GYI458762 GYI524298 GYI589834 GYI655370 GYI720906 GYI786442 GYI851978 GYI917514 GYI983050 GYM9 GYL65546 GYL131082 GYL196618 GYL262154 GYL327690 GYL393226 GYL458762 GYL524298 GYL589834 GYL655370 GYL720906 GYL786442 GYL851978 GYL917514 GYL983050 HHS9 HHR65546 HHR131082 HHR196618 HHR262154 HHR327690 HHR393226 HHR458762 HHR524298 HHR589834 HHR655370 HHR720906 HHR786442 HHR851978 HHR917514 HHR983050 HIF9 HIE65546 HIE131082 HIE196618 HIE262154 HIE327690 HIE393226 HIE458762 HIE524298 HIE589834 HIE655370 HIE720906 HIE786442 HIE851978 HIE917514 HIE983050 HII9 HIH65546 HIH131082 HIH196618 HIH262154 HIH327690 HIH393226 HIH458762 HIH524298 HIH589834 HIH655370 HIH720906 HIH786442 HIH851978 HIH917514 HIH983050 HRO9 HRN65546 HRN131082 HRN196618 HRN262154 HRN327690 HRN393226 HRN458762 HRN524298 HRN589834 HRN655370 HRN720906 HRN786442 HRN851978 HRN917514 HRN983050 HSB9 HSA65546 HSA131082 HSA196618 HSA262154 HSA327690 HSA393226 HSA458762 HSA524298 HSA589834 HSA655370 HSA720906 HSA786442 HSA851978 HSA917514 HSA983050 HSE9 HSD65546 HSD131082 HSD196618 HSD262154 HSD327690 HSD393226 HSD458762 HSD524298 HSD589834 HSD655370 HSD720906 HSD786442 HSD851978 HSD917514 HSD983050 IBK9 IBJ65546 IBJ131082 IBJ196618 IBJ262154 IBJ327690 IBJ393226 IBJ458762 IBJ524298 IBJ589834 IBJ655370 IBJ720906 IBJ786442 IBJ851978 IBJ917514 IBJ983050 IBX9 IBW65546 IBW131082 IBW196618 IBW262154 IBW327690 IBW393226 IBW458762 IBW524298 IBW589834 IBW655370 IBW720906 IBW786442 IBW851978 IBW917514 IBW983050 ICA9 IBZ65546 IBZ131082 IBZ196618 IBZ262154 IBZ327690 IBZ393226 IBZ458762 IBZ524298 IBZ589834 IBZ655370 IBZ720906 IBZ786442 IBZ851978 IBZ917514 IBZ983050 ILG9 ILF65546 ILF131082 ILF196618 ILF262154 ILF327690 ILF393226 ILF458762 ILF524298 ILF589834 ILF655370 ILF720906 ILF786442 ILF851978 ILF917514 ILF983050 ILT9 ILS65546 ILS131082 ILS196618 ILS262154 ILS327690 ILS393226 ILS458762 ILS524298 ILS589834 ILS655370 ILS720906 ILS786442 ILS851978 ILS917514 ILS983050 ILW9 ILV65546 ILV131082 ILV196618 ILV262154 ILV327690 ILV393226 ILV458762 ILV524298 ILV589834 ILV655370 ILV720906 ILV786442 ILV851978 ILV917514 ILV983050 IVC9 IVB65546 IVB131082 IVB196618 IVB262154 IVB327690 IVB393226 IVB458762 IVB524298 IVB589834 IVB655370 IVB720906 IVB786442 IVB851978 IVB917514 IVB983050 IVP9 IVO65546 IVO131082 IVO196618 IVO262154 IVO327690 IVO393226 IVO458762 IVO524298 IVO589834 IVO655370 IVO720906 IVO786442 IVO851978 IVO917514 IVO983050 IVS9 IVR65546 IVR131082 IVR196618 IVR262154 IVR327690 IVR393226 IVR458762 IVR524298 IVR589834 IVR655370 IVR720906 IVR786442 IVR851978 IVR917514 IVR983050 JEY9 JEX65546 JEX131082 JEX196618 JEX262154 JEX327690 JEX393226 JEX458762 JEX524298 JEX589834 JEX655370 JEX720906 JEX786442 JEX851978 JEX917514 JEX983050 JFL9 JFK65546 JFK131082 JFK196618 JFK262154 JFK327690 JFK393226 JFK458762 JFK524298 JFK589834 JFK655370 JFK720906 JFK786442 JFK851978 JFK917514 JFK983050 JFO9 JFN65546 JFN131082 JFN196618 JFN262154 JFN327690 JFN393226 JFN458762 JFN524298 JFN589834 JFN655370 JFN720906 JFN786442 JFN851978 JFN917514 JFN983050 JOU9 JOT65546 JOT131082 JOT196618 JOT262154 JOT327690 JOT393226 JOT458762 JOT524298 JOT589834 JOT655370 JOT720906 JOT786442 JOT851978 JOT917514 JOT983050 JPH9 JPG65546 JPG131082 JPG196618 JPG262154 JPG327690 JPG393226 JPG458762 JPG524298 JPG589834 JPG655370 JPG720906 JPG786442 JPG851978 JPG917514 JPG983050 JPK9 JPJ65546 JPJ131082 JPJ196618 JPJ262154 JPJ327690 JPJ393226 JPJ458762 JPJ524298 JPJ589834 JPJ655370 JPJ720906 JPJ786442 JPJ851978 JPJ917514 JPJ983050 JYQ9 JYP65546 JYP131082 JYP196618 JYP262154 JYP327690 JYP393226 JYP458762 JYP524298 JYP589834 JYP655370 JYP720906 JYP786442 JYP851978 JYP917514 JYP983050 JZD9 JZC65546 JZC131082 JZC196618 JZC262154 JZC327690 JZC393226 JZC458762 JZC524298 JZC589834 JZC655370 JZC720906 JZC786442 JZC851978 JZC917514 JZC983050 JZG9 JZF65546 JZF131082 JZF196618 JZF262154 JZF327690 JZF393226 JZF458762 JZF524298 JZF589834 JZF655370 JZF720906 JZF786442 JZF851978 JZF917514 JZF983050 KIM9 KIL65546 KIL131082 KIL196618 KIL262154 KIL327690 KIL393226 KIL458762 KIL524298 KIL589834 KIL655370 KIL720906 KIL786442 KIL851978 KIL917514 KIL983050 KIZ9 KIY65546 KIY131082 KIY196618 KIY262154 KIY327690 KIY393226 KIY458762 KIY524298 KIY589834 KIY655370 KIY720906 KIY786442 KIY851978 KIY917514 KIY983050 KJC9 KJB65546 KJB131082 KJB196618 KJB262154 KJB327690 KJB393226 KJB458762 KJB524298 KJB589834 KJB655370 KJB720906 KJB786442 KJB851978 KJB917514 KJB983050 KSI9 KSH65546 KSH131082 KSH196618 KSH262154 KSH327690 KSH393226 KSH458762 KSH524298 KSH589834 KSH655370 KSH720906 KSH786442 KSH851978 KSH917514 KSH983050 KSV9 KSU65546 KSU131082 KSU196618 KSU262154 KSU327690 KSU393226 KSU458762 KSU524298 KSU589834 KSU655370 KSU720906 KSU786442 KSU851978 KSU917514 KSU983050 KSY9 KSX65546 KSX131082 KSX196618 KSX262154 KSX327690 KSX393226 KSX458762 KSX524298 KSX589834 KSX655370 KSX720906 KSX786442 KSX851978 KSX917514 KSX983050 LCE9 LCD65546 LCD131082 LCD196618 LCD262154 LCD327690 LCD393226 LCD458762 LCD524298 LCD589834 LCD655370 LCD720906 LCD786442 LCD851978 LCD917514 LCD983050 LCR9 LCQ65546 LCQ131082 LCQ196618 LCQ262154 LCQ327690 LCQ393226 LCQ458762 LCQ524298 LCQ589834 LCQ655370 LCQ720906 LCQ786442 LCQ851978 LCQ917514 LCQ983050 LCU9 LCT65546 LCT131082 LCT196618 LCT262154 LCT327690 LCT393226 LCT458762 LCT524298 LCT589834 LCT655370 LCT720906 LCT786442 LCT851978 LCT917514 LCT983050 LMA9 LLZ65546 LLZ131082 LLZ196618 LLZ262154 LLZ327690 LLZ393226 LLZ458762 LLZ524298 LLZ589834 LLZ655370 LLZ720906 LLZ786442 LLZ851978 LLZ917514 LLZ983050 LMN9 LMM65546 LMM131082 LMM196618 LMM262154 LMM327690 LMM393226 LMM458762 LMM524298 LMM589834 LMM655370 LMM720906 LMM786442 LMM851978 LMM917514 LMM983050 LMQ9 LMP65546 LMP131082 LMP196618 LMP262154 LMP327690 LMP393226 LMP458762 LMP524298 LMP589834 LMP655370 LMP720906 LMP786442 LMP851978 LMP917514 LMP983050 LVW9 LVV65546 LVV131082 LVV196618 LVV262154 LVV327690 LVV393226 LVV458762 LVV524298 LVV589834 LVV655370 LVV720906 LVV786442 LVV851978 LVV917514 LVV983050 LWJ9 LWI65546 LWI131082 LWI196618 LWI262154 LWI327690 LWI393226 LWI458762 LWI524298 LWI589834 LWI655370 LWI720906 LWI786442 LWI851978 LWI917514 LWI983050 LWM9 LWL65546 LWL131082 LWL196618 LWL262154 LWL327690 LWL393226 LWL458762 LWL524298 LWL589834 LWL655370 LWL720906 LWL786442 LWL851978 LWL917514 LWL983050 MFS9 MFR65546 MFR131082 MFR196618 MFR262154 MFR327690 MFR393226 MFR458762 MFR524298 MFR589834 MFR655370 MFR720906 MFR786442 MFR851978 MFR917514 MFR983050 MGF9 MGE65546 MGE131082 MGE196618 MGE262154 MGE327690 MGE393226 MGE458762 MGE524298 MGE589834 MGE655370 MGE720906 MGE786442 MGE851978 MGE917514 MGE983050 MGI9 MGH65546 MGH131082 MGH196618 MGH262154 MGH327690 MGH393226 MGH458762 MGH524298 MGH589834 MGH655370 MGH720906 MGH786442 MGH851978 MGH917514 MGH983050 MPO9 MPN65546 MPN131082 MPN196618 MPN262154 MPN327690 MPN393226 MPN458762 MPN524298 MPN589834 MPN655370 MPN720906 MPN786442 MPN851978 MPN917514 MPN983050 MQB9 MQA65546 MQA131082 MQA196618 MQA262154 MQA327690 MQA393226 MQA458762 MQA524298 MQA589834 MQA655370 MQA720906 MQA786442 MQA851978 MQA917514 MQA983050 MQE9 MQD65546 MQD131082 MQD196618 MQD262154 MQD327690 MQD393226 MQD458762 MQD524298 MQD589834 MQD655370 MQD720906 MQD786442 MQD851978 MQD917514 MQD983050 MZK9 MZJ65546 MZJ131082 MZJ196618 MZJ262154 MZJ327690 MZJ393226 MZJ458762 MZJ524298 MZJ589834 MZJ655370 MZJ720906 MZJ786442 MZJ851978 MZJ917514 MZJ983050 MZX9 MZW65546 MZW131082 MZW196618 MZW262154 MZW327690 MZW393226 MZW458762 MZW524298 MZW589834 MZW655370 MZW720906 MZW786442 MZW851978 MZW917514 MZW983050 NAA9 MZZ65546 MZZ131082 MZZ196618 MZZ262154 MZZ327690 MZZ393226 MZZ458762 MZZ524298 MZZ589834 MZZ655370 MZZ720906 MZZ786442 MZZ851978 MZZ917514 MZZ983050 NJG9 NJF65546 NJF131082 NJF196618 NJF262154 NJF327690 NJF393226 NJF458762 NJF524298 NJF589834 NJF655370 NJF720906 NJF786442 NJF851978 NJF917514 NJF983050 NJT9 NJS65546 NJS131082 NJS196618 NJS262154 NJS327690 NJS393226 NJS458762 NJS524298 NJS589834 NJS655370 NJS720906 NJS786442 NJS851978 NJS917514 NJS983050 NJW9 NJV65546 NJV131082 NJV196618 NJV262154 NJV327690 NJV393226 NJV458762 NJV524298 NJV589834 NJV655370 NJV720906 NJV786442 NJV851978 NJV917514 NJV983050 NTC9 NTB65546 NTB131082 NTB196618 NTB262154 NTB327690 NTB393226 NTB458762 NTB524298 NTB589834 NTB655370 NTB720906 NTB786442 NTB851978 NTB917514 NTB983050 NTP9 NTO65546 NTO131082 NTO196618 NTO262154 NTO327690 NTO393226 NTO458762 NTO524298 NTO589834 NTO655370 NTO720906 NTO786442 NTO851978 NTO917514 NTO983050 NTS9 NTR65546 NTR131082 NTR196618 NTR262154 NTR327690 NTR393226 NTR458762 NTR524298 NTR589834 NTR655370 NTR720906 NTR786442 NTR851978 NTR917514 NTR983050 OCY9 OCX65546 OCX131082 OCX196618 OCX262154 OCX327690 OCX393226 OCX458762 OCX524298 OCX589834 OCX655370 OCX720906 OCX786442 OCX851978 OCX917514 OCX983050 ODL9 ODK65546 ODK131082 ODK196618 ODK262154 ODK327690 ODK393226 ODK458762 ODK524298 ODK589834 ODK655370 ODK720906 ODK786442 ODK851978 ODK917514 ODK983050 ODO9 ODN65546 ODN131082 ODN196618 ODN262154 ODN327690 ODN393226 ODN458762 ODN524298 ODN589834 ODN655370 ODN720906 ODN786442 ODN851978 ODN917514 ODN983050 OMU9 OMT65546 OMT131082 OMT196618 OMT262154 OMT327690 OMT393226 OMT458762 OMT524298 OMT589834 OMT655370 OMT720906 OMT786442 OMT851978 OMT917514 OMT983050 ONH9 ONG65546 ONG131082 ONG196618 ONG262154 ONG327690 ONG393226 ONG458762 ONG524298 ONG589834 ONG655370 ONG720906 ONG786442 ONG851978 ONG917514 ONG983050 ONK9 ONJ65546 ONJ131082 ONJ196618 ONJ262154 ONJ327690 ONJ393226 ONJ458762 ONJ524298 ONJ589834 ONJ655370 ONJ720906 ONJ786442 ONJ851978 ONJ917514 ONJ983050 OWQ9 OWP65546 OWP131082 OWP196618 OWP262154 OWP327690 OWP393226 OWP458762 OWP524298 OWP589834 OWP655370 OWP720906 OWP786442 OWP851978 OWP917514 OWP983050 OXD9 OXC65546 OXC131082 OXC196618 OXC262154 OXC327690 OXC393226 OXC458762 OXC524298 OXC589834 OXC655370 OXC720906 OXC786442 OXC851978 OXC917514 OXC983050 OXG9 OXF65546 OXF131082 OXF196618 OXF262154 OXF327690 OXF393226 OXF458762 OXF524298 OXF589834 OXF655370 OXF720906 OXF786442 OXF851978 OXF917514 OXF983050 PGM9 PGL65546 PGL131082 PGL196618 PGL262154 PGL327690 PGL393226 PGL458762 PGL524298 PGL589834 PGL655370 PGL720906 PGL786442 PGL851978 PGL917514 PGL983050 PGZ9 PGY65546 PGY131082 PGY196618 PGY262154 PGY327690 PGY393226 PGY458762 PGY524298 PGY589834 PGY655370 PGY720906 PGY786442 PGY851978 PGY917514 PGY983050 PHC9 PHB65546 PHB131082 PHB196618 PHB262154 PHB327690 PHB393226 PHB458762 PHB524298 PHB589834 PHB655370 PHB720906 PHB786442 PHB851978 PHB917514 PHB983050 PQI9 PQH65546 PQH131082 PQH196618 PQH262154 PQH327690 PQH393226 PQH458762 PQH524298 PQH589834 PQH655370 PQH720906 PQH786442 PQH851978 PQH917514 PQH983050 PQV9 PQU65546 PQU131082 PQU196618 PQU262154 PQU327690 PQU393226 PQU458762 PQU524298 PQU589834 PQU655370 PQU720906 PQU786442 PQU851978 PQU917514 PQU983050 PQY9 PQX65546 PQX131082 PQX196618 PQX262154 PQX327690 PQX393226 PQX458762 PQX524298 PQX589834 PQX655370 PQX720906 PQX786442 PQX851978 PQX917514 PQX983050 QAE9 QAD65546 QAD131082 QAD196618 QAD262154 QAD327690 QAD393226 QAD458762 QAD524298 QAD589834 QAD655370 QAD720906 QAD786442 QAD851978 QAD917514 QAD983050 QAR9 QAQ65546 QAQ131082 QAQ196618 QAQ262154 QAQ327690 QAQ393226 QAQ458762 QAQ524298 QAQ589834 QAQ655370 QAQ720906 QAQ786442 QAQ851978 QAQ917514 QAQ983050 QAU9 QAT65546 QAT131082 QAT196618 QAT262154 QAT327690 QAT393226 QAT458762 QAT524298 QAT589834 QAT655370 QAT720906 QAT786442 QAT851978 QAT917514 QAT983050 QKA9 QJZ65546 QJZ131082 QJZ196618 QJZ262154 QJZ327690 QJZ393226 QJZ458762 QJZ524298 QJZ589834 QJZ655370 QJZ720906 QJZ786442 QJZ851978 QJZ917514 QJZ983050 QKN9 QKM65546 QKM131082 QKM196618 QKM262154 QKM327690 QKM393226 QKM458762 QKM524298 QKM589834 QKM655370 QKM720906 QKM786442 QKM851978 QKM917514 QKM983050 QKQ9 QKP65546 QKP131082 QKP196618 QKP262154 QKP327690 QKP393226 QKP458762 QKP524298 QKP589834 QKP655370 QKP720906 QKP786442 QKP851978 QKP917514 QKP983050 QTW9 QTV65546 QTV131082 QTV196618 QTV262154 QTV327690 QTV393226 QTV458762 QTV524298 QTV589834 QTV655370 QTV720906 QTV786442 QTV851978 QTV917514 QTV983050 QUJ9 QUI65546 QUI131082 QUI196618 QUI262154 QUI327690 QUI393226 QUI458762 QUI524298 QUI589834 QUI655370 QUI720906 QUI786442 QUI851978 QUI917514 QUI983050 QUM9 QUL65546 QUL131082 QUL196618 QUL262154 QUL327690 QUL393226 QUL458762 QUL524298 QUL589834 QUL655370 QUL720906 QUL786442 QUL851978 QUL917514 QUL983050 RDS9 RDR65546 RDR131082 RDR196618 RDR262154 RDR327690 RDR393226 RDR458762 RDR524298 RDR589834 RDR655370 RDR720906 RDR786442 RDR851978 RDR917514 RDR983050 REF9 REE65546 REE131082 REE196618 REE262154 REE327690 REE393226 REE458762 REE524298 REE589834 REE655370 REE720906 REE786442 REE851978 REE917514 REE983050 REI9 REH65546 REH131082 REH196618 REH262154 REH327690 REH393226 REH458762 REH524298 REH589834 REH655370 REH720906 REH786442 REH851978 REH917514 REH983050 RNO9 RNN65546 RNN131082 RNN196618 RNN262154 RNN327690 RNN393226 RNN458762 RNN524298 RNN589834 RNN655370 RNN720906 RNN786442 RNN851978 RNN917514 RNN983050 ROB9 ROA65546 ROA131082 ROA196618 ROA262154 ROA327690 ROA393226 ROA458762 ROA524298 ROA589834 ROA655370 ROA720906 ROA786442 ROA851978 ROA917514 ROA983050 ROE9 ROD65546 ROD131082 ROD196618 ROD262154 ROD327690 ROD393226 ROD458762 ROD524298 ROD589834 ROD655370 ROD720906 ROD786442 ROD851978 ROD917514 ROD983050 RXK9 RXJ65546 RXJ131082 RXJ196618 RXJ262154 RXJ327690 RXJ393226 RXJ458762 RXJ524298 RXJ589834 RXJ655370 RXJ720906 RXJ786442 RXJ851978 RXJ917514 RXJ983050 RXX9 RXW65546 RXW131082 RXW196618 RXW262154 RXW327690 RXW393226 RXW458762 RXW524298 RXW589834 RXW655370 RXW720906 RXW786442 RXW851978 RXW917514 RXW983050 RYA9 RXZ65546 RXZ131082 RXZ196618 RXZ262154 RXZ327690 RXZ393226 RXZ458762 RXZ524298 RXZ589834 RXZ655370 RXZ720906 RXZ786442 RXZ851978 RXZ917514 RXZ983050 SHG9 SHF65546 SHF131082 SHF196618 SHF262154 SHF327690 SHF393226 SHF458762 SHF524298 SHF589834 SHF655370 SHF720906 SHF786442 SHF851978 SHF917514 SHF983050 SHT9 SHS65546 SHS131082 SHS196618 SHS262154 SHS327690 SHS393226 SHS458762 SHS524298 SHS589834 SHS655370 SHS720906 SHS786442 SHS851978 SHS917514 SHS983050 SHW9 SHV65546 SHV131082 SHV196618 SHV262154 SHV327690 SHV393226 SHV458762 SHV524298 SHV589834 SHV655370 SHV720906 SHV786442 SHV851978 SHV917514 SHV983050 SRC9 SRB65546 SRB131082 SRB196618 SRB262154 SRB327690 SRB393226 SRB458762 SRB524298 SRB589834 SRB655370 SRB720906 SRB786442 SRB851978 SRB917514 SRB983050 SRP9 SRO65546 SRO131082 SRO196618 SRO262154 SRO327690 SRO393226 SRO458762 SRO524298 SRO589834 SRO655370 SRO720906 SRO786442 SRO851978 SRO917514 SRO983050 SRS9 SRR65546 SRR131082 SRR196618 SRR262154 SRR327690 SRR393226 SRR458762 SRR524298 SRR589834 SRR655370 SRR720906 SRR786442 SRR851978 SRR917514 SRR983050 TAY9 TAX65546 TAX131082 TAX196618 TAX262154 TAX327690 TAX393226 TAX458762 TAX524298 TAX589834 TAX655370 TAX720906 TAX786442 TAX851978 TAX917514 TAX983050 TBL9 TBK65546 TBK131082 TBK196618 TBK262154 TBK327690 TBK393226 TBK458762 TBK524298 TBK589834 TBK655370 TBK720906 TBK786442 TBK851978 TBK917514 TBK983050 TBO9 TBN65546 TBN131082 TBN196618 TBN262154 TBN327690 TBN393226 TBN458762 TBN524298 TBN589834 TBN655370 TBN720906 TBN786442 TBN851978 TBN917514 TBN983050 TKU9 TKT65546 TKT131082 TKT196618 TKT262154 TKT327690 TKT393226 TKT458762 TKT524298 TKT589834 TKT655370 TKT720906 TKT786442 TKT851978 TKT917514 TKT983050 TLH9 TLG65546 TLG131082 TLG196618 TLG262154 TLG327690 TLG393226 TLG458762 TLG524298 TLG589834 TLG655370 TLG720906 TLG786442 TLG851978 TLG917514 TLG983050 TLK9 TLJ65546 TLJ131082 TLJ196618 TLJ262154 TLJ327690 TLJ393226 TLJ458762 TLJ524298 TLJ589834 TLJ655370 TLJ720906 TLJ786442 TLJ851978 TLJ917514 TLJ983050 TUQ9 TUP65546 TUP131082 TUP196618 TUP262154 TUP327690 TUP393226 TUP458762 TUP524298 TUP589834 TUP655370 TUP720906 TUP786442 TUP851978 TUP917514 TUP983050 TVD9 TVC65546 TVC131082 TVC196618 TVC262154 TVC327690 TVC393226 TVC458762 TVC524298 TVC589834 TVC655370 TVC720906 TVC786442 TVC851978 TVC917514 TVC983050 TVG9 TVF65546 TVF131082 TVF196618 TVF262154 TVF327690 TVF393226 TVF458762 TVF524298 TVF589834 TVF655370 TVF720906 TVF786442 TVF851978 TVF917514 TVF983050 UEM9 UEL65546 UEL131082 UEL196618 UEL262154 UEL327690 UEL393226 UEL458762 UEL524298 UEL589834 UEL655370 UEL720906 UEL786442 UEL851978 UEL917514 UEL983050 UEZ9 UEY65546 UEY131082 UEY196618 UEY262154 UEY327690 UEY393226 UEY458762 UEY524298 UEY589834 UEY655370 UEY720906 UEY786442 UEY851978 UEY917514 UEY983050 UFC9 UFB65546 UFB131082 UFB196618 UFB262154 UFB327690 UFB393226 UFB458762 UFB524298 UFB589834 UFB655370 UFB720906 UFB786442 UFB851978 UFB917514 UFB983050 UOI9 UOH65546 UOH131082 UOH196618 UOH262154 UOH327690 UOH393226 UOH458762 UOH524298 UOH589834 UOH655370 UOH720906 UOH786442 UOH851978 UOH917514 UOH983050 UOV9 UOU65546 UOU131082 UOU196618 UOU262154 UOU327690 UOU393226 UOU458762 UOU524298 UOU589834 UOU655370 UOU720906 UOU786442 UOU851978 UOU917514 UOU983050 UOY9 UOX65546 UOX131082 UOX196618 UOX262154 UOX327690 UOX393226 UOX458762 UOX524298 UOX589834 UOX655370 UOX720906 UOX786442 UOX851978 UOX917514 UOX983050 UYE9 UYD65546 UYD131082 UYD196618 UYD262154 UYD327690 UYD393226 UYD458762 UYD524298 UYD589834 UYD655370 UYD720906 UYD786442 UYD851978 UYD917514 UYD983050 UYR9 UYQ65546 UYQ131082 UYQ196618 UYQ262154 UYQ327690 UYQ393226 UYQ458762 UYQ524298 UYQ589834 UYQ655370 UYQ720906 UYQ786442 UYQ851978 UYQ917514 UYQ983050 UYU9 UYT65546 UYT131082 UYT196618 UYT262154 UYT327690 UYT393226 UYT458762 UYT524298 UYT589834 UYT655370 UYT720906 UYT786442 UYT851978 UYT917514 UYT983050 VIA9 VHZ65546 VHZ131082 VHZ196618 VHZ262154 VHZ327690 VHZ393226 VHZ458762 VHZ524298 VHZ589834 VHZ655370 VHZ720906 VHZ786442 VHZ851978 VHZ917514 VHZ983050 VIN9 VIM65546 VIM131082 VIM196618 VIM262154 VIM327690 VIM393226 VIM458762 VIM524298 VIM589834 VIM655370 VIM720906 VIM786442 VIM851978 VIM917514 VIM983050 VIQ9 VIP65546 VIP131082 VIP196618 VIP262154 VIP327690 VIP393226 VIP458762 VIP524298 VIP589834 VIP655370 VIP720906 VIP786442 VIP851978 VIP917514 VIP983050 VRW9 VRV65546 VRV131082 VRV196618 VRV262154 VRV327690 VRV393226 VRV458762 VRV524298 VRV589834 VRV655370 VRV720906 VRV786442 VRV851978 VRV917514 VRV983050 VSJ9 VSI65546 VSI131082 VSI196618 VSI262154 VSI327690 VSI393226 VSI458762 VSI524298 VSI589834 VSI655370 VSI720906 VSI786442 VSI851978 VSI917514 VSI983050 VSM9 VSL65546 VSL131082 VSL196618 VSL262154 VSL327690 VSL393226 VSL458762 VSL524298 VSL589834 VSL655370 VSL720906 VSL786442 VSL851978 VSL917514 VSL983050 WBS9 WBR65546 WBR131082 WBR196618 WBR262154 WBR327690 WBR393226 WBR458762 WBR524298 WBR589834 WBR655370 WBR720906 WBR786442 WBR851978 WBR917514 WBR983050 WCF9 WCE65546 WCE131082 WCE196618 WCE262154 WCE327690 WCE393226 WCE458762 WCE524298 WCE589834 WCE655370 WCE720906 WCE786442 WCE851978 WCE917514 WCE983050 WCI9 WCH65546 WCH131082 WCH196618 WCH262154 WCH327690 WCH393226 WCH458762 WCH524298 WCH589834 WCH655370 WCH720906 WCH786442 WCH851978 WCH917514 WCH983050 WLO9 WLN65546 WLN131082 WLN196618 WLN262154 WLN327690 WLN393226 WLN458762 WLN524298 WLN589834 WLN655370 WLN720906 WLN786442 WLN851978 WLN917514 WLN983050 WMB9 WMA65546 WMA131082 WMA196618 WMA262154 WMA327690 WMA393226 WMA458762 WMA524298 WMA589834 WMA655370 WMA720906 WMA786442 WMA851978 WMA917514 WMA983050 WME9 WMD65546 WMD131082 WMD196618 WMD262154 WMD327690 WMD393226 WMD458762 WMD524298 WMD589834 WMD655370 WMD720906 WMD786442 WMD851978 WMD917514 WMD983050 WVK9 WVJ65546 WVJ131082 WVJ196618 WVJ262154 WVJ327690 WVJ393226 WVJ458762 WVJ524298 WVJ589834 WVJ655370 WVJ720906 WVJ786442 WVJ851978 WVJ917514 WVJ983050 WVX9 WVW65546 WVW131082 WVW196618 WVW262154 WVW327690 WVW393226 WVW458762 WVW524298 WVW589834 WVW655370 WVW720906 WVW786442 WVW851978 WVW917514 WVW983050 WWA9 WVZ65546 WVZ131082 WVZ196618 WVZ262154 WVZ327690 WVZ393226 WVZ458762 WVZ524298 WVZ589834 WVZ655370 WVZ720906 WVZ786442 J9 P9 V9" xr:uid="{B5555762-8D77-45F0-8B83-704D243726B2}"/>
    <dataValidation allowBlank="1" showInputMessage="1" showErrorMessage="1" prompt="Quarterly Grade/Transmuted Grade" sqref="X65547:X65649 X131083:X131185 X196619:X196721 X262155:X262257 X327691:X327793 X393227:X393329 X458763:X458865 X524299:X524401 X589835:X589937 X655371:X655473 X720907:X721009 X786443:X786545 X851979:X852081 X917515:X917617 X983051:X983153 JQ65547:JQ65649 JQ131083:JQ131185 JQ196619:JQ196721 JQ262155:JQ262257 JQ327691:JQ327793 JQ393227:JQ393329 JQ458763:JQ458865 JQ524299:JQ524401 JQ589835:JQ589937 JQ655371:JQ655473 JQ720907:JQ721009 JQ786443:JQ786545 JQ851979:JQ852081 JQ917515:JQ917617 JQ983051:JQ983153 TN10:TN63 TM65547:TM65649 TM131083:TM131185 TM196619:TM196721 TM262155:TM262257 TM327691:TM327793 TM393227:TM393329 TM458763:TM458865 TM524299:TM524401 TM589835:TM589937 TM655371:TM655473 TM720907:TM721009 TM786443:TM786545 TM851979:TM852081 TM917515:TM917617 TM983051:TM983153 ADJ10:ADJ63 ADI65547:ADI65649 ADI131083:ADI131185 ADI196619:ADI196721 ADI262155:ADI262257 ADI327691:ADI327793 ADI393227:ADI393329 ADI458763:ADI458865 ADI524299:ADI524401 ADI589835:ADI589937 ADI655371:ADI655473 ADI720907:ADI721009 ADI786443:ADI786545 ADI851979:ADI852081 ADI917515:ADI917617 ADI983051:ADI983153 ANF10:ANF63 ANE65547:ANE65649 ANE131083:ANE131185 ANE196619:ANE196721 ANE262155:ANE262257 ANE327691:ANE327793 ANE393227:ANE393329 ANE458763:ANE458865 ANE524299:ANE524401 ANE589835:ANE589937 ANE655371:ANE655473 ANE720907:ANE721009 ANE786443:ANE786545 ANE851979:ANE852081 ANE917515:ANE917617 ANE983051:ANE983153 AXB10:AXB63 AXA65547:AXA65649 AXA131083:AXA131185 AXA196619:AXA196721 AXA262155:AXA262257 AXA327691:AXA327793 AXA393227:AXA393329 AXA458763:AXA458865 AXA524299:AXA524401 AXA589835:AXA589937 AXA655371:AXA655473 AXA720907:AXA721009 AXA786443:AXA786545 AXA851979:AXA852081 AXA917515:AXA917617 AXA983051:AXA983153 BGX10:BGX63 BGW65547:BGW65649 BGW131083:BGW131185 BGW196619:BGW196721 BGW262155:BGW262257 BGW327691:BGW327793 BGW393227:BGW393329 BGW458763:BGW458865 BGW524299:BGW524401 BGW589835:BGW589937 BGW655371:BGW655473 BGW720907:BGW721009 BGW786443:BGW786545 BGW851979:BGW852081 BGW917515:BGW917617 BGW983051:BGW983153 BQT10:BQT63 BQS65547:BQS65649 BQS131083:BQS131185 BQS196619:BQS196721 BQS262155:BQS262257 BQS327691:BQS327793 BQS393227:BQS393329 BQS458763:BQS458865 BQS524299:BQS524401 BQS589835:BQS589937 BQS655371:BQS655473 BQS720907:BQS721009 BQS786443:BQS786545 BQS851979:BQS852081 BQS917515:BQS917617 BQS983051:BQS983153 CAP10:CAP63 CAO65547:CAO65649 CAO131083:CAO131185 CAO196619:CAO196721 CAO262155:CAO262257 CAO327691:CAO327793 CAO393227:CAO393329 CAO458763:CAO458865 CAO524299:CAO524401 CAO589835:CAO589937 CAO655371:CAO655473 CAO720907:CAO721009 CAO786443:CAO786545 CAO851979:CAO852081 CAO917515:CAO917617 CAO983051:CAO983153 CKL10:CKL63 CKK65547:CKK65649 CKK131083:CKK131185 CKK196619:CKK196721 CKK262155:CKK262257 CKK327691:CKK327793 CKK393227:CKK393329 CKK458763:CKK458865 CKK524299:CKK524401 CKK589835:CKK589937 CKK655371:CKK655473 CKK720907:CKK721009 CKK786443:CKK786545 CKK851979:CKK852081 CKK917515:CKK917617 CKK983051:CKK983153 CUH10:CUH63 CUG65547:CUG65649 CUG131083:CUG131185 CUG196619:CUG196721 CUG262155:CUG262257 CUG327691:CUG327793 CUG393227:CUG393329 CUG458763:CUG458865 CUG524299:CUG524401 CUG589835:CUG589937 CUG655371:CUG655473 CUG720907:CUG721009 CUG786443:CUG786545 CUG851979:CUG852081 CUG917515:CUG917617 CUG983051:CUG983153 DED10:DED63 DEC65547:DEC65649 DEC131083:DEC131185 DEC196619:DEC196721 DEC262155:DEC262257 DEC327691:DEC327793 DEC393227:DEC393329 DEC458763:DEC458865 DEC524299:DEC524401 DEC589835:DEC589937 DEC655371:DEC655473 DEC720907:DEC721009 DEC786443:DEC786545 DEC851979:DEC852081 DEC917515:DEC917617 DEC983051:DEC983153 DNZ10:DNZ63 DNY65547:DNY65649 DNY131083:DNY131185 DNY196619:DNY196721 DNY262155:DNY262257 DNY327691:DNY327793 DNY393227:DNY393329 DNY458763:DNY458865 DNY524299:DNY524401 DNY589835:DNY589937 DNY655371:DNY655473 DNY720907:DNY721009 DNY786443:DNY786545 DNY851979:DNY852081 DNY917515:DNY917617 DNY983051:DNY983153 DXV10:DXV63 DXU65547:DXU65649 DXU131083:DXU131185 DXU196619:DXU196721 DXU262155:DXU262257 DXU327691:DXU327793 DXU393227:DXU393329 DXU458763:DXU458865 DXU524299:DXU524401 DXU589835:DXU589937 DXU655371:DXU655473 DXU720907:DXU721009 DXU786443:DXU786545 DXU851979:DXU852081 DXU917515:DXU917617 DXU983051:DXU983153 EHR10:EHR63 EHQ65547:EHQ65649 EHQ131083:EHQ131185 EHQ196619:EHQ196721 EHQ262155:EHQ262257 EHQ327691:EHQ327793 EHQ393227:EHQ393329 EHQ458763:EHQ458865 EHQ524299:EHQ524401 EHQ589835:EHQ589937 EHQ655371:EHQ655473 EHQ720907:EHQ721009 EHQ786443:EHQ786545 EHQ851979:EHQ852081 EHQ917515:EHQ917617 EHQ983051:EHQ983153 ERN10:ERN63 ERM65547:ERM65649 ERM131083:ERM131185 ERM196619:ERM196721 ERM262155:ERM262257 ERM327691:ERM327793 ERM393227:ERM393329 ERM458763:ERM458865 ERM524299:ERM524401 ERM589835:ERM589937 ERM655371:ERM655473 ERM720907:ERM721009 ERM786443:ERM786545 ERM851979:ERM852081 ERM917515:ERM917617 ERM983051:ERM983153 FBJ10:FBJ63 FBI65547:FBI65649 FBI131083:FBI131185 FBI196619:FBI196721 FBI262155:FBI262257 FBI327691:FBI327793 FBI393227:FBI393329 FBI458763:FBI458865 FBI524299:FBI524401 FBI589835:FBI589937 FBI655371:FBI655473 FBI720907:FBI721009 FBI786443:FBI786545 FBI851979:FBI852081 FBI917515:FBI917617 FBI983051:FBI983153 FLF10:FLF63 FLE65547:FLE65649 FLE131083:FLE131185 FLE196619:FLE196721 FLE262155:FLE262257 FLE327691:FLE327793 FLE393227:FLE393329 FLE458763:FLE458865 FLE524299:FLE524401 FLE589835:FLE589937 FLE655371:FLE655473 FLE720907:FLE721009 FLE786443:FLE786545 FLE851979:FLE852081 FLE917515:FLE917617 FLE983051:FLE983153 FVB10:FVB63 FVA65547:FVA65649 FVA131083:FVA131185 FVA196619:FVA196721 FVA262155:FVA262257 FVA327691:FVA327793 FVA393227:FVA393329 FVA458763:FVA458865 FVA524299:FVA524401 FVA589835:FVA589937 FVA655371:FVA655473 FVA720907:FVA721009 FVA786443:FVA786545 FVA851979:FVA852081 FVA917515:FVA917617 FVA983051:FVA983153 GEX10:GEX63 GEW65547:GEW65649 GEW131083:GEW131185 GEW196619:GEW196721 GEW262155:GEW262257 GEW327691:GEW327793 GEW393227:GEW393329 GEW458763:GEW458865 GEW524299:GEW524401 GEW589835:GEW589937 GEW655371:GEW655473 GEW720907:GEW721009 GEW786443:GEW786545 GEW851979:GEW852081 GEW917515:GEW917617 GEW983051:GEW983153 GOT10:GOT63 GOS65547:GOS65649 GOS131083:GOS131185 GOS196619:GOS196721 GOS262155:GOS262257 GOS327691:GOS327793 GOS393227:GOS393329 GOS458763:GOS458865 GOS524299:GOS524401 GOS589835:GOS589937 GOS655371:GOS655473 GOS720907:GOS721009 GOS786443:GOS786545 GOS851979:GOS852081 GOS917515:GOS917617 GOS983051:GOS983153 GYP10:GYP63 GYO65547:GYO65649 GYO131083:GYO131185 GYO196619:GYO196721 GYO262155:GYO262257 GYO327691:GYO327793 GYO393227:GYO393329 GYO458763:GYO458865 GYO524299:GYO524401 GYO589835:GYO589937 GYO655371:GYO655473 GYO720907:GYO721009 GYO786443:GYO786545 GYO851979:GYO852081 GYO917515:GYO917617 GYO983051:GYO983153 HIL10:HIL63 HIK65547:HIK65649 HIK131083:HIK131185 HIK196619:HIK196721 HIK262155:HIK262257 HIK327691:HIK327793 HIK393227:HIK393329 HIK458763:HIK458865 HIK524299:HIK524401 HIK589835:HIK589937 HIK655371:HIK655473 HIK720907:HIK721009 HIK786443:HIK786545 HIK851979:HIK852081 HIK917515:HIK917617 HIK983051:HIK983153 HSH10:HSH63 HSG65547:HSG65649 HSG131083:HSG131185 HSG196619:HSG196721 HSG262155:HSG262257 HSG327691:HSG327793 HSG393227:HSG393329 HSG458763:HSG458865 HSG524299:HSG524401 HSG589835:HSG589937 HSG655371:HSG655473 HSG720907:HSG721009 HSG786443:HSG786545 HSG851979:HSG852081 HSG917515:HSG917617 HSG983051:HSG983153 ICD10:ICD63 ICC65547:ICC65649 ICC131083:ICC131185 ICC196619:ICC196721 ICC262155:ICC262257 ICC327691:ICC327793 ICC393227:ICC393329 ICC458763:ICC458865 ICC524299:ICC524401 ICC589835:ICC589937 ICC655371:ICC655473 ICC720907:ICC721009 ICC786443:ICC786545 ICC851979:ICC852081 ICC917515:ICC917617 ICC983051:ICC983153 ILZ10:ILZ63 ILY65547:ILY65649 ILY131083:ILY131185 ILY196619:ILY196721 ILY262155:ILY262257 ILY327691:ILY327793 ILY393227:ILY393329 ILY458763:ILY458865 ILY524299:ILY524401 ILY589835:ILY589937 ILY655371:ILY655473 ILY720907:ILY721009 ILY786443:ILY786545 ILY851979:ILY852081 ILY917515:ILY917617 ILY983051:ILY983153 IVV10:IVV63 IVU65547:IVU65649 IVU131083:IVU131185 IVU196619:IVU196721 IVU262155:IVU262257 IVU327691:IVU327793 IVU393227:IVU393329 IVU458763:IVU458865 IVU524299:IVU524401 IVU589835:IVU589937 IVU655371:IVU655473 IVU720907:IVU721009 IVU786443:IVU786545 IVU851979:IVU852081 IVU917515:IVU917617 IVU983051:IVU983153 JFR10:JFR63 JFQ65547:JFQ65649 JFQ131083:JFQ131185 JFQ196619:JFQ196721 JFQ262155:JFQ262257 JFQ327691:JFQ327793 JFQ393227:JFQ393329 JFQ458763:JFQ458865 JFQ524299:JFQ524401 JFQ589835:JFQ589937 JFQ655371:JFQ655473 JFQ720907:JFQ721009 JFQ786443:JFQ786545 JFQ851979:JFQ852081 JFQ917515:JFQ917617 JFQ983051:JFQ983153 JPN10:JPN63 JPM65547:JPM65649 JPM131083:JPM131185 JPM196619:JPM196721 JPM262155:JPM262257 JPM327691:JPM327793 JPM393227:JPM393329 JPM458763:JPM458865 JPM524299:JPM524401 JPM589835:JPM589937 JPM655371:JPM655473 JPM720907:JPM721009 JPM786443:JPM786545 JPM851979:JPM852081 JPM917515:JPM917617 JPM983051:JPM983153 JZJ10:JZJ63 JZI65547:JZI65649 JZI131083:JZI131185 JZI196619:JZI196721 JZI262155:JZI262257 JZI327691:JZI327793 JZI393227:JZI393329 JZI458763:JZI458865 JZI524299:JZI524401 JZI589835:JZI589937 JZI655371:JZI655473 JZI720907:JZI721009 JZI786443:JZI786545 JZI851979:JZI852081 JZI917515:JZI917617 JZI983051:JZI983153 KJF10:KJF63 KJE65547:KJE65649 KJE131083:KJE131185 KJE196619:KJE196721 KJE262155:KJE262257 KJE327691:KJE327793 KJE393227:KJE393329 KJE458763:KJE458865 KJE524299:KJE524401 KJE589835:KJE589937 KJE655371:KJE655473 KJE720907:KJE721009 KJE786443:KJE786545 KJE851979:KJE852081 KJE917515:KJE917617 KJE983051:KJE983153 KTB10:KTB63 KTA65547:KTA65649 KTA131083:KTA131185 KTA196619:KTA196721 KTA262155:KTA262257 KTA327691:KTA327793 KTA393227:KTA393329 KTA458763:KTA458865 KTA524299:KTA524401 KTA589835:KTA589937 KTA655371:KTA655473 KTA720907:KTA721009 KTA786443:KTA786545 KTA851979:KTA852081 KTA917515:KTA917617 KTA983051:KTA983153 LCX10:LCX63 LCW65547:LCW65649 LCW131083:LCW131185 LCW196619:LCW196721 LCW262155:LCW262257 LCW327691:LCW327793 LCW393227:LCW393329 LCW458763:LCW458865 LCW524299:LCW524401 LCW589835:LCW589937 LCW655371:LCW655473 LCW720907:LCW721009 LCW786443:LCW786545 LCW851979:LCW852081 LCW917515:LCW917617 LCW983051:LCW983153 LMT10:LMT63 LMS65547:LMS65649 LMS131083:LMS131185 LMS196619:LMS196721 LMS262155:LMS262257 LMS327691:LMS327793 LMS393227:LMS393329 LMS458763:LMS458865 LMS524299:LMS524401 LMS589835:LMS589937 LMS655371:LMS655473 LMS720907:LMS721009 LMS786443:LMS786545 LMS851979:LMS852081 LMS917515:LMS917617 LMS983051:LMS983153 LWP10:LWP63 LWO65547:LWO65649 LWO131083:LWO131185 LWO196619:LWO196721 LWO262155:LWO262257 LWO327691:LWO327793 LWO393227:LWO393329 LWO458763:LWO458865 LWO524299:LWO524401 LWO589835:LWO589937 LWO655371:LWO655473 LWO720907:LWO721009 LWO786443:LWO786545 LWO851979:LWO852081 LWO917515:LWO917617 LWO983051:LWO983153 MGL10:MGL63 MGK65547:MGK65649 MGK131083:MGK131185 MGK196619:MGK196721 MGK262155:MGK262257 MGK327691:MGK327793 MGK393227:MGK393329 MGK458763:MGK458865 MGK524299:MGK524401 MGK589835:MGK589937 MGK655371:MGK655473 MGK720907:MGK721009 MGK786443:MGK786545 MGK851979:MGK852081 MGK917515:MGK917617 MGK983051:MGK983153 MQH10:MQH63 MQG65547:MQG65649 MQG131083:MQG131185 MQG196619:MQG196721 MQG262155:MQG262257 MQG327691:MQG327793 MQG393227:MQG393329 MQG458763:MQG458865 MQG524299:MQG524401 MQG589835:MQG589937 MQG655371:MQG655473 MQG720907:MQG721009 MQG786443:MQG786545 MQG851979:MQG852081 MQG917515:MQG917617 MQG983051:MQG983153 NAD10:NAD63 NAC65547:NAC65649 NAC131083:NAC131185 NAC196619:NAC196721 NAC262155:NAC262257 NAC327691:NAC327793 NAC393227:NAC393329 NAC458763:NAC458865 NAC524299:NAC524401 NAC589835:NAC589937 NAC655371:NAC655473 NAC720907:NAC721009 NAC786443:NAC786545 NAC851979:NAC852081 NAC917515:NAC917617 NAC983051:NAC983153 NJZ10:NJZ63 NJY65547:NJY65649 NJY131083:NJY131185 NJY196619:NJY196721 NJY262155:NJY262257 NJY327691:NJY327793 NJY393227:NJY393329 NJY458763:NJY458865 NJY524299:NJY524401 NJY589835:NJY589937 NJY655371:NJY655473 NJY720907:NJY721009 NJY786443:NJY786545 NJY851979:NJY852081 NJY917515:NJY917617 NJY983051:NJY983153 NTV10:NTV63 NTU65547:NTU65649 NTU131083:NTU131185 NTU196619:NTU196721 NTU262155:NTU262257 NTU327691:NTU327793 NTU393227:NTU393329 NTU458763:NTU458865 NTU524299:NTU524401 NTU589835:NTU589937 NTU655371:NTU655473 NTU720907:NTU721009 NTU786443:NTU786545 NTU851979:NTU852081 NTU917515:NTU917617 NTU983051:NTU983153 ODR10:ODR63 ODQ65547:ODQ65649 ODQ131083:ODQ131185 ODQ196619:ODQ196721 ODQ262155:ODQ262257 ODQ327691:ODQ327793 ODQ393227:ODQ393329 ODQ458763:ODQ458865 ODQ524299:ODQ524401 ODQ589835:ODQ589937 ODQ655371:ODQ655473 ODQ720907:ODQ721009 ODQ786443:ODQ786545 ODQ851979:ODQ852081 ODQ917515:ODQ917617 ODQ983051:ODQ983153 ONN10:ONN63 ONM65547:ONM65649 ONM131083:ONM131185 ONM196619:ONM196721 ONM262155:ONM262257 ONM327691:ONM327793 ONM393227:ONM393329 ONM458763:ONM458865 ONM524299:ONM524401 ONM589835:ONM589937 ONM655371:ONM655473 ONM720907:ONM721009 ONM786443:ONM786545 ONM851979:ONM852081 ONM917515:ONM917617 ONM983051:ONM983153 OXJ10:OXJ63 OXI65547:OXI65649 OXI131083:OXI131185 OXI196619:OXI196721 OXI262155:OXI262257 OXI327691:OXI327793 OXI393227:OXI393329 OXI458763:OXI458865 OXI524299:OXI524401 OXI589835:OXI589937 OXI655371:OXI655473 OXI720907:OXI721009 OXI786443:OXI786545 OXI851979:OXI852081 OXI917515:OXI917617 OXI983051:OXI983153 PHF10:PHF63 PHE65547:PHE65649 PHE131083:PHE131185 PHE196619:PHE196721 PHE262155:PHE262257 PHE327691:PHE327793 PHE393227:PHE393329 PHE458763:PHE458865 PHE524299:PHE524401 PHE589835:PHE589937 PHE655371:PHE655473 PHE720907:PHE721009 PHE786443:PHE786545 PHE851979:PHE852081 PHE917515:PHE917617 PHE983051:PHE983153 PRB10:PRB63 PRA65547:PRA65649 PRA131083:PRA131185 PRA196619:PRA196721 PRA262155:PRA262257 PRA327691:PRA327793 PRA393227:PRA393329 PRA458763:PRA458865 PRA524299:PRA524401 PRA589835:PRA589937 PRA655371:PRA655473 PRA720907:PRA721009 PRA786443:PRA786545 PRA851979:PRA852081 PRA917515:PRA917617 PRA983051:PRA983153 QAX10:QAX63 QAW65547:QAW65649 QAW131083:QAW131185 QAW196619:QAW196721 QAW262155:QAW262257 QAW327691:QAW327793 QAW393227:QAW393329 QAW458763:QAW458865 QAW524299:QAW524401 QAW589835:QAW589937 QAW655371:QAW655473 QAW720907:QAW721009 QAW786443:QAW786545 QAW851979:QAW852081 QAW917515:QAW917617 QAW983051:QAW983153 QKT10:QKT63 QKS65547:QKS65649 QKS131083:QKS131185 QKS196619:QKS196721 QKS262155:QKS262257 QKS327691:QKS327793 QKS393227:QKS393329 QKS458763:QKS458865 QKS524299:QKS524401 QKS589835:QKS589937 QKS655371:QKS655473 QKS720907:QKS721009 QKS786443:QKS786545 QKS851979:QKS852081 QKS917515:QKS917617 QKS983051:QKS983153 QUP10:QUP63 QUO65547:QUO65649 QUO131083:QUO131185 QUO196619:QUO196721 QUO262155:QUO262257 QUO327691:QUO327793 QUO393227:QUO393329 QUO458763:QUO458865 QUO524299:QUO524401 QUO589835:QUO589937 QUO655371:QUO655473 QUO720907:QUO721009 QUO786443:QUO786545 QUO851979:QUO852081 QUO917515:QUO917617 QUO983051:QUO983153 REL10:REL63 REK65547:REK65649 REK131083:REK131185 REK196619:REK196721 REK262155:REK262257 REK327691:REK327793 REK393227:REK393329 REK458763:REK458865 REK524299:REK524401 REK589835:REK589937 REK655371:REK655473 REK720907:REK721009 REK786443:REK786545 REK851979:REK852081 REK917515:REK917617 REK983051:REK983153 ROH10:ROH63 ROG65547:ROG65649 ROG131083:ROG131185 ROG196619:ROG196721 ROG262155:ROG262257 ROG327691:ROG327793 ROG393227:ROG393329 ROG458763:ROG458865 ROG524299:ROG524401 ROG589835:ROG589937 ROG655371:ROG655473 ROG720907:ROG721009 ROG786443:ROG786545 ROG851979:ROG852081 ROG917515:ROG917617 ROG983051:ROG983153 RYD10:RYD63 RYC65547:RYC65649 RYC131083:RYC131185 RYC196619:RYC196721 RYC262155:RYC262257 RYC327691:RYC327793 RYC393227:RYC393329 RYC458763:RYC458865 RYC524299:RYC524401 RYC589835:RYC589937 RYC655371:RYC655473 RYC720907:RYC721009 RYC786443:RYC786545 RYC851979:RYC852081 RYC917515:RYC917617 RYC983051:RYC983153 SHZ10:SHZ63 SHY65547:SHY65649 SHY131083:SHY131185 SHY196619:SHY196721 SHY262155:SHY262257 SHY327691:SHY327793 SHY393227:SHY393329 SHY458763:SHY458865 SHY524299:SHY524401 SHY589835:SHY589937 SHY655371:SHY655473 SHY720907:SHY721009 SHY786443:SHY786545 SHY851979:SHY852081 SHY917515:SHY917617 SHY983051:SHY983153 SRV10:SRV63 SRU65547:SRU65649 SRU131083:SRU131185 SRU196619:SRU196721 SRU262155:SRU262257 SRU327691:SRU327793 SRU393227:SRU393329 SRU458763:SRU458865 SRU524299:SRU524401 SRU589835:SRU589937 SRU655371:SRU655473 SRU720907:SRU721009 SRU786443:SRU786545 SRU851979:SRU852081 SRU917515:SRU917617 SRU983051:SRU983153 TBR10:TBR63 TBQ65547:TBQ65649 TBQ131083:TBQ131185 TBQ196619:TBQ196721 TBQ262155:TBQ262257 TBQ327691:TBQ327793 TBQ393227:TBQ393329 TBQ458763:TBQ458865 TBQ524299:TBQ524401 TBQ589835:TBQ589937 TBQ655371:TBQ655473 TBQ720907:TBQ721009 TBQ786443:TBQ786545 TBQ851979:TBQ852081 TBQ917515:TBQ917617 TBQ983051:TBQ983153 TLN10:TLN63 TLM65547:TLM65649 TLM131083:TLM131185 TLM196619:TLM196721 TLM262155:TLM262257 TLM327691:TLM327793 TLM393227:TLM393329 TLM458763:TLM458865 TLM524299:TLM524401 TLM589835:TLM589937 TLM655371:TLM655473 TLM720907:TLM721009 TLM786443:TLM786545 TLM851979:TLM852081 TLM917515:TLM917617 TLM983051:TLM983153 TVJ10:TVJ63 TVI65547:TVI65649 TVI131083:TVI131185 TVI196619:TVI196721 TVI262155:TVI262257 TVI327691:TVI327793 TVI393227:TVI393329 TVI458763:TVI458865 TVI524299:TVI524401 TVI589835:TVI589937 TVI655371:TVI655473 TVI720907:TVI721009 TVI786443:TVI786545 TVI851979:TVI852081 TVI917515:TVI917617 TVI983051:TVI983153 UFF10:UFF63 UFE65547:UFE65649 UFE131083:UFE131185 UFE196619:UFE196721 UFE262155:UFE262257 UFE327691:UFE327793 UFE393227:UFE393329 UFE458763:UFE458865 UFE524299:UFE524401 UFE589835:UFE589937 UFE655371:UFE655473 UFE720907:UFE721009 UFE786443:UFE786545 UFE851979:UFE852081 UFE917515:UFE917617 UFE983051:UFE983153 UPB10:UPB63 UPA65547:UPA65649 UPA131083:UPA131185 UPA196619:UPA196721 UPA262155:UPA262257 UPA327691:UPA327793 UPA393227:UPA393329 UPA458763:UPA458865 UPA524299:UPA524401 UPA589835:UPA589937 UPA655371:UPA655473 UPA720907:UPA721009 UPA786443:UPA786545 UPA851979:UPA852081 UPA917515:UPA917617 UPA983051:UPA983153 UYX10:UYX63 UYW65547:UYW65649 UYW131083:UYW131185 UYW196619:UYW196721 UYW262155:UYW262257 UYW327691:UYW327793 UYW393227:UYW393329 UYW458763:UYW458865 UYW524299:UYW524401 UYW589835:UYW589937 UYW655371:UYW655473 UYW720907:UYW721009 UYW786443:UYW786545 UYW851979:UYW852081 UYW917515:UYW917617 UYW983051:UYW983153 VIT10:VIT63 VIS65547:VIS65649 VIS131083:VIS131185 VIS196619:VIS196721 VIS262155:VIS262257 VIS327691:VIS327793 VIS393227:VIS393329 VIS458763:VIS458865 VIS524299:VIS524401 VIS589835:VIS589937 VIS655371:VIS655473 VIS720907:VIS721009 VIS786443:VIS786545 VIS851979:VIS852081 VIS917515:VIS917617 VIS983051:VIS983153 VSP10:VSP63 VSO65547:VSO65649 VSO131083:VSO131185 VSO196619:VSO196721 VSO262155:VSO262257 VSO327691:VSO327793 VSO393227:VSO393329 VSO458763:VSO458865 VSO524299:VSO524401 VSO589835:VSO589937 VSO655371:VSO655473 VSO720907:VSO721009 VSO786443:VSO786545 VSO851979:VSO852081 VSO917515:VSO917617 VSO983051:VSO983153 WCL10:WCL63 WCK65547:WCK65649 WCK131083:WCK131185 WCK196619:WCK196721 WCK262155:WCK262257 WCK327691:WCK327793 WCK393227:WCK393329 WCK458763:WCK458865 WCK524299:WCK524401 WCK589835:WCK589937 WCK655371:WCK655473 WCK720907:WCK721009 WCK786443:WCK786545 WCK851979:WCK852081 WCK917515:WCK917617 WCK983051:WCK983153 WMH10:WMH63 WMG65547:WMG65649 WMG131083:WMG131185 WMG196619:WMG196721 WMG262155:WMG262257 WMG327691:WMG327793 WMG393227:WMG393329 WMG458763:WMG458865 WMG524299:WMG524401 WMG589835:WMG589937 WMG655371:WMG655473 WMG720907:WMG721009 WMG786443:WMG786545 WMG851979:WMG852081 WMG917515:WMG917617 WMG983051:WMG983153 WWD10:WWD63 WWC983051:WWC983153 WWC65547:WWC65649 WWC131083:WWC131185 WWC196619:WWC196721 WWC262155:WWC262257 WWC327691:WWC327793 WWC393227:WWC393329 WWC458763:WWC458865 WWC524299:WWC524401 WWC589835:WWC589937 WWC655371:WWC655473 WWC720907:WWC721009 WWC786443:WWC786545 WWC851979:WWC852081 WWC917515:WWC917617 JR10:JR63 WWD66:WWD114 WMH66:WMH114 WCL66:WCL114 VSP66:VSP114 VIT66:VIT114 UYX66:UYX114 UPB66:UPB114 UFF66:UFF114 TVJ66:TVJ114 TLN66:TLN114 TBR66:TBR114 SRV66:SRV114 SHZ66:SHZ114 RYD66:RYD114 ROH66:ROH114 REL66:REL114 QUP66:QUP114 QKT66:QKT114 QAX66:QAX114 PRB66:PRB114 PHF66:PHF114 OXJ66:OXJ114 ONN66:ONN114 ODR66:ODR114 NTV66:NTV114 NJZ66:NJZ114 NAD66:NAD114 MQH66:MQH114 MGL66:MGL114 LWP66:LWP114 LMT66:LMT114 LCX66:LCX114 KTB66:KTB114 KJF66:KJF114 JZJ66:JZJ114 JPN66:JPN114 JFR66:JFR114 IVV66:IVV114 ILZ66:ILZ114 ICD66:ICD114 HSH66:HSH114 HIL66:HIL114 GYP66:GYP114 GOT66:GOT114 GEX66:GEX114 FVB66:FVB114 FLF66:FLF114 FBJ66:FBJ114 ERN66:ERN114 EHR66:EHR114 DXV66:DXV114 DNZ66:DNZ114 DED66:DED114 CUH66:CUH114 CKL66:CKL114 CAP66:CAP114 BQT66:BQT114 BGX66:BGX114 AXB66:AXB114 ANF66:ANF114 ADJ66:ADJ114 TN66:TN114 JR66:JR114" xr:uid="{1D4C215A-5A80-40EF-BD2C-42DC5D0669C1}"/>
    <dataValidation allowBlank="1" showInputMessage="1" showErrorMessage="1" prompt="Initial Grade" sqref="W65547:W65649 W131083:W131185 W196619:W196721 W262155:W262257 W327691:W327793 W393227:W393329 W458763:W458865 W524299:W524401 W589835:W589937 W655371:W655473 W720907:W721009 W786443:W786545 W851979:W852081 W917515:W917617 W983051:W983153 JP65547:JP65649 JP131083:JP131185 JP196619:JP196721 JP262155:JP262257 JP327691:JP327793 JP393227:JP393329 JP458763:JP458865 JP524299:JP524401 JP589835:JP589937 JP655371:JP655473 JP720907:JP721009 JP786443:JP786545 JP851979:JP852081 JP917515:JP917617 JP983051:JP983153 TM10:TM63 TL65547:TL65649 TL131083:TL131185 TL196619:TL196721 TL262155:TL262257 TL327691:TL327793 TL393227:TL393329 TL458763:TL458865 TL524299:TL524401 TL589835:TL589937 TL655371:TL655473 TL720907:TL721009 TL786443:TL786545 TL851979:TL852081 TL917515:TL917617 TL983051:TL983153 ADI10:ADI63 ADH65547:ADH65649 ADH131083:ADH131185 ADH196619:ADH196721 ADH262155:ADH262257 ADH327691:ADH327793 ADH393227:ADH393329 ADH458763:ADH458865 ADH524299:ADH524401 ADH589835:ADH589937 ADH655371:ADH655473 ADH720907:ADH721009 ADH786443:ADH786545 ADH851979:ADH852081 ADH917515:ADH917617 ADH983051:ADH983153 ANE10:ANE63 AND65547:AND65649 AND131083:AND131185 AND196619:AND196721 AND262155:AND262257 AND327691:AND327793 AND393227:AND393329 AND458763:AND458865 AND524299:AND524401 AND589835:AND589937 AND655371:AND655473 AND720907:AND721009 AND786443:AND786545 AND851979:AND852081 AND917515:AND917617 AND983051:AND983153 AXA10:AXA63 AWZ65547:AWZ65649 AWZ131083:AWZ131185 AWZ196619:AWZ196721 AWZ262155:AWZ262257 AWZ327691:AWZ327793 AWZ393227:AWZ393329 AWZ458763:AWZ458865 AWZ524299:AWZ524401 AWZ589835:AWZ589937 AWZ655371:AWZ655473 AWZ720907:AWZ721009 AWZ786443:AWZ786545 AWZ851979:AWZ852081 AWZ917515:AWZ917617 AWZ983051:AWZ983153 BGW10:BGW63 BGV65547:BGV65649 BGV131083:BGV131185 BGV196619:BGV196721 BGV262155:BGV262257 BGV327691:BGV327793 BGV393227:BGV393329 BGV458763:BGV458865 BGV524299:BGV524401 BGV589835:BGV589937 BGV655371:BGV655473 BGV720907:BGV721009 BGV786443:BGV786545 BGV851979:BGV852081 BGV917515:BGV917617 BGV983051:BGV983153 BQS10:BQS63 BQR65547:BQR65649 BQR131083:BQR131185 BQR196619:BQR196721 BQR262155:BQR262257 BQR327691:BQR327793 BQR393227:BQR393329 BQR458763:BQR458865 BQR524299:BQR524401 BQR589835:BQR589937 BQR655371:BQR655473 BQR720907:BQR721009 BQR786443:BQR786545 BQR851979:BQR852081 BQR917515:BQR917617 BQR983051:BQR983153 CAO10:CAO63 CAN65547:CAN65649 CAN131083:CAN131185 CAN196619:CAN196721 CAN262155:CAN262257 CAN327691:CAN327793 CAN393227:CAN393329 CAN458763:CAN458865 CAN524299:CAN524401 CAN589835:CAN589937 CAN655371:CAN655473 CAN720907:CAN721009 CAN786443:CAN786545 CAN851979:CAN852081 CAN917515:CAN917617 CAN983051:CAN983153 CKK10:CKK63 CKJ65547:CKJ65649 CKJ131083:CKJ131185 CKJ196619:CKJ196721 CKJ262155:CKJ262257 CKJ327691:CKJ327793 CKJ393227:CKJ393329 CKJ458763:CKJ458865 CKJ524299:CKJ524401 CKJ589835:CKJ589937 CKJ655371:CKJ655473 CKJ720907:CKJ721009 CKJ786443:CKJ786545 CKJ851979:CKJ852081 CKJ917515:CKJ917617 CKJ983051:CKJ983153 CUG10:CUG63 CUF65547:CUF65649 CUF131083:CUF131185 CUF196619:CUF196721 CUF262155:CUF262257 CUF327691:CUF327793 CUF393227:CUF393329 CUF458763:CUF458865 CUF524299:CUF524401 CUF589835:CUF589937 CUF655371:CUF655473 CUF720907:CUF721009 CUF786443:CUF786545 CUF851979:CUF852081 CUF917515:CUF917617 CUF983051:CUF983153 DEC10:DEC63 DEB65547:DEB65649 DEB131083:DEB131185 DEB196619:DEB196721 DEB262155:DEB262257 DEB327691:DEB327793 DEB393227:DEB393329 DEB458763:DEB458865 DEB524299:DEB524401 DEB589835:DEB589937 DEB655371:DEB655473 DEB720907:DEB721009 DEB786443:DEB786545 DEB851979:DEB852081 DEB917515:DEB917617 DEB983051:DEB983153 DNY10:DNY63 DNX65547:DNX65649 DNX131083:DNX131185 DNX196619:DNX196721 DNX262155:DNX262257 DNX327691:DNX327793 DNX393227:DNX393329 DNX458763:DNX458865 DNX524299:DNX524401 DNX589835:DNX589937 DNX655371:DNX655473 DNX720907:DNX721009 DNX786443:DNX786545 DNX851979:DNX852081 DNX917515:DNX917617 DNX983051:DNX983153 DXU10:DXU63 DXT65547:DXT65649 DXT131083:DXT131185 DXT196619:DXT196721 DXT262155:DXT262257 DXT327691:DXT327793 DXT393227:DXT393329 DXT458763:DXT458865 DXT524299:DXT524401 DXT589835:DXT589937 DXT655371:DXT655473 DXT720907:DXT721009 DXT786443:DXT786545 DXT851979:DXT852081 DXT917515:DXT917617 DXT983051:DXT983153 EHQ10:EHQ63 EHP65547:EHP65649 EHP131083:EHP131185 EHP196619:EHP196721 EHP262155:EHP262257 EHP327691:EHP327793 EHP393227:EHP393329 EHP458763:EHP458865 EHP524299:EHP524401 EHP589835:EHP589937 EHP655371:EHP655473 EHP720907:EHP721009 EHP786443:EHP786545 EHP851979:EHP852081 EHP917515:EHP917617 EHP983051:EHP983153 ERM10:ERM63 ERL65547:ERL65649 ERL131083:ERL131185 ERL196619:ERL196721 ERL262155:ERL262257 ERL327691:ERL327793 ERL393227:ERL393329 ERL458763:ERL458865 ERL524299:ERL524401 ERL589835:ERL589937 ERL655371:ERL655473 ERL720907:ERL721009 ERL786443:ERL786545 ERL851979:ERL852081 ERL917515:ERL917617 ERL983051:ERL983153 FBI10:FBI63 FBH65547:FBH65649 FBH131083:FBH131185 FBH196619:FBH196721 FBH262155:FBH262257 FBH327691:FBH327793 FBH393227:FBH393329 FBH458763:FBH458865 FBH524299:FBH524401 FBH589835:FBH589937 FBH655371:FBH655473 FBH720907:FBH721009 FBH786443:FBH786545 FBH851979:FBH852081 FBH917515:FBH917617 FBH983051:FBH983153 FLE10:FLE63 FLD65547:FLD65649 FLD131083:FLD131185 FLD196619:FLD196721 FLD262155:FLD262257 FLD327691:FLD327793 FLD393227:FLD393329 FLD458763:FLD458865 FLD524299:FLD524401 FLD589835:FLD589937 FLD655371:FLD655473 FLD720907:FLD721009 FLD786443:FLD786545 FLD851979:FLD852081 FLD917515:FLD917617 FLD983051:FLD983153 FVA10:FVA63 FUZ65547:FUZ65649 FUZ131083:FUZ131185 FUZ196619:FUZ196721 FUZ262155:FUZ262257 FUZ327691:FUZ327793 FUZ393227:FUZ393329 FUZ458763:FUZ458865 FUZ524299:FUZ524401 FUZ589835:FUZ589937 FUZ655371:FUZ655473 FUZ720907:FUZ721009 FUZ786443:FUZ786545 FUZ851979:FUZ852081 FUZ917515:FUZ917617 FUZ983051:FUZ983153 GEW10:GEW63 GEV65547:GEV65649 GEV131083:GEV131185 GEV196619:GEV196721 GEV262155:GEV262257 GEV327691:GEV327793 GEV393227:GEV393329 GEV458763:GEV458865 GEV524299:GEV524401 GEV589835:GEV589937 GEV655371:GEV655473 GEV720907:GEV721009 GEV786443:GEV786545 GEV851979:GEV852081 GEV917515:GEV917617 GEV983051:GEV983153 GOS10:GOS63 GOR65547:GOR65649 GOR131083:GOR131185 GOR196619:GOR196721 GOR262155:GOR262257 GOR327691:GOR327793 GOR393227:GOR393329 GOR458763:GOR458865 GOR524299:GOR524401 GOR589835:GOR589937 GOR655371:GOR655473 GOR720907:GOR721009 GOR786443:GOR786545 GOR851979:GOR852081 GOR917515:GOR917617 GOR983051:GOR983153 GYO10:GYO63 GYN65547:GYN65649 GYN131083:GYN131185 GYN196619:GYN196721 GYN262155:GYN262257 GYN327691:GYN327793 GYN393227:GYN393329 GYN458763:GYN458865 GYN524299:GYN524401 GYN589835:GYN589937 GYN655371:GYN655473 GYN720907:GYN721009 GYN786443:GYN786545 GYN851979:GYN852081 GYN917515:GYN917617 GYN983051:GYN983153 HIK10:HIK63 HIJ65547:HIJ65649 HIJ131083:HIJ131185 HIJ196619:HIJ196721 HIJ262155:HIJ262257 HIJ327691:HIJ327793 HIJ393227:HIJ393329 HIJ458763:HIJ458865 HIJ524299:HIJ524401 HIJ589835:HIJ589937 HIJ655371:HIJ655473 HIJ720907:HIJ721009 HIJ786443:HIJ786545 HIJ851979:HIJ852081 HIJ917515:HIJ917617 HIJ983051:HIJ983153 HSG10:HSG63 HSF65547:HSF65649 HSF131083:HSF131185 HSF196619:HSF196721 HSF262155:HSF262257 HSF327691:HSF327793 HSF393227:HSF393329 HSF458763:HSF458865 HSF524299:HSF524401 HSF589835:HSF589937 HSF655371:HSF655473 HSF720907:HSF721009 HSF786443:HSF786545 HSF851979:HSF852081 HSF917515:HSF917617 HSF983051:HSF983153 ICC10:ICC63 ICB65547:ICB65649 ICB131083:ICB131185 ICB196619:ICB196721 ICB262155:ICB262257 ICB327691:ICB327793 ICB393227:ICB393329 ICB458763:ICB458865 ICB524299:ICB524401 ICB589835:ICB589937 ICB655371:ICB655473 ICB720907:ICB721009 ICB786443:ICB786545 ICB851979:ICB852081 ICB917515:ICB917617 ICB983051:ICB983153 ILY10:ILY63 ILX65547:ILX65649 ILX131083:ILX131185 ILX196619:ILX196721 ILX262155:ILX262257 ILX327691:ILX327793 ILX393227:ILX393329 ILX458763:ILX458865 ILX524299:ILX524401 ILX589835:ILX589937 ILX655371:ILX655473 ILX720907:ILX721009 ILX786443:ILX786545 ILX851979:ILX852081 ILX917515:ILX917617 ILX983051:ILX983153 IVU10:IVU63 IVT65547:IVT65649 IVT131083:IVT131185 IVT196619:IVT196721 IVT262155:IVT262257 IVT327691:IVT327793 IVT393227:IVT393329 IVT458763:IVT458865 IVT524299:IVT524401 IVT589835:IVT589937 IVT655371:IVT655473 IVT720907:IVT721009 IVT786443:IVT786545 IVT851979:IVT852081 IVT917515:IVT917617 IVT983051:IVT983153 JFQ10:JFQ63 JFP65547:JFP65649 JFP131083:JFP131185 JFP196619:JFP196721 JFP262155:JFP262257 JFP327691:JFP327793 JFP393227:JFP393329 JFP458763:JFP458865 JFP524299:JFP524401 JFP589835:JFP589937 JFP655371:JFP655473 JFP720907:JFP721009 JFP786443:JFP786545 JFP851979:JFP852081 JFP917515:JFP917617 JFP983051:JFP983153 JPM10:JPM63 JPL65547:JPL65649 JPL131083:JPL131185 JPL196619:JPL196721 JPL262155:JPL262257 JPL327691:JPL327793 JPL393227:JPL393329 JPL458763:JPL458865 JPL524299:JPL524401 JPL589835:JPL589937 JPL655371:JPL655473 JPL720907:JPL721009 JPL786443:JPL786545 JPL851979:JPL852081 JPL917515:JPL917617 JPL983051:JPL983153 JZI10:JZI63 JZH65547:JZH65649 JZH131083:JZH131185 JZH196619:JZH196721 JZH262155:JZH262257 JZH327691:JZH327793 JZH393227:JZH393329 JZH458763:JZH458865 JZH524299:JZH524401 JZH589835:JZH589937 JZH655371:JZH655473 JZH720907:JZH721009 JZH786443:JZH786545 JZH851979:JZH852081 JZH917515:JZH917617 JZH983051:JZH983153 KJE10:KJE63 KJD65547:KJD65649 KJD131083:KJD131185 KJD196619:KJD196721 KJD262155:KJD262257 KJD327691:KJD327793 KJD393227:KJD393329 KJD458763:KJD458865 KJD524299:KJD524401 KJD589835:KJD589937 KJD655371:KJD655473 KJD720907:KJD721009 KJD786443:KJD786545 KJD851979:KJD852081 KJD917515:KJD917617 KJD983051:KJD983153 KTA10:KTA63 KSZ65547:KSZ65649 KSZ131083:KSZ131185 KSZ196619:KSZ196721 KSZ262155:KSZ262257 KSZ327691:KSZ327793 KSZ393227:KSZ393329 KSZ458763:KSZ458865 KSZ524299:KSZ524401 KSZ589835:KSZ589937 KSZ655371:KSZ655473 KSZ720907:KSZ721009 KSZ786443:KSZ786545 KSZ851979:KSZ852081 KSZ917515:KSZ917617 KSZ983051:KSZ983153 LCW10:LCW63 LCV65547:LCV65649 LCV131083:LCV131185 LCV196619:LCV196721 LCV262155:LCV262257 LCV327691:LCV327793 LCV393227:LCV393329 LCV458763:LCV458865 LCV524299:LCV524401 LCV589835:LCV589937 LCV655371:LCV655473 LCV720907:LCV721009 LCV786443:LCV786545 LCV851979:LCV852081 LCV917515:LCV917617 LCV983051:LCV983153 LMS10:LMS63 LMR65547:LMR65649 LMR131083:LMR131185 LMR196619:LMR196721 LMR262155:LMR262257 LMR327691:LMR327793 LMR393227:LMR393329 LMR458763:LMR458865 LMR524299:LMR524401 LMR589835:LMR589937 LMR655371:LMR655473 LMR720907:LMR721009 LMR786443:LMR786545 LMR851979:LMR852081 LMR917515:LMR917617 LMR983051:LMR983153 LWO10:LWO63 LWN65547:LWN65649 LWN131083:LWN131185 LWN196619:LWN196721 LWN262155:LWN262257 LWN327691:LWN327793 LWN393227:LWN393329 LWN458763:LWN458865 LWN524299:LWN524401 LWN589835:LWN589937 LWN655371:LWN655473 LWN720907:LWN721009 LWN786443:LWN786545 LWN851979:LWN852081 LWN917515:LWN917617 LWN983051:LWN983153 MGK10:MGK63 MGJ65547:MGJ65649 MGJ131083:MGJ131185 MGJ196619:MGJ196721 MGJ262155:MGJ262257 MGJ327691:MGJ327793 MGJ393227:MGJ393329 MGJ458763:MGJ458865 MGJ524299:MGJ524401 MGJ589835:MGJ589937 MGJ655371:MGJ655473 MGJ720907:MGJ721009 MGJ786443:MGJ786545 MGJ851979:MGJ852081 MGJ917515:MGJ917617 MGJ983051:MGJ983153 MQG10:MQG63 MQF65547:MQF65649 MQF131083:MQF131185 MQF196619:MQF196721 MQF262155:MQF262257 MQF327691:MQF327793 MQF393227:MQF393329 MQF458763:MQF458865 MQF524299:MQF524401 MQF589835:MQF589937 MQF655371:MQF655473 MQF720907:MQF721009 MQF786443:MQF786545 MQF851979:MQF852081 MQF917515:MQF917617 MQF983051:MQF983153 NAC10:NAC63 NAB65547:NAB65649 NAB131083:NAB131185 NAB196619:NAB196721 NAB262155:NAB262257 NAB327691:NAB327793 NAB393227:NAB393329 NAB458763:NAB458865 NAB524299:NAB524401 NAB589835:NAB589937 NAB655371:NAB655473 NAB720907:NAB721009 NAB786443:NAB786545 NAB851979:NAB852081 NAB917515:NAB917617 NAB983051:NAB983153 NJY10:NJY63 NJX65547:NJX65649 NJX131083:NJX131185 NJX196619:NJX196721 NJX262155:NJX262257 NJX327691:NJX327793 NJX393227:NJX393329 NJX458763:NJX458865 NJX524299:NJX524401 NJX589835:NJX589937 NJX655371:NJX655473 NJX720907:NJX721009 NJX786443:NJX786545 NJX851979:NJX852081 NJX917515:NJX917617 NJX983051:NJX983153 NTU10:NTU63 NTT65547:NTT65649 NTT131083:NTT131185 NTT196619:NTT196721 NTT262155:NTT262257 NTT327691:NTT327793 NTT393227:NTT393329 NTT458763:NTT458865 NTT524299:NTT524401 NTT589835:NTT589937 NTT655371:NTT655473 NTT720907:NTT721009 NTT786443:NTT786545 NTT851979:NTT852081 NTT917515:NTT917617 NTT983051:NTT983153 ODQ10:ODQ63 ODP65547:ODP65649 ODP131083:ODP131185 ODP196619:ODP196721 ODP262155:ODP262257 ODP327691:ODP327793 ODP393227:ODP393329 ODP458763:ODP458865 ODP524299:ODP524401 ODP589835:ODP589937 ODP655371:ODP655473 ODP720907:ODP721009 ODP786443:ODP786545 ODP851979:ODP852081 ODP917515:ODP917617 ODP983051:ODP983153 ONM10:ONM63 ONL65547:ONL65649 ONL131083:ONL131185 ONL196619:ONL196721 ONL262155:ONL262257 ONL327691:ONL327793 ONL393227:ONL393329 ONL458763:ONL458865 ONL524299:ONL524401 ONL589835:ONL589937 ONL655371:ONL655473 ONL720907:ONL721009 ONL786443:ONL786545 ONL851979:ONL852081 ONL917515:ONL917617 ONL983051:ONL983153 OXI10:OXI63 OXH65547:OXH65649 OXH131083:OXH131185 OXH196619:OXH196721 OXH262155:OXH262257 OXH327691:OXH327793 OXH393227:OXH393329 OXH458763:OXH458865 OXH524299:OXH524401 OXH589835:OXH589937 OXH655371:OXH655473 OXH720907:OXH721009 OXH786443:OXH786545 OXH851979:OXH852081 OXH917515:OXH917617 OXH983051:OXH983153 PHE10:PHE63 PHD65547:PHD65649 PHD131083:PHD131185 PHD196619:PHD196721 PHD262155:PHD262257 PHD327691:PHD327793 PHD393227:PHD393329 PHD458763:PHD458865 PHD524299:PHD524401 PHD589835:PHD589937 PHD655371:PHD655473 PHD720907:PHD721009 PHD786443:PHD786545 PHD851979:PHD852081 PHD917515:PHD917617 PHD983051:PHD983153 PRA10:PRA63 PQZ65547:PQZ65649 PQZ131083:PQZ131185 PQZ196619:PQZ196721 PQZ262155:PQZ262257 PQZ327691:PQZ327793 PQZ393227:PQZ393329 PQZ458763:PQZ458865 PQZ524299:PQZ524401 PQZ589835:PQZ589937 PQZ655371:PQZ655473 PQZ720907:PQZ721009 PQZ786443:PQZ786545 PQZ851979:PQZ852081 PQZ917515:PQZ917617 PQZ983051:PQZ983153 QAW10:QAW63 QAV65547:QAV65649 QAV131083:QAV131185 QAV196619:QAV196721 QAV262155:QAV262257 QAV327691:QAV327793 QAV393227:QAV393329 QAV458763:QAV458865 QAV524299:QAV524401 QAV589835:QAV589937 QAV655371:QAV655473 QAV720907:QAV721009 QAV786443:QAV786545 QAV851979:QAV852081 QAV917515:QAV917617 QAV983051:QAV983153 QKS10:QKS63 QKR65547:QKR65649 QKR131083:QKR131185 QKR196619:QKR196721 QKR262155:QKR262257 QKR327691:QKR327793 QKR393227:QKR393329 QKR458763:QKR458865 QKR524299:QKR524401 QKR589835:QKR589937 QKR655371:QKR655473 QKR720907:QKR721009 QKR786443:QKR786545 QKR851979:QKR852081 QKR917515:QKR917617 QKR983051:QKR983153 QUO10:QUO63 QUN65547:QUN65649 QUN131083:QUN131185 QUN196619:QUN196721 QUN262155:QUN262257 QUN327691:QUN327793 QUN393227:QUN393329 QUN458763:QUN458865 QUN524299:QUN524401 QUN589835:QUN589937 QUN655371:QUN655473 QUN720907:QUN721009 QUN786443:QUN786545 QUN851979:QUN852081 QUN917515:QUN917617 QUN983051:QUN983153 REK10:REK63 REJ65547:REJ65649 REJ131083:REJ131185 REJ196619:REJ196721 REJ262155:REJ262257 REJ327691:REJ327793 REJ393227:REJ393329 REJ458763:REJ458865 REJ524299:REJ524401 REJ589835:REJ589937 REJ655371:REJ655473 REJ720907:REJ721009 REJ786443:REJ786545 REJ851979:REJ852081 REJ917515:REJ917617 REJ983051:REJ983153 ROG10:ROG63 ROF65547:ROF65649 ROF131083:ROF131185 ROF196619:ROF196721 ROF262155:ROF262257 ROF327691:ROF327793 ROF393227:ROF393329 ROF458763:ROF458865 ROF524299:ROF524401 ROF589835:ROF589937 ROF655371:ROF655473 ROF720907:ROF721009 ROF786443:ROF786545 ROF851979:ROF852081 ROF917515:ROF917617 ROF983051:ROF983153 RYC10:RYC63 RYB65547:RYB65649 RYB131083:RYB131185 RYB196619:RYB196721 RYB262155:RYB262257 RYB327691:RYB327793 RYB393227:RYB393329 RYB458763:RYB458865 RYB524299:RYB524401 RYB589835:RYB589937 RYB655371:RYB655473 RYB720907:RYB721009 RYB786443:RYB786545 RYB851979:RYB852081 RYB917515:RYB917617 RYB983051:RYB983153 SHY10:SHY63 SHX65547:SHX65649 SHX131083:SHX131185 SHX196619:SHX196721 SHX262155:SHX262257 SHX327691:SHX327793 SHX393227:SHX393329 SHX458763:SHX458865 SHX524299:SHX524401 SHX589835:SHX589937 SHX655371:SHX655473 SHX720907:SHX721009 SHX786443:SHX786545 SHX851979:SHX852081 SHX917515:SHX917617 SHX983051:SHX983153 SRU10:SRU63 SRT65547:SRT65649 SRT131083:SRT131185 SRT196619:SRT196721 SRT262155:SRT262257 SRT327691:SRT327793 SRT393227:SRT393329 SRT458763:SRT458865 SRT524299:SRT524401 SRT589835:SRT589937 SRT655371:SRT655473 SRT720907:SRT721009 SRT786443:SRT786545 SRT851979:SRT852081 SRT917515:SRT917617 SRT983051:SRT983153 TBQ10:TBQ63 TBP65547:TBP65649 TBP131083:TBP131185 TBP196619:TBP196721 TBP262155:TBP262257 TBP327691:TBP327793 TBP393227:TBP393329 TBP458763:TBP458865 TBP524299:TBP524401 TBP589835:TBP589937 TBP655371:TBP655473 TBP720907:TBP721009 TBP786443:TBP786545 TBP851979:TBP852081 TBP917515:TBP917617 TBP983051:TBP983153 TLM10:TLM63 TLL65547:TLL65649 TLL131083:TLL131185 TLL196619:TLL196721 TLL262155:TLL262257 TLL327691:TLL327793 TLL393227:TLL393329 TLL458763:TLL458865 TLL524299:TLL524401 TLL589835:TLL589937 TLL655371:TLL655473 TLL720907:TLL721009 TLL786443:TLL786545 TLL851979:TLL852081 TLL917515:TLL917617 TLL983051:TLL983153 TVI10:TVI63 TVH65547:TVH65649 TVH131083:TVH131185 TVH196619:TVH196721 TVH262155:TVH262257 TVH327691:TVH327793 TVH393227:TVH393329 TVH458763:TVH458865 TVH524299:TVH524401 TVH589835:TVH589937 TVH655371:TVH655473 TVH720907:TVH721009 TVH786443:TVH786545 TVH851979:TVH852081 TVH917515:TVH917617 TVH983051:TVH983153 UFE10:UFE63 UFD65547:UFD65649 UFD131083:UFD131185 UFD196619:UFD196721 UFD262155:UFD262257 UFD327691:UFD327793 UFD393227:UFD393329 UFD458763:UFD458865 UFD524299:UFD524401 UFD589835:UFD589937 UFD655371:UFD655473 UFD720907:UFD721009 UFD786443:UFD786545 UFD851979:UFD852081 UFD917515:UFD917617 UFD983051:UFD983153 UPA10:UPA63 UOZ65547:UOZ65649 UOZ131083:UOZ131185 UOZ196619:UOZ196721 UOZ262155:UOZ262257 UOZ327691:UOZ327793 UOZ393227:UOZ393329 UOZ458763:UOZ458865 UOZ524299:UOZ524401 UOZ589835:UOZ589937 UOZ655371:UOZ655473 UOZ720907:UOZ721009 UOZ786443:UOZ786545 UOZ851979:UOZ852081 UOZ917515:UOZ917617 UOZ983051:UOZ983153 UYW10:UYW63 UYV65547:UYV65649 UYV131083:UYV131185 UYV196619:UYV196721 UYV262155:UYV262257 UYV327691:UYV327793 UYV393227:UYV393329 UYV458763:UYV458865 UYV524299:UYV524401 UYV589835:UYV589937 UYV655371:UYV655473 UYV720907:UYV721009 UYV786443:UYV786545 UYV851979:UYV852081 UYV917515:UYV917617 UYV983051:UYV983153 VIS10:VIS63 VIR65547:VIR65649 VIR131083:VIR131185 VIR196619:VIR196721 VIR262155:VIR262257 VIR327691:VIR327793 VIR393227:VIR393329 VIR458763:VIR458865 VIR524299:VIR524401 VIR589835:VIR589937 VIR655371:VIR655473 VIR720907:VIR721009 VIR786443:VIR786545 VIR851979:VIR852081 VIR917515:VIR917617 VIR983051:VIR983153 VSO10:VSO63 VSN65547:VSN65649 VSN131083:VSN131185 VSN196619:VSN196721 VSN262155:VSN262257 VSN327691:VSN327793 VSN393227:VSN393329 VSN458763:VSN458865 VSN524299:VSN524401 VSN589835:VSN589937 VSN655371:VSN655473 VSN720907:VSN721009 VSN786443:VSN786545 VSN851979:VSN852081 VSN917515:VSN917617 VSN983051:VSN983153 WCK10:WCK63 WCJ65547:WCJ65649 WCJ131083:WCJ131185 WCJ196619:WCJ196721 WCJ262155:WCJ262257 WCJ327691:WCJ327793 WCJ393227:WCJ393329 WCJ458763:WCJ458865 WCJ524299:WCJ524401 WCJ589835:WCJ589937 WCJ655371:WCJ655473 WCJ720907:WCJ721009 WCJ786443:WCJ786545 WCJ851979:WCJ852081 WCJ917515:WCJ917617 WCJ983051:WCJ983153 WMG10:WMG63 WMF65547:WMF65649 WMF131083:WMF131185 WMF196619:WMF196721 WMF262155:WMF262257 WMF327691:WMF327793 WMF393227:WMF393329 WMF458763:WMF458865 WMF524299:WMF524401 WMF589835:WMF589937 WMF655371:WMF655473 WMF720907:WMF721009 WMF786443:WMF786545 WMF851979:WMF852081 WMF917515:WMF917617 WMF983051:WMF983153 WWC10:WWC63 WWB983051:WWB983153 WWB65547:WWB65649 WWB131083:WWB131185 WWB196619:WWB196721 WWB262155:WWB262257 WWB327691:WWB327793 WWB393227:WWB393329 WWB458763:WWB458865 WWB524299:WWB524401 WWB589835:WWB589937 WWB655371:WWB655473 WWB720907:WWB721009 WWB786443:WWB786545 WWB851979:WWB852081 WWB917515:WWB917617 JQ10:JQ63 WWC66:WWC114 WMG66:WMG114 WCK66:WCK114 VSO66:VSO114 VIS66:VIS114 UYW66:UYW114 UPA66:UPA114 UFE66:UFE114 TVI66:TVI114 TLM66:TLM114 TBQ66:TBQ114 SRU66:SRU114 SHY66:SHY114 RYC66:RYC114 ROG66:ROG114 REK66:REK114 QUO66:QUO114 QKS66:QKS114 QAW66:QAW114 PRA66:PRA114 PHE66:PHE114 OXI66:OXI114 ONM66:ONM114 ODQ66:ODQ114 NTU66:NTU114 NJY66:NJY114 NAC66:NAC114 MQG66:MQG114 MGK66:MGK114 LWO66:LWO114 LMS66:LMS114 LCW66:LCW114 KTA66:KTA114 KJE66:KJE114 JZI66:JZI114 JPM66:JPM114 JFQ66:JFQ114 IVU66:IVU114 ILY66:ILY114 ICC66:ICC114 HSG66:HSG114 HIK66:HIK114 GYO66:GYO114 GOS66:GOS114 GEW66:GEW114 FVA66:FVA114 FLE66:FLE114 FBI66:FBI114 ERM66:ERM114 EHQ66:EHQ114 DXU66:DXU114 DNY66:DNY114 DEC66:DEC114 CUG66:CUG114 CKK66:CKK114 CAO66:CAO114 BQS66:BQS114 BGW66:BGW114 AXA66:AXA114 ANE66:ANE114 ADI66:ADI114 TM66:TM114 JQ66:JQ114" xr:uid="{22612EFD-DCE5-43FD-8AAC-B63E0A4CC99E}"/>
    <dataValidation allowBlank="1" showInputMessage="1" showErrorMessage="1" prompt="Quarterly Assessment Weighted Score" sqref="V65547:V65649 V131083:V131185 V196619:V196721 V262155:V262257 V327691:V327793 V393227:V393329 V458763:V458865 V524299:V524401 V589835:V589937 V655371:V655473 V720907:V721009 V786443:V786545 V851979:V852081 V917515:V917617 V983051:V983153 JO65547:JO65649 JO131083:JO131185 JO196619:JO196721 JO262155:JO262257 JO327691:JO327793 JO393227:JO393329 JO458763:JO458865 JO524299:JO524401 JO589835:JO589937 JO655371:JO655473 JO720907:JO721009 JO786443:JO786545 JO851979:JO852081 JO917515:JO917617 JO983051:JO983153 TL10:TL63 TK65547:TK65649 TK131083:TK131185 TK196619:TK196721 TK262155:TK262257 TK327691:TK327793 TK393227:TK393329 TK458763:TK458865 TK524299:TK524401 TK589835:TK589937 TK655371:TK655473 TK720907:TK721009 TK786443:TK786545 TK851979:TK852081 TK917515:TK917617 TK983051:TK983153 ADH10:ADH63 ADG65547:ADG65649 ADG131083:ADG131185 ADG196619:ADG196721 ADG262155:ADG262257 ADG327691:ADG327793 ADG393227:ADG393329 ADG458763:ADG458865 ADG524299:ADG524401 ADG589835:ADG589937 ADG655371:ADG655473 ADG720907:ADG721009 ADG786443:ADG786545 ADG851979:ADG852081 ADG917515:ADG917617 ADG983051:ADG983153 AND10:AND63 ANC65547:ANC65649 ANC131083:ANC131185 ANC196619:ANC196721 ANC262155:ANC262257 ANC327691:ANC327793 ANC393227:ANC393329 ANC458763:ANC458865 ANC524299:ANC524401 ANC589835:ANC589937 ANC655371:ANC655473 ANC720907:ANC721009 ANC786443:ANC786545 ANC851979:ANC852081 ANC917515:ANC917617 ANC983051:ANC983153 AWZ10:AWZ63 AWY65547:AWY65649 AWY131083:AWY131185 AWY196619:AWY196721 AWY262155:AWY262257 AWY327691:AWY327793 AWY393227:AWY393329 AWY458763:AWY458865 AWY524299:AWY524401 AWY589835:AWY589937 AWY655371:AWY655473 AWY720907:AWY721009 AWY786443:AWY786545 AWY851979:AWY852081 AWY917515:AWY917617 AWY983051:AWY983153 BGV10:BGV63 BGU65547:BGU65649 BGU131083:BGU131185 BGU196619:BGU196721 BGU262155:BGU262257 BGU327691:BGU327793 BGU393227:BGU393329 BGU458763:BGU458865 BGU524299:BGU524401 BGU589835:BGU589937 BGU655371:BGU655473 BGU720907:BGU721009 BGU786443:BGU786545 BGU851979:BGU852081 BGU917515:BGU917617 BGU983051:BGU983153 BQR10:BQR63 BQQ65547:BQQ65649 BQQ131083:BQQ131185 BQQ196619:BQQ196721 BQQ262155:BQQ262257 BQQ327691:BQQ327793 BQQ393227:BQQ393329 BQQ458763:BQQ458865 BQQ524299:BQQ524401 BQQ589835:BQQ589937 BQQ655371:BQQ655473 BQQ720907:BQQ721009 BQQ786443:BQQ786545 BQQ851979:BQQ852081 BQQ917515:BQQ917617 BQQ983051:BQQ983153 CAN10:CAN63 CAM65547:CAM65649 CAM131083:CAM131185 CAM196619:CAM196721 CAM262155:CAM262257 CAM327691:CAM327793 CAM393227:CAM393329 CAM458763:CAM458865 CAM524299:CAM524401 CAM589835:CAM589937 CAM655371:CAM655473 CAM720907:CAM721009 CAM786443:CAM786545 CAM851979:CAM852081 CAM917515:CAM917617 CAM983051:CAM983153 CKJ10:CKJ63 CKI65547:CKI65649 CKI131083:CKI131185 CKI196619:CKI196721 CKI262155:CKI262257 CKI327691:CKI327793 CKI393227:CKI393329 CKI458763:CKI458865 CKI524299:CKI524401 CKI589835:CKI589937 CKI655371:CKI655473 CKI720907:CKI721009 CKI786443:CKI786545 CKI851979:CKI852081 CKI917515:CKI917617 CKI983051:CKI983153 CUF10:CUF63 CUE65547:CUE65649 CUE131083:CUE131185 CUE196619:CUE196721 CUE262155:CUE262257 CUE327691:CUE327793 CUE393227:CUE393329 CUE458763:CUE458865 CUE524299:CUE524401 CUE589835:CUE589937 CUE655371:CUE655473 CUE720907:CUE721009 CUE786443:CUE786545 CUE851979:CUE852081 CUE917515:CUE917617 CUE983051:CUE983153 DEB10:DEB63 DEA65547:DEA65649 DEA131083:DEA131185 DEA196619:DEA196721 DEA262155:DEA262257 DEA327691:DEA327793 DEA393227:DEA393329 DEA458763:DEA458865 DEA524299:DEA524401 DEA589835:DEA589937 DEA655371:DEA655473 DEA720907:DEA721009 DEA786443:DEA786545 DEA851979:DEA852081 DEA917515:DEA917617 DEA983051:DEA983153 DNX10:DNX63 DNW65547:DNW65649 DNW131083:DNW131185 DNW196619:DNW196721 DNW262155:DNW262257 DNW327691:DNW327793 DNW393227:DNW393329 DNW458763:DNW458865 DNW524299:DNW524401 DNW589835:DNW589937 DNW655371:DNW655473 DNW720907:DNW721009 DNW786443:DNW786545 DNW851979:DNW852081 DNW917515:DNW917617 DNW983051:DNW983153 DXT10:DXT63 DXS65547:DXS65649 DXS131083:DXS131185 DXS196619:DXS196721 DXS262155:DXS262257 DXS327691:DXS327793 DXS393227:DXS393329 DXS458763:DXS458865 DXS524299:DXS524401 DXS589835:DXS589937 DXS655371:DXS655473 DXS720907:DXS721009 DXS786443:DXS786545 DXS851979:DXS852081 DXS917515:DXS917617 DXS983051:DXS983153 EHP10:EHP63 EHO65547:EHO65649 EHO131083:EHO131185 EHO196619:EHO196721 EHO262155:EHO262257 EHO327691:EHO327793 EHO393227:EHO393329 EHO458763:EHO458865 EHO524299:EHO524401 EHO589835:EHO589937 EHO655371:EHO655473 EHO720907:EHO721009 EHO786443:EHO786545 EHO851979:EHO852081 EHO917515:EHO917617 EHO983051:EHO983153 ERL10:ERL63 ERK65547:ERK65649 ERK131083:ERK131185 ERK196619:ERK196721 ERK262155:ERK262257 ERK327691:ERK327793 ERK393227:ERK393329 ERK458763:ERK458865 ERK524299:ERK524401 ERK589835:ERK589937 ERK655371:ERK655473 ERK720907:ERK721009 ERK786443:ERK786545 ERK851979:ERK852081 ERK917515:ERK917617 ERK983051:ERK983153 FBH10:FBH63 FBG65547:FBG65649 FBG131083:FBG131185 FBG196619:FBG196721 FBG262155:FBG262257 FBG327691:FBG327793 FBG393227:FBG393329 FBG458763:FBG458865 FBG524299:FBG524401 FBG589835:FBG589937 FBG655371:FBG655473 FBG720907:FBG721009 FBG786443:FBG786545 FBG851979:FBG852081 FBG917515:FBG917617 FBG983051:FBG983153 FLD10:FLD63 FLC65547:FLC65649 FLC131083:FLC131185 FLC196619:FLC196721 FLC262155:FLC262257 FLC327691:FLC327793 FLC393227:FLC393329 FLC458763:FLC458865 FLC524299:FLC524401 FLC589835:FLC589937 FLC655371:FLC655473 FLC720907:FLC721009 FLC786443:FLC786545 FLC851979:FLC852081 FLC917515:FLC917617 FLC983051:FLC983153 FUZ10:FUZ63 FUY65547:FUY65649 FUY131083:FUY131185 FUY196619:FUY196721 FUY262155:FUY262257 FUY327691:FUY327793 FUY393227:FUY393329 FUY458763:FUY458865 FUY524299:FUY524401 FUY589835:FUY589937 FUY655371:FUY655473 FUY720907:FUY721009 FUY786443:FUY786545 FUY851979:FUY852081 FUY917515:FUY917617 FUY983051:FUY983153 GEV10:GEV63 GEU65547:GEU65649 GEU131083:GEU131185 GEU196619:GEU196721 GEU262155:GEU262257 GEU327691:GEU327793 GEU393227:GEU393329 GEU458763:GEU458865 GEU524299:GEU524401 GEU589835:GEU589937 GEU655371:GEU655473 GEU720907:GEU721009 GEU786443:GEU786545 GEU851979:GEU852081 GEU917515:GEU917617 GEU983051:GEU983153 GOR10:GOR63 GOQ65547:GOQ65649 GOQ131083:GOQ131185 GOQ196619:GOQ196721 GOQ262155:GOQ262257 GOQ327691:GOQ327793 GOQ393227:GOQ393329 GOQ458763:GOQ458865 GOQ524299:GOQ524401 GOQ589835:GOQ589937 GOQ655371:GOQ655473 GOQ720907:GOQ721009 GOQ786443:GOQ786545 GOQ851979:GOQ852081 GOQ917515:GOQ917617 GOQ983051:GOQ983153 GYN10:GYN63 GYM65547:GYM65649 GYM131083:GYM131185 GYM196619:GYM196721 GYM262155:GYM262257 GYM327691:GYM327793 GYM393227:GYM393329 GYM458763:GYM458865 GYM524299:GYM524401 GYM589835:GYM589937 GYM655371:GYM655473 GYM720907:GYM721009 GYM786443:GYM786545 GYM851979:GYM852081 GYM917515:GYM917617 GYM983051:GYM983153 HIJ10:HIJ63 HII65547:HII65649 HII131083:HII131185 HII196619:HII196721 HII262155:HII262257 HII327691:HII327793 HII393227:HII393329 HII458763:HII458865 HII524299:HII524401 HII589835:HII589937 HII655371:HII655473 HII720907:HII721009 HII786443:HII786545 HII851979:HII852081 HII917515:HII917617 HII983051:HII983153 HSF10:HSF63 HSE65547:HSE65649 HSE131083:HSE131185 HSE196619:HSE196721 HSE262155:HSE262257 HSE327691:HSE327793 HSE393227:HSE393329 HSE458763:HSE458865 HSE524299:HSE524401 HSE589835:HSE589937 HSE655371:HSE655473 HSE720907:HSE721009 HSE786443:HSE786545 HSE851979:HSE852081 HSE917515:HSE917617 HSE983051:HSE983153 ICB10:ICB63 ICA65547:ICA65649 ICA131083:ICA131185 ICA196619:ICA196721 ICA262155:ICA262257 ICA327691:ICA327793 ICA393227:ICA393329 ICA458763:ICA458865 ICA524299:ICA524401 ICA589835:ICA589937 ICA655371:ICA655473 ICA720907:ICA721009 ICA786443:ICA786545 ICA851979:ICA852081 ICA917515:ICA917617 ICA983051:ICA983153 ILX10:ILX63 ILW65547:ILW65649 ILW131083:ILW131185 ILW196619:ILW196721 ILW262155:ILW262257 ILW327691:ILW327793 ILW393227:ILW393329 ILW458763:ILW458865 ILW524299:ILW524401 ILW589835:ILW589937 ILW655371:ILW655473 ILW720907:ILW721009 ILW786443:ILW786545 ILW851979:ILW852081 ILW917515:ILW917617 ILW983051:ILW983153 IVT10:IVT63 IVS65547:IVS65649 IVS131083:IVS131185 IVS196619:IVS196721 IVS262155:IVS262257 IVS327691:IVS327793 IVS393227:IVS393329 IVS458763:IVS458865 IVS524299:IVS524401 IVS589835:IVS589937 IVS655371:IVS655473 IVS720907:IVS721009 IVS786443:IVS786545 IVS851979:IVS852081 IVS917515:IVS917617 IVS983051:IVS983153 JFP10:JFP63 JFO65547:JFO65649 JFO131083:JFO131185 JFO196619:JFO196721 JFO262155:JFO262257 JFO327691:JFO327793 JFO393227:JFO393329 JFO458763:JFO458865 JFO524299:JFO524401 JFO589835:JFO589937 JFO655371:JFO655473 JFO720907:JFO721009 JFO786443:JFO786545 JFO851979:JFO852081 JFO917515:JFO917617 JFO983051:JFO983153 JPL10:JPL63 JPK65547:JPK65649 JPK131083:JPK131185 JPK196619:JPK196721 JPK262155:JPK262257 JPK327691:JPK327793 JPK393227:JPK393329 JPK458763:JPK458865 JPK524299:JPK524401 JPK589835:JPK589937 JPK655371:JPK655473 JPK720907:JPK721009 JPK786443:JPK786545 JPK851979:JPK852081 JPK917515:JPK917617 JPK983051:JPK983153 JZH10:JZH63 JZG65547:JZG65649 JZG131083:JZG131185 JZG196619:JZG196721 JZG262155:JZG262257 JZG327691:JZG327793 JZG393227:JZG393329 JZG458763:JZG458865 JZG524299:JZG524401 JZG589835:JZG589937 JZG655371:JZG655473 JZG720907:JZG721009 JZG786443:JZG786545 JZG851979:JZG852081 JZG917515:JZG917617 JZG983051:JZG983153 KJD10:KJD63 KJC65547:KJC65649 KJC131083:KJC131185 KJC196619:KJC196721 KJC262155:KJC262257 KJC327691:KJC327793 KJC393227:KJC393329 KJC458763:KJC458865 KJC524299:KJC524401 KJC589835:KJC589937 KJC655371:KJC655473 KJC720907:KJC721009 KJC786443:KJC786545 KJC851979:KJC852081 KJC917515:KJC917617 KJC983051:KJC983153 KSZ10:KSZ63 KSY65547:KSY65649 KSY131083:KSY131185 KSY196619:KSY196721 KSY262155:KSY262257 KSY327691:KSY327793 KSY393227:KSY393329 KSY458763:KSY458865 KSY524299:KSY524401 KSY589835:KSY589937 KSY655371:KSY655473 KSY720907:KSY721009 KSY786443:KSY786545 KSY851979:KSY852081 KSY917515:KSY917617 KSY983051:KSY983153 LCV10:LCV63 LCU65547:LCU65649 LCU131083:LCU131185 LCU196619:LCU196721 LCU262155:LCU262257 LCU327691:LCU327793 LCU393227:LCU393329 LCU458763:LCU458865 LCU524299:LCU524401 LCU589835:LCU589937 LCU655371:LCU655473 LCU720907:LCU721009 LCU786443:LCU786545 LCU851979:LCU852081 LCU917515:LCU917617 LCU983051:LCU983153 LMR10:LMR63 LMQ65547:LMQ65649 LMQ131083:LMQ131185 LMQ196619:LMQ196721 LMQ262155:LMQ262257 LMQ327691:LMQ327793 LMQ393227:LMQ393329 LMQ458763:LMQ458865 LMQ524299:LMQ524401 LMQ589835:LMQ589937 LMQ655371:LMQ655473 LMQ720907:LMQ721009 LMQ786443:LMQ786545 LMQ851979:LMQ852081 LMQ917515:LMQ917617 LMQ983051:LMQ983153 LWN10:LWN63 LWM65547:LWM65649 LWM131083:LWM131185 LWM196619:LWM196721 LWM262155:LWM262257 LWM327691:LWM327793 LWM393227:LWM393329 LWM458763:LWM458865 LWM524299:LWM524401 LWM589835:LWM589937 LWM655371:LWM655473 LWM720907:LWM721009 LWM786443:LWM786545 LWM851979:LWM852081 LWM917515:LWM917617 LWM983051:LWM983153 MGJ10:MGJ63 MGI65547:MGI65649 MGI131083:MGI131185 MGI196619:MGI196721 MGI262155:MGI262257 MGI327691:MGI327793 MGI393227:MGI393329 MGI458763:MGI458865 MGI524299:MGI524401 MGI589835:MGI589937 MGI655371:MGI655473 MGI720907:MGI721009 MGI786443:MGI786545 MGI851979:MGI852081 MGI917515:MGI917617 MGI983051:MGI983153 MQF10:MQF63 MQE65547:MQE65649 MQE131083:MQE131185 MQE196619:MQE196721 MQE262155:MQE262257 MQE327691:MQE327793 MQE393227:MQE393329 MQE458763:MQE458865 MQE524299:MQE524401 MQE589835:MQE589937 MQE655371:MQE655473 MQE720907:MQE721009 MQE786443:MQE786545 MQE851979:MQE852081 MQE917515:MQE917617 MQE983051:MQE983153 NAB10:NAB63 NAA65547:NAA65649 NAA131083:NAA131185 NAA196619:NAA196721 NAA262155:NAA262257 NAA327691:NAA327793 NAA393227:NAA393329 NAA458763:NAA458865 NAA524299:NAA524401 NAA589835:NAA589937 NAA655371:NAA655473 NAA720907:NAA721009 NAA786443:NAA786545 NAA851979:NAA852081 NAA917515:NAA917617 NAA983051:NAA983153 NJX10:NJX63 NJW65547:NJW65649 NJW131083:NJW131185 NJW196619:NJW196721 NJW262155:NJW262257 NJW327691:NJW327793 NJW393227:NJW393329 NJW458763:NJW458865 NJW524299:NJW524401 NJW589835:NJW589937 NJW655371:NJW655473 NJW720907:NJW721009 NJW786443:NJW786545 NJW851979:NJW852081 NJW917515:NJW917617 NJW983051:NJW983153 NTT10:NTT63 NTS65547:NTS65649 NTS131083:NTS131185 NTS196619:NTS196721 NTS262155:NTS262257 NTS327691:NTS327793 NTS393227:NTS393329 NTS458763:NTS458865 NTS524299:NTS524401 NTS589835:NTS589937 NTS655371:NTS655473 NTS720907:NTS721009 NTS786443:NTS786545 NTS851979:NTS852081 NTS917515:NTS917617 NTS983051:NTS983153 ODP10:ODP63 ODO65547:ODO65649 ODO131083:ODO131185 ODO196619:ODO196721 ODO262155:ODO262257 ODO327691:ODO327793 ODO393227:ODO393329 ODO458763:ODO458865 ODO524299:ODO524401 ODO589835:ODO589937 ODO655371:ODO655473 ODO720907:ODO721009 ODO786443:ODO786545 ODO851979:ODO852081 ODO917515:ODO917617 ODO983051:ODO983153 ONL10:ONL63 ONK65547:ONK65649 ONK131083:ONK131185 ONK196619:ONK196721 ONK262155:ONK262257 ONK327691:ONK327793 ONK393227:ONK393329 ONK458763:ONK458865 ONK524299:ONK524401 ONK589835:ONK589937 ONK655371:ONK655473 ONK720907:ONK721009 ONK786443:ONK786545 ONK851979:ONK852081 ONK917515:ONK917617 ONK983051:ONK983153 OXH10:OXH63 OXG65547:OXG65649 OXG131083:OXG131185 OXG196619:OXG196721 OXG262155:OXG262257 OXG327691:OXG327793 OXG393227:OXG393329 OXG458763:OXG458865 OXG524299:OXG524401 OXG589835:OXG589937 OXG655371:OXG655473 OXG720907:OXG721009 OXG786443:OXG786545 OXG851979:OXG852081 OXG917515:OXG917617 OXG983051:OXG983153 PHD10:PHD63 PHC65547:PHC65649 PHC131083:PHC131185 PHC196619:PHC196721 PHC262155:PHC262257 PHC327691:PHC327793 PHC393227:PHC393329 PHC458763:PHC458865 PHC524299:PHC524401 PHC589835:PHC589937 PHC655371:PHC655473 PHC720907:PHC721009 PHC786443:PHC786545 PHC851979:PHC852081 PHC917515:PHC917617 PHC983051:PHC983153 PQZ10:PQZ63 PQY65547:PQY65649 PQY131083:PQY131185 PQY196619:PQY196721 PQY262155:PQY262257 PQY327691:PQY327793 PQY393227:PQY393329 PQY458763:PQY458865 PQY524299:PQY524401 PQY589835:PQY589937 PQY655371:PQY655473 PQY720907:PQY721009 PQY786443:PQY786545 PQY851979:PQY852081 PQY917515:PQY917617 PQY983051:PQY983153 QAV10:QAV63 QAU65547:QAU65649 QAU131083:QAU131185 QAU196619:QAU196721 QAU262155:QAU262257 QAU327691:QAU327793 QAU393227:QAU393329 QAU458763:QAU458865 QAU524299:QAU524401 QAU589835:QAU589937 QAU655371:QAU655473 QAU720907:QAU721009 QAU786443:QAU786545 QAU851979:QAU852081 QAU917515:QAU917617 QAU983051:QAU983153 QKR10:QKR63 QKQ65547:QKQ65649 QKQ131083:QKQ131185 QKQ196619:QKQ196721 QKQ262155:QKQ262257 QKQ327691:QKQ327793 QKQ393227:QKQ393329 QKQ458763:QKQ458865 QKQ524299:QKQ524401 QKQ589835:QKQ589937 QKQ655371:QKQ655473 QKQ720907:QKQ721009 QKQ786443:QKQ786545 QKQ851979:QKQ852081 QKQ917515:QKQ917617 QKQ983051:QKQ983153 QUN10:QUN63 QUM65547:QUM65649 QUM131083:QUM131185 QUM196619:QUM196721 QUM262155:QUM262257 QUM327691:QUM327793 QUM393227:QUM393329 QUM458763:QUM458865 QUM524299:QUM524401 QUM589835:QUM589937 QUM655371:QUM655473 QUM720907:QUM721009 QUM786443:QUM786545 QUM851979:QUM852081 QUM917515:QUM917617 QUM983051:QUM983153 REJ10:REJ63 REI65547:REI65649 REI131083:REI131185 REI196619:REI196721 REI262155:REI262257 REI327691:REI327793 REI393227:REI393329 REI458763:REI458865 REI524299:REI524401 REI589835:REI589937 REI655371:REI655473 REI720907:REI721009 REI786443:REI786545 REI851979:REI852081 REI917515:REI917617 REI983051:REI983153 ROF10:ROF63 ROE65547:ROE65649 ROE131083:ROE131185 ROE196619:ROE196721 ROE262155:ROE262257 ROE327691:ROE327793 ROE393227:ROE393329 ROE458763:ROE458865 ROE524299:ROE524401 ROE589835:ROE589937 ROE655371:ROE655473 ROE720907:ROE721009 ROE786443:ROE786545 ROE851979:ROE852081 ROE917515:ROE917617 ROE983051:ROE983153 RYB10:RYB63 RYA65547:RYA65649 RYA131083:RYA131185 RYA196619:RYA196721 RYA262155:RYA262257 RYA327691:RYA327793 RYA393227:RYA393329 RYA458763:RYA458865 RYA524299:RYA524401 RYA589835:RYA589937 RYA655371:RYA655473 RYA720907:RYA721009 RYA786443:RYA786545 RYA851979:RYA852081 RYA917515:RYA917617 RYA983051:RYA983153 SHX10:SHX63 SHW65547:SHW65649 SHW131083:SHW131185 SHW196619:SHW196721 SHW262155:SHW262257 SHW327691:SHW327793 SHW393227:SHW393329 SHW458763:SHW458865 SHW524299:SHW524401 SHW589835:SHW589937 SHW655371:SHW655473 SHW720907:SHW721009 SHW786443:SHW786545 SHW851979:SHW852081 SHW917515:SHW917617 SHW983051:SHW983153 SRT10:SRT63 SRS65547:SRS65649 SRS131083:SRS131185 SRS196619:SRS196721 SRS262155:SRS262257 SRS327691:SRS327793 SRS393227:SRS393329 SRS458763:SRS458865 SRS524299:SRS524401 SRS589835:SRS589937 SRS655371:SRS655473 SRS720907:SRS721009 SRS786443:SRS786545 SRS851979:SRS852081 SRS917515:SRS917617 SRS983051:SRS983153 TBP10:TBP63 TBO65547:TBO65649 TBO131083:TBO131185 TBO196619:TBO196721 TBO262155:TBO262257 TBO327691:TBO327793 TBO393227:TBO393329 TBO458763:TBO458865 TBO524299:TBO524401 TBO589835:TBO589937 TBO655371:TBO655473 TBO720907:TBO721009 TBO786443:TBO786545 TBO851979:TBO852081 TBO917515:TBO917617 TBO983051:TBO983153 TLL10:TLL63 TLK65547:TLK65649 TLK131083:TLK131185 TLK196619:TLK196721 TLK262155:TLK262257 TLK327691:TLK327793 TLK393227:TLK393329 TLK458763:TLK458865 TLK524299:TLK524401 TLK589835:TLK589937 TLK655371:TLK655473 TLK720907:TLK721009 TLK786443:TLK786545 TLK851979:TLK852081 TLK917515:TLK917617 TLK983051:TLK983153 TVH10:TVH63 TVG65547:TVG65649 TVG131083:TVG131185 TVG196619:TVG196721 TVG262155:TVG262257 TVG327691:TVG327793 TVG393227:TVG393329 TVG458763:TVG458865 TVG524299:TVG524401 TVG589835:TVG589937 TVG655371:TVG655473 TVG720907:TVG721009 TVG786443:TVG786545 TVG851979:TVG852081 TVG917515:TVG917617 TVG983051:TVG983153 UFD10:UFD63 UFC65547:UFC65649 UFC131083:UFC131185 UFC196619:UFC196721 UFC262155:UFC262257 UFC327691:UFC327793 UFC393227:UFC393329 UFC458763:UFC458865 UFC524299:UFC524401 UFC589835:UFC589937 UFC655371:UFC655473 UFC720907:UFC721009 UFC786443:UFC786545 UFC851979:UFC852081 UFC917515:UFC917617 UFC983051:UFC983153 UOZ10:UOZ63 UOY65547:UOY65649 UOY131083:UOY131185 UOY196619:UOY196721 UOY262155:UOY262257 UOY327691:UOY327793 UOY393227:UOY393329 UOY458763:UOY458865 UOY524299:UOY524401 UOY589835:UOY589937 UOY655371:UOY655473 UOY720907:UOY721009 UOY786443:UOY786545 UOY851979:UOY852081 UOY917515:UOY917617 UOY983051:UOY983153 UYV10:UYV63 UYU65547:UYU65649 UYU131083:UYU131185 UYU196619:UYU196721 UYU262155:UYU262257 UYU327691:UYU327793 UYU393227:UYU393329 UYU458763:UYU458865 UYU524299:UYU524401 UYU589835:UYU589937 UYU655371:UYU655473 UYU720907:UYU721009 UYU786443:UYU786545 UYU851979:UYU852081 UYU917515:UYU917617 UYU983051:UYU983153 VIR10:VIR63 VIQ65547:VIQ65649 VIQ131083:VIQ131185 VIQ196619:VIQ196721 VIQ262155:VIQ262257 VIQ327691:VIQ327793 VIQ393227:VIQ393329 VIQ458763:VIQ458865 VIQ524299:VIQ524401 VIQ589835:VIQ589937 VIQ655371:VIQ655473 VIQ720907:VIQ721009 VIQ786443:VIQ786545 VIQ851979:VIQ852081 VIQ917515:VIQ917617 VIQ983051:VIQ983153 VSN10:VSN63 VSM65547:VSM65649 VSM131083:VSM131185 VSM196619:VSM196721 VSM262155:VSM262257 VSM327691:VSM327793 VSM393227:VSM393329 VSM458763:VSM458865 VSM524299:VSM524401 VSM589835:VSM589937 VSM655371:VSM655473 VSM720907:VSM721009 VSM786443:VSM786545 VSM851979:VSM852081 VSM917515:VSM917617 VSM983051:VSM983153 WCJ10:WCJ63 WCI65547:WCI65649 WCI131083:WCI131185 WCI196619:WCI196721 WCI262155:WCI262257 WCI327691:WCI327793 WCI393227:WCI393329 WCI458763:WCI458865 WCI524299:WCI524401 WCI589835:WCI589937 WCI655371:WCI655473 WCI720907:WCI721009 WCI786443:WCI786545 WCI851979:WCI852081 WCI917515:WCI917617 WCI983051:WCI983153 WMF10:WMF63 WME65547:WME65649 WME131083:WME131185 WME196619:WME196721 WME262155:WME262257 WME327691:WME327793 WME393227:WME393329 WME458763:WME458865 WME524299:WME524401 WME589835:WME589937 WME655371:WME655473 WME720907:WME721009 WME786443:WME786545 WME851979:WME852081 WME917515:WME917617 WME983051:WME983153 WWB10:WWB63 WWA983051:WWA983153 WWA65547:WWA65649 WWA131083:WWA131185 WWA196619:WWA196721 WWA262155:WWA262257 WWA327691:WWA327793 WWA393227:WWA393329 WWA458763:WWA458865 WWA524299:WWA524401 WWA589835:WWA589937 WWA655371:WWA655473 WWA720907:WWA721009 WWA786443:WWA786545 WWA851979:WWA852081 WWA917515:WWA917617 JP10:JP63 WWB66:WWB114 WMF66:WMF114 WCJ66:WCJ114 VSN66:VSN114 VIR66:VIR114 UYV66:UYV114 UOZ66:UOZ114 UFD66:UFD114 TVH66:TVH114 TLL66:TLL114 TBP66:TBP114 SRT66:SRT114 SHX66:SHX114 RYB66:RYB114 ROF66:ROF114 REJ66:REJ114 QUN66:QUN114 QKR66:QKR114 QAV66:QAV114 PQZ66:PQZ114 PHD66:PHD114 OXH66:OXH114 ONL66:ONL114 ODP66:ODP114 NTT66:NTT114 NJX66:NJX114 NAB66:NAB114 MQF66:MQF114 MGJ66:MGJ114 LWN66:LWN114 LMR66:LMR114 LCV66:LCV114 KSZ66:KSZ114 KJD66:KJD114 JZH66:JZH114 JPL66:JPL114 JFP66:JFP114 IVT66:IVT114 ILX66:ILX114 ICB66:ICB114 HSF66:HSF114 HIJ66:HIJ114 GYN66:GYN114 GOR66:GOR114 GEV66:GEV114 FUZ66:FUZ114 FLD66:FLD114 FBH66:FBH114 ERL66:ERL114 EHP66:EHP114 DXT66:DXT114 DNX66:DNX114 DEB66:DEB114 CUF66:CUF114 CKJ66:CKJ114 CAN66:CAN114 BQR66:BQR114 BGV66:BGV114 AWZ66:AWZ114 AND66:AND114 ADH66:ADH114 TL66:TL114 JP66:JP114" xr:uid="{FFD00705-F792-4921-AF1E-F7B11EC45386}"/>
    <dataValidation allowBlank="1" showInputMessage="1" showErrorMessage="1" prompt="Quarterly Assessment Percentage Score" sqref="U65547:U65649 U131083:U131185 U196619:U196721 U262155:U262257 U327691:U327793 U393227:U393329 U458763:U458865 U524299:U524401 U589835:U589937 U655371:U655473 U720907:U721009 U786443:U786545 U851979:U852081 U917515:U917617 U983051:U983153 JN65547:JN65649 JN131083:JN131185 JN196619:JN196721 JN262155:JN262257 JN327691:JN327793 JN393227:JN393329 JN458763:JN458865 JN524299:JN524401 JN589835:JN589937 JN655371:JN655473 JN720907:JN721009 JN786443:JN786545 JN851979:JN852081 JN917515:JN917617 JN983051:JN983153 TK10:TK63 TJ65547:TJ65649 TJ131083:TJ131185 TJ196619:TJ196721 TJ262155:TJ262257 TJ327691:TJ327793 TJ393227:TJ393329 TJ458763:TJ458865 TJ524299:TJ524401 TJ589835:TJ589937 TJ655371:TJ655473 TJ720907:TJ721009 TJ786443:TJ786545 TJ851979:TJ852081 TJ917515:TJ917617 TJ983051:TJ983153 ADG10:ADG6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C10:ANC6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Y10:AWY6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U10:BGU6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Q10:BQQ6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M10:CAM6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I10:CKI6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E10:CUE6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EA10:DEA6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W10:DNW6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S10:DXS6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O10:EHO6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K10:ERK6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G10:FBG6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C10:FLC6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Y10:FUY6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U10:GEU6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Q10:GOQ6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M10:GYM6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I10:HII6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E10:HSE6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CA10:ICA6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W10:ILW6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S10:IVS6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O10:JFO6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K10:JPK6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G10:JZG6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C10:KJC6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Y10:KSY6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U10:LCU6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Q10:LMQ6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M10:LWM6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I10:MGI6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E10:MQE6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NAA10:NAA6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W10:NJW6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S10:NTS6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O10:ODO6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K10:ONK6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G10:OXG6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C10:PHC6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Y10:PQY6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U10:QAU6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Q10:QKQ6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M10:QUM6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I10:REI6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E10:ROE6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YA10:RYA6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W10:SHW6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S10:SRS6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O10:TBO6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K10:TLK6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G10:TVG6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C10:UFC6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Y10:UOY6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U10:UYU6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Q10:VIQ6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M10:VSM6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I10:WCI6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E10:WME6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WA10:WWA63 WVZ983051:WVZ983153 WVZ65547:WVZ65649 WVZ131083:WVZ131185 WVZ196619:WVZ196721 WVZ262155:WVZ262257 WVZ327691:WVZ327793 WVZ393227:WVZ393329 WVZ458763:WVZ458865 WVZ524299:WVZ524401 WVZ589835:WVZ589937 WVZ655371:WVZ655473 WVZ720907:WVZ721009 WVZ786443:WVZ786545 WVZ851979:WVZ852081 WVZ917515:WVZ917617 JO10:JO63 WWA66:WWA114 WME66:WME114 WCI66:WCI114 VSM66:VSM114 VIQ66:VIQ114 UYU66:UYU114 UOY66:UOY114 UFC66:UFC114 TVG66:TVG114 TLK66:TLK114 TBO66:TBO114 SRS66:SRS114 SHW66:SHW114 RYA66:RYA114 ROE66:ROE114 REI66:REI114 QUM66:QUM114 QKQ66:QKQ114 QAU66:QAU114 PQY66:PQY114 PHC66:PHC114 OXG66:OXG114 ONK66:ONK114 ODO66:ODO114 NTS66:NTS114 NJW66:NJW114 NAA66:NAA114 MQE66:MQE114 MGI66:MGI114 LWM66:LWM114 LMQ66:LMQ114 LCU66:LCU114 KSY66:KSY114 KJC66:KJC114 JZG66:JZG114 JPK66:JPK114 JFO66:JFO114 IVS66:IVS114 ILW66:ILW114 ICA66:ICA114 HSE66:HSE114 HII66:HII114 GYM66:GYM114 GOQ66:GOQ114 GEU66:GEU114 FUY66:FUY114 FLC66:FLC114 FBG66:FBG114 ERK66:ERK114 EHO66:EHO114 DXS66:DXS114 DNW66:DNW114 DEA66:DEA114 CUE66:CUE114 CKI66:CKI114 CAM66:CAM114 BQQ66:BQQ114 BGU66:BGU114 AWY66:AWY114 ANC66:ANC114 ADG66:ADG114 TK66:TK114 JO66:JO114" xr:uid="{3351F232-4E6F-44AF-AEDE-B060A2BB3C54}"/>
    <dataValidation allowBlank="1" showInputMessage="1" showErrorMessage="1" prompt="INPUT Quarterly Assessment Highest Possible Score" sqref="S65547:T65548 S131083:T131084 S196619:T196620 S262155:T262156 S327691:T327692 S393227:T393228 S458763:T458764 S524299:T524300 S589835:T589836 S655371:T655372 S720907:T720908 S786443:T786444 S851979:T851980 S917515:T917516 S983051:T983052 JN10:JN12 JM65547:JM65548 JM131083:JM131084 JM196619:JM196620 JM262155:JM262156 JM327691:JM327692 JM393227:JM393228 JM458763:JM458764 JM524299:JM524300 JM589835:JM589836 JM655371:JM655372 JM720907:JM720908 JM786443:JM786444 JM851979:JM851980 JM917515:JM917516 JM983051:JM983052 TJ10:TJ12 TI65547:TI65548 TI131083:TI131084 TI196619:TI196620 TI262155:TI262156 TI327691:TI327692 TI393227:TI393228 TI458763:TI458764 TI524299:TI524300 TI589835:TI589836 TI655371:TI655372 TI720907:TI720908 TI786443:TI786444 TI851979:TI851980 TI917515:TI917516 TI983051:TI983052 ADF10:ADF12 ADE65547:ADE65548 ADE131083:ADE131084 ADE196619:ADE196620 ADE262155:ADE262156 ADE327691:ADE327692 ADE393227:ADE393228 ADE458763:ADE458764 ADE524299:ADE524300 ADE589835:ADE589836 ADE655371:ADE655372 ADE720907:ADE720908 ADE786443:ADE786444 ADE851979:ADE851980 ADE917515:ADE917516 ADE983051:ADE983052 ANB10:ANB12 ANA65547:ANA65548 ANA131083:ANA131084 ANA196619:ANA196620 ANA262155:ANA262156 ANA327691:ANA327692 ANA393227:ANA393228 ANA458763:ANA458764 ANA524299:ANA524300 ANA589835:ANA589836 ANA655371:ANA655372 ANA720907:ANA720908 ANA786443:ANA786444 ANA851979:ANA851980 ANA917515:ANA917516 ANA983051:ANA983052 AWX10:AWX12 AWW65547:AWW65548 AWW131083:AWW131084 AWW196619:AWW196620 AWW262155:AWW262156 AWW327691:AWW327692 AWW393227:AWW393228 AWW458763:AWW458764 AWW524299:AWW524300 AWW589835:AWW589836 AWW655371:AWW655372 AWW720907:AWW720908 AWW786443:AWW786444 AWW851979:AWW851980 AWW917515:AWW917516 AWW983051:AWW983052 BGT10:BGT12 BGS65547:BGS65548 BGS131083:BGS131084 BGS196619:BGS196620 BGS262155:BGS262156 BGS327691:BGS327692 BGS393227:BGS393228 BGS458763:BGS458764 BGS524299:BGS524300 BGS589835:BGS589836 BGS655371:BGS655372 BGS720907:BGS720908 BGS786443:BGS786444 BGS851979:BGS851980 BGS917515:BGS917516 BGS983051:BGS983052 BQP10:BQP12 BQO65547:BQO65548 BQO131083:BQO131084 BQO196619:BQO196620 BQO262155:BQO262156 BQO327691:BQO327692 BQO393227:BQO393228 BQO458763:BQO458764 BQO524299:BQO524300 BQO589835:BQO589836 BQO655371:BQO655372 BQO720907:BQO720908 BQO786443:BQO786444 BQO851979:BQO851980 BQO917515:BQO917516 BQO983051:BQO983052 CAL10:CAL12 CAK65547:CAK65548 CAK131083:CAK131084 CAK196619:CAK196620 CAK262155:CAK262156 CAK327691:CAK327692 CAK393227:CAK393228 CAK458763:CAK458764 CAK524299:CAK524300 CAK589835:CAK589836 CAK655371:CAK655372 CAK720907:CAK720908 CAK786443:CAK786444 CAK851979:CAK851980 CAK917515:CAK917516 CAK983051:CAK983052 CKH10:CKH12 CKG65547:CKG65548 CKG131083:CKG131084 CKG196619:CKG196620 CKG262155:CKG262156 CKG327691:CKG327692 CKG393227:CKG393228 CKG458763:CKG458764 CKG524299:CKG524300 CKG589835:CKG589836 CKG655371:CKG655372 CKG720907:CKG720908 CKG786443:CKG786444 CKG851979:CKG851980 CKG917515:CKG917516 CKG983051:CKG983052 CUD10:CUD12 CUC65547:CUC65548 CUC131083:CUC131084 CUC196619:CUC196620 CUC262155:CUC262156 CUC327691:CUC327692 CUC393227:CUC393228 CUC458763:CUC458764 CUC524299:CUC524300 CUC589835:CUC589836 CUC655371:CUC655372 CUC720907:CUC720908 CUC786443:CUC786444 CUC851979:CUC851980 CUC917515:CUC917516 CUC983051:CUC983052 DDZ10:DDZ12 DDY65547:DDY65548 DDY131083:DDY131084 DDY196619:DDY196620 DDY262155:DDY262156 DDY327691:DDY327692 DDY393227:DDY393228 DDY458763:DDY458764 DDY524299:DDY524300 DDY589835:DDY589836 DDY655371:DDY655372 DDY720907:DDY720908 DDY786443:DDY786444 DDY851979:DDY851980 DDY917515:DDY917516 DDY983051:DDY983052 DNV10:DNV12 DNU65547:DNU65548 DNU131083:DNU131084 DNU196619:DNU196620 DNU262155:DNU262156 DNU327691:DNU327692 DNU393227:DNU393228 DNU458763:DNU458764 DNU524299:DNU524300 DNU589835:DNU589836 DNU655371:DNU655372 DNU720907:DNU720908 DNU786443:DNU786444 DNU851979:DNU851980 DNU917515:DNU917516 DNU983051:DNU983052 DXR10:DXR12 DXQ65547:DXQ65548 DXQ131083:DXQ131084 DXQ196619:DXQ196620 DXQ262155:DXQ262156 DXQ327691:DXQ327692 DXQ393227:DXQ393228 DXQ458763:DXQ458764 DXQ524299:DXQ524300 DXQ589835:DXQ589836 DXQ655371:DXQ655372 DXQ720907:DXQ720908 DXQ786443:DXQ786444 DXQ851979:DXQ851980 DXQ917515:DXQ917516 DXQ983051:DXQ983052 EHN10:EHN12 EHM65547:EHM65548 EHM131083:EHM131084 EHM196619:EHM196620 EHM262155:EHM262156 EHM327691:EHM327692 EHM393227:EHM393228 EHM458763:EHM458764 EHM524299:EHM524300 EHM589835:EHM589836 EHM655371:EHM655372 EHM720907:EHM720908 EHM786443:EHM786444 EHM851979:EHM851980 EHM917515:EHM917516 EHM983051:EHM983052 ERJ10:ERJ12 ERI65547:ERI65548 ERI131083:ERI131084 ERI196619:ERI196620 ERI262155:ERI262156 ERI327691:ERI327692 ERI393227:ERI393228 ERI458763:ERI458764 ERI524299:ERI524300 ERI589835:ERI589836 ERI655371:ERI655372 ERI720907:ERI720908 ERI786443:ERI786444 ERI851979:ERI851980 ERI917515:ERI917516 ERI983051:ERI983052 FBF10:FBF12 FBE65547:FBE65548 FBE131083:FBE131084 FBE196619:FBE196620 FBE262155:FBE262156 FBE327691:FBE327692 FBE393227:FBE393228 FBE458763:FBE458764 FBE524299:FBE524300 FBE589835:FBE589836 FBE655371:FBE655372 FBE720907:FBE720908 FBE786443:FBE786444 FBE851979:FBE851980 FBE917515:FBE917516 FBE983051:FBE983052 FLB10:FLB12 FLA65547:FLA65548 FLA131083:FLA131084 FLA196619:FLA196620 FLA262155:FLA262156 FLA327691:FLA327692 FLA393227:FLA393228 FLA458763:FLA458764 FLA524299:FLA524300 FLA589835:FLA589836 FLA655371:FLA655372 FLA720907:FLA720908 FLA786443:FLA786444 FLA851979:FLA851980 FLA917515:FLA917516 FLA983051:FLA983052 FUX10:FUX12 FUW65547:FUW65548 FUW131083:FUW131084 FUW196619:FUW196620 FUW262155:FUW262156 FUW327691:FUW327692 FUW393227:FUW393228 FUW458763:FUW458764 FUW524299:FUW524300 FUW589835:FUW589836 FUW655371:FUW655372 FUW720907:FUW720908 FUW786443:FUW786444 FUW851979:FUW851980 FUW917515:FUW917516 FUW983051:FUW983052 GET10:GET12 GES65547:GES65548 GES131083:GES131084 GES196619:GES196620 GES262155:GES262156 GES327691:GES327692 GES393227:GES393228 GES458763:GES458764 GES524299:GES524300 GES589835:GES589836 GES655371:GES655372 GES720907:GES720908 GES786443:GES786444 GES851979:GES851980 GES917515:GES917516 GES983051:GES983052 GOP10:GOP12 GOO65547:GOO65548 GOO131083:GOO131084 GOO196619:GOO196620 GOO262155:GOO262156 GOO327691:GOO327692 GOO393227:GOO393228 GOO458763:GOO458764 GOO524299:GOO524300 GOO589835:GOO589836 GOO655371:GOO655372 GOO720907:GOO720908 GOO786443:GOO786444 GOO851979:GOO851980 GOO917515:GOO917516 GOO983051:GOO983052 GYL10:GYL12 GYK65547:GYK65548 GYK131083:GYK131084 GYK196619:GYK196620 GYK262155:GYK262156 GYK327691:GYK327692 GYK393227:GYK393228 GYK458763:GYK458764 GYK524299:GYK524300 GYK589835:GYK589836 GYK655371:GYK655372 GYK720907:GYK720908 GYK786443:GYK786444 GYK851979:GYK851980 GYK917515:GYK917516 GYK983051:GYK983052 HIH10:HIH12 HIG65547:HIG65548 HIG131083:HIG131084 HIG196619:HIG196620 HIG262155:HIG262156 HIG327691:HIG327692 HIG393227:HIG393228 HIG458763:HIG458764 HIG524299:HIG524300 HIG589835:HIG589836 HIG655371:HIG655372 HIG720907:HIG720908 HIG786443:HIG786444 HIG851979:HIG851980 HIG917515:HIG917516 HIG983051:HIG983052 HSD10:HSD12 HSC65547:HSC65548 HSC131083:HSC131084 HSC196619:HSC196620 HSC262155:HSC262156 HSC327691:HSC327692 HSC393227:HSC393228 HSC458763:HSC458764 HSC524299:HSC524300 HSC589835:HSC589836 HSC655371:HSC655372 HSC720907:HSC720908 HSC786443:HSC786444 HSC851979:HSC851980 HSC917515:HSC917516 HSC983051:HSC983052 IBZ10:IBZ12 IBY65547:IBY65548 IBY131083:IBY131084 IBY196619:IBY196620 IBY262155:IBY262156 IBY327691:IBY327692 IBY393227:IBY393228 IBY458763:IBY458764 IBY524299:IBY524300 IBY589835:IBY589836 IBY655371:IBY655372 IBY720907:IBY720908 IBY786443:IBY786444 IBY851979:IBY851980 IBY917515:IBY917516 IBY983051:IBY983052 ILV10:ILV12 ILU65547:ILU65548 ILU131083:ILU131084 ILU196619:ILU196620 ILU262155:ILU262156 ILU327691:ILU327692 ILU393227:ILU393228 ILU458763:ILU458764 ILU524299:ILU524300 ILU589835:ILU589836 ILU655371:ILU655372 ILU720907:ILU720908 ILU786443:ILU786444 ILU851979:ILU851980 ILU917515:ILU917516 ILU983051:ILU983052 IVR10:IVR12 IVQ65547:IVQ65548 IVQ131083:IVQ131084 IVQ196619:IVQ196620 IVQ262155:IVQ262156 IVQ327691:IVQ327692 IVQ393227:IVQ393228 IVQ458763:IVQ458764 IVQ524299:IVQ524300 IVQ589835:IVQ589836 IVQ655371:IVQ655372 IVQ720907:IVQ720908 IVQ786443:IVQ786444 IVQ851979:IVQ851980 IVQ917515:IVQ917516 IVQ983051:IVQ983052 JFN10:JFN12 JFM65547:JFM65548 JFM131083:JFM131084 JFM196619:JFM196620 JFM262155:JFM262156 JFM327691:JFM327692 JFM393227:JFM393228 JFM458763:JFM458764 JFM524299:JFM524300 JFM589835:JFM589836 JFM655371:JFM655372 JFM720907:JFM720908 JFM786443:JFM786444 JFM851979:JFM851980 JFM917515:JFM917516 JFM983051:JFM983052 JPJ10:JPJ12 JPI65547:JPI65548 JPI131083:JPI131084 JPI196619:JPI196620 JPI262155:JPI262156 JPI327691:JPI327692 JPI393227:JPI393228 JPI458763:JPI458764 JPI524299:JPI524300 JPI589835:JPI589836 JPI655371:JPI655372 JPI720907:JPI720908 JPI786443:JPI786444 JPI851979:JPI851980 JPI917515:JPI917516 JPI983051:JPI983052 JZF10:JZF12 JZE65547:JZE65548 JZE131083:JZE131084 JZE196619:JZE196620 JZE262155:JZE262156 JZE327691:JZE327692 JZE393227:JZE393228 JZE458763:JZE458764 JZE524299:JZE524300 JZE589835:JZE589836 JZE655371:JZE655372 JZE720907:JZE720908 JZE786443:JZE786444 JZE851979:JZE851980 JZE917515:JZE917516 JZE983051:JZE983052 KJB10:KJB12 KJA65547:KJA65548 KJA131083:KJA131084 KJA196619:KJA196620 KJA262155:KJA262156 KJA327691:KJA327692 KJA393227:KJA393228 KJA458763:KJA458764 KJA524299:KJA524300 KJA589835:KJA589836 KJA655371:KJA655372 KJA720907:KJA720908 KJA786443:KJA786444 KJA851979:KJA851980 KJA917515:KJA917516 KJA983051:KJA983052 KSX10:KSX12 KSW65547:KSW65548 KSW131083:KSW131084 KSW196619:KSW196620 KSW262155:KSW262156 KSW327691:KSW327692 KSW393227:KSW393228 KSW458763:KSW458764 KSW524299:KSW524300 KSW589835:KSW589836 KSW655371:KSW655372 KSW720907:KSW720908 KSW786443:KSW786444 KSW851979:KSW851980 KSW917515:KSW917516 KSW983051:KSW983052 LCT10:LCT12 LCS65547:LCS65548 LCS131083:LCS131084 LCS196619:LCS196620 LCS262155:LCS262156 LCS327691:LCS327692 LCS393227:LCS393228 LCS458763:LCS458764 LCS524299:LCS524300 LCS589835:LCS589836 LCS655371:LCS655372 LCS720907:LCS720908 LCS786443:LCS786444 LCS851979:LCS851980 LCS917515:LCS917516 LCS983051:LCS983052 LMP10:LMP12 LMO65547:LMO65548 LMO131083:LMO131084 LMO196619:LMO196620 LMO262155:LMO262156 LMO327691:LMO327692 LMO393227:LMO393228 LMO458763:LMO458764 LMO524299:LMO524300 LMO589835:LMO589836 LMO655371:LMO655372 LMO720907:LMO720908 LMO786443:LMO786444 LMO851979:LMO851980 LMO917515:LMO917516 LMO983051:LMO983052 LWL10:LWL12 LWK65547:LWK65548 LWK131083:LWK131084 LWK196619:LWK196620 LWK262155:LWK262156 LWK327691:LWK327692 LWK393227:LWK393228 LWK458763:LWK458764 LWK524299:LWK524300 LWK589835:LWK589836 LWK655371:LWK655372 LWK720907:LWK720908 LWK786443:LWK786444 LWK851979:LWK851980 LWK917515:LWK917516 LWK983051:LWK983052 MGH10:MGH12 MGG65547:MGG65548 MGG131083:MGG131084 MGG196619:MGG196620 MGG262155:MGG262156 MGG327691:MGG327692 MGG393227:MGG393228 MGG458763:MGG458764 MGG524299:MGG524300 MGG589835:MGG589836 MGG655371:MGG655372 MGG720907:MGG720908 MGG786443:MGG786444 MGG851979:MGG851980 MGG917515:MGG917516 MGG983051:MGG983052 MQD10:MQD12 MQC65547:MQC65548 MQC131083:MQC131084 MQC196619:MQC196620 MQC262155:MQC262156 MQC327691:MQC327692 MQC393227:MQC393228 MQC458763:MQC458764 MQC524299:MQC524300 MQC589835:MQC589836 MQC655371:MQC655372 MQC720907:MQC720908 MQC786443:MQC786444 MQC851979:MQC851980 MQC917515:MQC917516 MQC983051:MQC983052 MZZ10:MZZ12 MZY65547:MZY65548 MZY131083:MZY131084 MZY196619:MZY196620 MZY262155:MZY262156 MZY327691:MZY327692 MZY393227:MZY393228 MZY458763:MZY458764 MZY524299:MZY524300 MZY589835:MZY589836 MZY655371:MZY655372 MZY720907:MZY720908 MZY786443:MZY786444 MZY851979:MZY851980 MZY917515:MZY917516 MZY983051:MZY983052 NJV10:NJV12 NJU65547:NJU65548 NJU131083:NJU131084 NJU196619:NJU196620 NJU262155:NJU262156 NJU327691:NJU327692 NJU393227:NJU393228 NJU458763:NJU458764 NJU524299:NJU524300 NJU589835:NJU589836 NJU655371:NJU655372 NJU720907:NJU720908 NJU786443:NJU786444 NJU851979:NJU851980 NJU917515:NJU917516 NJU983051:NJU983052 NTR10:NTR12 NTQ65547:NTQ65548 NTQ131083:NTQ131084 NTQ196619:NTQ196620 NTQ262155:NTQ262156 NTQ327691:NTQ327692 NTQ393227:NTQ393228 NTQ458763:NTQ458764 NTQ524299:NTQ524300 NTQ589835:NTQ589836 NTQ655371:NTQ655372 NTQ720907:NTQ720908 NTQ786443:NTQ786444 NTQ851979:NTQ851980 NTQ917515:NTQ917516 NTQ983051:NTQ983052 ODN10:ODN12 ODM65547:ODM65548 ODM131083:ODM131084 ODM196619:ODM196620 ODM262155:ODM262156 ODM327691:ODM327692 ODM393227:ODM393228 ODM458763:ODM458764 ODM524299:ODM524300 ODM589835:ODM589836 ODM655371:ODM655372 ODM720907:ODM720908 ODM786443:ODM786444 ODM851979:ODM851980 ODM917515:ODM917516 ODM983051:ODM983052 ONJ10:ONJ12 ONI65547:ONI65548 ONI131083:ONI131084 ONI196619:ONI196620 ONI262155:ONI262156 ONI327691:ONI327692 ONI393227:ONI393228 ONI458763:ONI458764 ONI524299:ONI524300 ONI589835:ONI589836 ONI655371:ONI655372 ONI720907:ONI720908 ONI786443:ONI786444 ONI851979:ONI851980 ONI917515:ONI917516 ONI983051:ONI983052 OXF10:OXF12 OXE65547:OXE65548 OXE131083:OXE131084 OXE196619:OXE196620 OXE262155:OXE262156 OXE327691:OXE327692 OXE393227:OXE393228 OXE458763:OXE458764 OXE524299:OXE524300 OXE589835:OXE589836 OXE655371:OXE655372 OXE720907:OXE720908 OXE786443:OXE786444 OXE851979:OXE851980 OXE917515:OXE917516 OXE983051:OXE983052 PHB10:PHB12 PHA65547:PHA65548 PHA131083:PHA131084 PHA196619:PHA196620 PHA262155:PHA262156 PHA327691:PHA327692 PHA393227:PHA393228 PHA458763:PHA458764 PHA524299:PHA524300 PHA589835:PHA589836 PHA655371:PHA655372 PHA720907:PHA720908 PHA786443:PHA786444 PHA851979:PHA851980 PHA917515:PHA917516 PHA983051:PHA983052 PQX10:PQX12 PQW65547:PQW65548 PQW131083:PQW131084 PQW196619:PQW196620 PQW262155:PQW262156 PQW327691:PQW327692 PQW393227:PQW393228 PQW458763:PQW458764 PQW524299:PQW524300 PQW589835:PQW589836 PQW655371:PQW655372 PQW720907:PQW720908 PQW786443:PQW786444 PQW851979:PQW851980 PQW917515:PQW917516 PQW983051:PQW983052 QAT10:QAT12 QAS65547:QAS65548 QAS131083:QAS131084 QAS196619:QAS196620 QAS262155:QAS262156 QAS327691:QAS327692 QAS393227:QAS393228 QAS458763:QAS458764 QAS524299:QAS524300 QAS589835:QAS589836 QAS655371:QAS655372 QAS720907:QAS720908 QAS786443:QAS786444 QAS851979:QAS851980 QAS917515:QAS917516 QAS983051:QAS983052 QKP10:QKP12 QKO65547:QKO65548 QKO131083:QKO131084 QKO196619:QKO196620 QKO262155:QKO262156 QKO327691:QKO327692 QKO393227:QKO393228 QKO458763:QKO458764 QKO524299:QKO524300 QKO589835:QKO589836 QKO655371:QKO655372 QKO720907:QKO720908 QKO786443:QKO786444 QKO851979:QKO851980 QKO917515:QKO917516 QKO983051:QKO983052 QUL10:QUL12 QUK65547:QUK65548 QUK131083:QUK131084 QUK196619:QUK196620 QUK262155:QUK262156 QUK327691:QUK327692 QUK393227:QUK393228 QUK458763:QUK458764 QUK524299:QUK524300 QUK589835:QUK589836 QUK655371:QUK655372 QUK720907:QUK720908 QUK786443:QUK786444 QUK851979:QUK851980 QUK917515:QUK917516 QUK983051:QUK983052 REH10:REH12 REG65547:REG65548 REG131083:REG131084 REG196619:REG196620 REG262155:REG262156 REG327691:REG327692 REG393227:REG393228 REG458763:REG458764 REG524299:REG524300 REG589835:REG589836 REG655371:REG655372 REG720907:REG720908 REG786443:REG786444 REG851979:REG851980 REG917515:REG917516 REG983051:REG983052 ROD10:ROD12 ROC65547:ROC65548 ROC131083:ROC131084 ROC196619:ROC196620 ROC262155:ROC262156 ROC327691:ROC327692 ROC393227:ROC393228 ROC458763:ROC458764 ROC524299:ROC524300 ROC589835:ROC589836 ROC655371:ROC655372 ROC720907:ROC720908 ROC786443:ROC786444 ROC851979:ROC851980 ROC917515:ROC917516 ROC983051:ROC983052 RXZ10:RXZ12 RXY65547:RXY65548 RXY131083:RXY131084 RXY196619:RXY196620 RXY262155:RXY262156 RXY327691:RXY327692 RXY393227:RXY393228 RXY458763:RXY458764 RXY524299:RXY524300 RXY589835:RXY589836 RXY655371:RXY655372 RXY720907:RXY720908 RXY786443:RXY786444 RXY851979:RXY851980 RXY917515:RXY917516 RXY983051:RXY983052 SHV10:SHV12 SHU65547:SHU65548 SHU131083:SHU131084 SHU196619:SHU196620 SHU262155:SHU262156 SHU327691:SHU327692 SHU393227:SHU393228 SHU458763:SHU458764 SHU524299:SHU524300 SHU589835:SHU589836 SHU655371:SHU655372 SHU720907:SHU720908 SHU786443:SHU786444 SHU851979:SHU851980 SHU917515:SHU917516 SHU983051:SHU983052 SRR10:SRR12 SRQ65547:SRQ65548 SRQ131083:SRQ131084 SRQ196619:SRQ196620 SRQ262155:SRQ262156 SRQ327691:SRQ327692 SRQ393227:SRQ393228 SRQ458763:SRQ458764 SRQ524299:SRQ524300 SRQ589835:SRQ589836 SRQ655371:SRQ655372 SRQ720907:SRQ720908 SRQ786443:SRQ786444 SRQ851979:SRQ851980 SRQ917515:SRQ917516 SRQ983051:SRQ983052 TBN10:TBN12 TBM65547:TBM65548 TBM131083:TBM131084 TBM196619:TBM196620 TBM262155:TBM262156 TBM327691:TBM327692 TBM393227:TBM393228 TBM458763:TBM458764 TBM524299:TBM524300 TBM589835:TBM589836 TBM655371:TBM655372 TBM720907:TBM720908 TBM786443:TBM786444 TBM851979:TBM851980 TBM917515:TBM917516 TBM983051:TBM983052 TLJ10:TLJ12 TLI65547:TLI65548 TLI131083:TLI131084 TLI196619:TLI196620 TLI262155:TLI262156 TLI327691:TLI327692 TLI393227:TLI393228 TLI458763:TLI458764 TLI524299:TLI524300 TLI589835:TLI589836 TLI655371:TLI655372 TLI720907:TLI720908 TLI786443:TLI786444 TLI851979:TLI851980 TLI917515:TLI917516 TLI983051:TLI983052 TVF10:TVF12 TVE65547:TVE65548 TVE131083:TVE131084 TVE196619:TVE196620 TVE262155:TVE262156 TVE327691:TVE327692 TVE393227:TVE393228 TVE458763:TVE458764 TVE524299:TVE524300 TVE589835:TVE589836 TVE655371:TVE655372 TVE720907:TVE720908 TVE786443:TVE786444 TVE851979:TVE851980 TVE917515:TVE917516 TVE983051:TVE983052 UFB10:UFB12 UFA65547:UFA65548 UFA131083:UFA131084 UFA196619:UFA196620 UFA262155:UFA262156 UFA327691:UFA327692 UFA393227:UFA393228 UFA458763:UFA458764 UFA524299:UFA524300 UFA589835:UFA589836 UFA655371:UFA655372 UFA720907:UFA720908 UFA786443:UFA786444 UFA851979:UFA851980 UFA917515:UFA917516 UFA983051:UFA983052 UOX10:UOX12 UOW65547:UOW65548 UOW131083:UOW131084 UOW196619:UOW196620 UOW262155:UOW262156 UOW327691:UOW327692 UOW393227:UOW393228 UOW458763:UOW458764 UOW524299:UOW524300 UOW589835:UOW589836 UOW655371:UOW655372 UOW720907:UOW720908 UOW786443:UOW786444 UOW851979:UOW851980 UOW917515:UOW917516 UOW983051:UOW983052 UYT10:UYT12 UYS65547:UYS65548 UYS131083:UYS131084 UYS196619:UYS196620 UYS262155:UYS262156 UYS327691:UYS327692 UYS393227:UYS393228 UYS458763:UYS458764 UYS524299:UYS524300 UYS589835:UYS589836 UYS655371:UYS655372 UYS720907:UYS720908 UYS786443:UYS786444 UYS851979:UYS851980 UYS917515:UYS917516 UYS983051:UYS983052 VIP10:VIP12 VIO65547:VIO65548 VIO131083:VIO131084 VIO196619:VIO196620 VIO262155:VIO262156 VIO327691:VIO327692 VIO393227:VIO393228 VIO458763:VIO458764 VIO524299:VIO524300 VIO589835:VIO589836 VIO655371:VIO655372 VIO720907:VIO720908 VIO786443:VIO786444 VIO851979:VIO851980 VIO917515:VIO917516 VIO983051:VIO983052 VSL10:VSL12 VSK65547:VSK65548 VSK131083:VSK131084 VSK196619:VSK196620 VSK262155:VSK262156 VSK327691:VSK327692 VSK393227:VSK393228 VSK458763:VSK458764 VSK524299:VSK524300 VSK589835:VSK589836 VSK655371:VSK655372 VSK720907:VSK720908 VSK786443:VSK786444 VSK851979:VSK851980 VSK917515:VSK917516 VSK983051:VSK983052 WCH10:WCH12 WCG65547:WCG65548 WCG131083:WCG131084 WCG196619:WCG196620 WCG262155:WCG262156 WCG327691:WCG327692 WCG393227:WCG393228 WCG458763:WCG458764 WCG524299:WCG524300 WCG589835:WCG589836 WCG655371:WCG655372 WCG720907:WCG720908 WCG786443:WCG786444 WCG851979:WCG851980 WCG917515:WCG917516 WCG983051:WCG983052 WMD10:WMD12 WMC65547:WMC65548 WMC131083:WMC131084 WMC196619:WMC196620 WMC262155:WMC262156 WMC327691:WMC327692 WMC393227:WMC393228 WMC458763:WMC458764 WMC524299:WMC524300 WMC589835:WMC589836 WMC655371:WMC655372 WMC720907:WMC720908 WMC786443:WMC786444 WMC851979:WMC851980 WMC917515:WMC917516 WMC983051:WMC983052 WVZ10:WVZ12 WVY65547:WVY65548 WVY131083:WVY131084 WVY196619:WVY196620 WVY262155:WVY262156 WVY327691:WVY327692 WVY393227:WVY393228 WVY458763:WVY458764 WVY524299:WVY524300 WVY589835:WVY589836 WVY655371:WVY655372 WVY720907:WVY720908 WVY786443:WVY786444 WVY851979:WVY851980 WVY917515:WVY917516 WVY983051:WVY983052" xr:uid="{7559AACC-1C11-4C4E-A69D-C6139A16049A}"/>
    <dataValidation allowBlank="1" showInputMessage="1" showErrorMessage="1" prompt="Performance tasks Weighted Score" sqref="P65547:R65649 P131083:R131185 P196619:R196721 P262155:R262257 P327691:R327793 P393227:R393329 P458763:R458865 P524299:R524401 P589835:R589937 P655371:R655473 P720907:R721009 P786443:R786545 P851979:R852081 P917515:R917617 P983051:R983153 JL65547:JL65649 JL131083:JL131185 JL196619:JL196721 JL262155:JL262257 JL327691:JL327793 JL393227:JL393329 JL458763:JL458865 JL524299:JL524401 JL589835:JL589937 JL655371:JL655473 JL720907:JL721009 JL786443:JL786545 JL851979:JL852081 JL917515:JL917617 JL983051:JL983153 TI10:TI63 TH65547:TH65649 TH131083:TH131185 TH196619:TH196721 TH262155:TH262257 TH327691:TH327793 TH393227:TH393329 TH458763:TH458865 TH524299:TH524401 TH589835:TH589937 TH655371:TH655473 TH720907:TH721009 TH786443:TH786545 TH851979:TH852081 TH917515:TH917617 TH983051:TH983153 ADE10:ADE6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NA10:ANA6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W10:AWW6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S10:BGS6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O10:BQO6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K10:CAK6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G10:CKG6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C10:CUC6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Y10:DDY6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U10:DNU6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Q10:DXQ6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M10:EHM6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I10:ERI6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E10:FBE6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LA10:FLA6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W10:FUW6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S10:GES6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O10:GOO6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K10:GYK6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G10:HIG6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C10:HSC6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Y10:IBY6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U10:ILU6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Q10:IVQ6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M10:JFM6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I10:JPI6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E10:JZE6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JA10:KJA6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W10:KSW6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S10:LCS6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O10:LMO6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K10:LWK6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G10:MGG6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C10:MQC6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Y10:MZY6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U10:NJU6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Q10:NTQ6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M10:ODM6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I10:ONI6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E10:OXE6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HA10:PHA6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W10:PQW6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S10:QAS6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O10:QKO6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K10:QUK6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G10:REG6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C10:ROC6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Y10:RXY6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U10:SHU6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Q10:SRQ6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M10:TBM6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I10:TLI6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E10:TVE6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FA10:UFA6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W10:UOW6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S10:UYS6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O10:VIO6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K10:VSK6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G10:WCG6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C10:WMC6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Y10:WVY63 WVX983051:WVX983153 WVX65547:WVX65649 WVX131083:WVX131185 WVX196619:WVX196721 WVX262155:WVX262257 WVX327691:WVX327793 WVX393227:WVX393329 WVX458763:WVX458865 WVX524299:WVX524401 WVX589835:WVX589937 WVX655371:WVX655473 WVX720907:WVX721009 WVX786443:WVX786545 WVX851979:WVX852081 WVX917515:WVX917617 JM10:JM63 WVY66:WVY114 WMC66:WMC114 WCG66:WCG114 VSK66:VSK114 VIO66:VIO114 UYS66:UYS114 UOW66:UOW114 UFA66:UFA114 TVE66:TVE114 TLI66:TLI114 TBM66:TBM114 SRQ66:SRQ114 SHU66:SHU114 RXY66:RXY114 ROC66:ROC114 REG66:REG114 QUK66:QUK114 QKO66:QKO114 QAS66:QAS114 PQW66:PQW114 PHA66:PHA114 OXE66:OXE114 ONI66:ONI114 ODM66:ODM114 NTQ66:NTQ114 NJU66:NJU114 MZY66:MZY114 MQC66:MQC114 MGG66:MGG114 LWK66:LWK114 LMO66:LMO114 LCS66:LCS114 KSW66:KSW114 KJA66:KJA114 JZE66:JZE114 JPI66:JPI114 JFM66:JFM114 IVQ66:IVQ114 ILU66:ILU114 IBY66:IBY114 HSC66:HSC114 HIG66:HIG114 GYK66:GYK114 GOO66:GOO114 GES66:GES114 FUW66:FUW114 FLA66:FLA114 FBE66:FBE114 ERI66:ERI114 EHM66:EHM114 DXQ66:DXQ114 DNU66:DNU114 DDY66:DDY114 CUC66:CUC114 CKG66:CKG114 CAK66:CAK114 BQO66:BQO114 BGS66:BGS114 AWW66:AWW114 ANA66:ANA114 ADE66:ADE114 TI66:TI114 JM66:JM114" xr:uid="{A49828DB-06CA-44C2-BE9E-26C4A242DC76}"/>
    <dataValidation allowBlank="1" showInputMessage="1" showErrorMessage="1" prompt="Performance Tasks Percentage Score" sqref="O65547:O65649 O131083:O131185 O196619:O196721 O262155:O262257 O327691:O327793 O393227:O393329 O458763:O458865 O524299:O524401 O589835:O589937 O655371:O655473 O720907:O721009 O786443:O786545 O851979:O852081 O917515:O917617 O983051:O983153 JK65547:JK65649 JK131083:JK131185 JK196619:JK196721 JK262155:JK262257 JK327691:JK327793 JK393227:JK393329 JK458763:JK458865 JK524299:JK524401 JK589835:JK589937 JK655371:JK655473 JK720907:JK721009 JK786443:JK786545 JK851979:JK852081 JK917515:JK917617 JK983051:JK983153 TH10:TH63 TG65547:TG65649 TG131083:TG131185 TG196619:TG196721 TG262155:TG262257 TG327691:TG327793 TG393227:TG393329 TG458763:TG458865 TG524299:TG524401 TG589835:TG589937 TG655371:TG655473 TG720907:TG721009 TG786443:TG786545 TG851979:TG852081 TG917515:TG917617 TG983051:TG983153 ADD10:ADD63 ADC65547:ADC65649 ADC131083:ADC131185 ADC196619:ADC196721 ADC262155:ADC262257 ADC327691:ADC327793 ADC393227:ADC393329 ADC458763:ADC458865 ADC524299:ADC524401 ADC589835:ADC589937 ADC655371:ADC655473 ADC720907:ADC721009 ADC786443:ADC786545 ADC851979:ADC852081 ADC917515:ADC917617 ADC983051:ADC983153 AMZ10:AMZ63 AMY65547:AMY65649 AMY131083:AMY131185 AMY196619:AMY196721 AMY262155:AMY262257 AMY327691:AMY327793 AMY393227:AMY393329 AMY458763:AMY458865 AMY524299:AMY524401 AMY589835:AMY589937 AMY655371:AMY655473 AMY720907:AMY721009 AMY786443:AMY786545 AMY851979:AMY852081 AMY917515:AMY917617 AMY983051:AMY983153 AWV10:AWV63 AWU65547:AWU65649 AWU131083:AWU131185 AWU196619:AWU196721 AWU262155:AWU262257 AWU327691:AWU327793 AWU393227:AWU393329 AWU458763:AWU458865 AWU524299:AWU524401 AWU589835:AWU589937 AWU655371:AWU655473 AWU720907:AWU721009 AWU786443:AWU786545 AWU851979:AWU852081 AWU917515:AWU917617 AWU983051:AWU983153 BGR10:BGR63 BGQ65547:BGQ65649 BGQ131083:BGQ131185 BGQ196619:BGQ196721 BGQ262155:BGQ262257 BGQ327691:BGQ327793 BGQ393227:BGQ393329 BGQ458763:BGQ458865 BGQ524299:BGQ524401 BGQ589835:BGQ589937 BGQ655371:BGQ655473 BGQ720907:BGQ721009 BGQ786443:BGQ786545 BGQ851979:BGQ852081 BGQ917515:BGQ917617 BGQ983051:BGQ983153 BQN10:BQN63 BQM65547:BQM65649 BQM131083:BQM131185 BQM196619:BQM196721 BQM262155:BQM262257 BQM327691:BQM327793 BQM393227:BQM393329 BQM458763:BQM458865 BQM524299:BQM524401 BQM589835:BQM589937 BQM655371:BQM655473 BQM720907:BQM721009 BQM786443:BQM786545 BQM851979:BQM852081 BQM917515:BQM917617 BQM983051:BQM983153 CAJ10:CAJ63 CAI65547:CAI65649 CAI131083:CAI131185 CAI196619:CAI196721 CAI262155:CAI262257 CAI327691:CAI327793 CAI393227:CAI393329 CAI458763:CAI458865 CAI524299:CAI524401 CAI589835:CAI589937 CAI655371:CAI655473 CAI720907:CAI721009 CAI786443:CAI786545 CAI851979:CAI852081 CAI917515:CAI917617 CAI983051:CAI983153 CKF10:CKF63 CKE65547:CKE65649 CKE131083:CKE131185 CKE196619:CKE196721 CKE262155:CKE262257 CKE327691:CKE327793 CKE393227:CKE393329 CKE458763:CKE458865 CKE524299:CKE524401 CKE589835:CKE589937 CKE655371:CKE655473 CKE720907:CKE721009 CKE786443:CKE786545 CKE851979:CKE852081 CKE917515:CKE917617 CKE983051:CKE983153 CUB10:CUB63 CUA65547:CUA65649 CUA131083:CUA131185 CUA196619:CUA196721 CUA262155:CUA262257 CUA327691:CUA327793 CUA393227:CUA393329 CUA458763:CUA458865 CUA524299:CUA524401 CUA589835:CUA589937 CUA655371:CUA655473 CUA720907:CUA721009 CUA786443:CUA786545 CUA851979:CUA852081 CUA917515:CUA917617 CUA983051:CUA983153 DDX10:DDX63 DDW65547:DDW65649 DDW131083:DDW131185 DDW196619:DDW196721 DDW262155:DDW262257 DDW327691:DDW327793 DDW393227:DDW393329 DDW458763:DDW458865 DDW524299:DDW524401 DDW589835:DDW589937 DDW655371:DDW655473 DDW720907:DDW721009 DDW786443:DDW786545 DDW851979:DDW852081 DDW917515:DDW917617 DDW983051:DDW983153 DNT10:DNT63 DNS65547:DNS65649 DNS131083:DNS131185 DNS196619:DNS196721 DNS262155:DNS262257 DNS327691:DNS327793 DNS393227:DNS393329 DNS458763:DNS458865 DNS524299:DNS524401 DNS589835:DNS589937 DNS655371:DNS655473 DNS720907:DNS721009 DNS786443:DNS786545 DNS851979:DNS852081 DNS917515:DNS917617 DNS983051:DNS983153 DXP10:DXP63 DXO65547:DXO65649 DXO131083:DXO131185 DXO196619:DXO196721 DXO262155:DXO262257 DXO327691:DXO327793 DXO393227:DXO393329 DXO458763:DXO458865 DXO524299:DXO524401 DXO589835:DXO589937 DXO655371:DXO655473 DXO720907:DXO721009 DXO786443:DXO786545 DXO851979:DXO852081 DXO917515:DXO917617 DXO983051:DXO983153 EHL10:EHL63 EHK65547:EHK65649 EHK131083:EHK131185 EHK196619:EHK196721 EHK262155:EHK262257 EHK327691:EHK327793 EHK393227:EHK393329 EHK458763:EHK458865 EHK524299:EHK524401 EHK589835:EHK589937 EHK655371:EHK655473 EHK720907:EHK721009 EHK786443:EHK786545 EHK851979:EHK852081 EHK917515:EHK917617 EHK983051:EHK983153 ERH10:ERH63 ERG65547:ERG65649 ERG131083:ERG131185 ERG196619:ERG196721 ERG262155:ERG262257 ERG327691:ERG327793 ERG393227:ERG393329 ERG458763:ERG458865 ERG524299:ERG524401 ERG589835:ERG589937 ERG655371:ERG655473 ERG720907:ERG721009 ERG786443:ERG786545 ERG851979:ERG852081 ERG917515:ERG917617 ERG983051:ERG983153 FBD10:FBD63 FBC65547:FBC65649 FBC131083:FBC131185 FBC196619:FBC196721 FBC262155:FBC262257 FBC327691:FBC327793 FBC393227:FBC393329 FBC458763:FBC458865 FBC524299:FBC524401 FBC589835:FBC589937 FBC655371:FBC655473 FBC720907:FBC721009 FBC786443:FBC786545 FBC851979:FBC852081 FBC917515:FBC917617 FBC983051:FBC983153 FKZ10:FKZ63 FKY65547:FKY65649 FKY131083:FKY131185 FKY196619:FKY196721 FKY262155:FKY262257 FKY327691:FKY327793 FKY393227:FKY393329 FKY458763:FKY458865 FKY524299:FKY524401 FKY589835:FKY589937 FKY655371:FKY655473 FKY720907:FKY721009 FKY786443:FKY786545 FKY851979:FKY852081 FKY917515:FKY917617 FKY983051:FKY983153 FUV10:FUV63 FUU65547:FUU65649 FUU131083:FUU131185 FUU196619:FUU196721 FUU262155:FUU262257 FUU327691:FUU327793 FUU393227:FUU393329 FUU458763:FUU458865 FUU524299:FUU524401 FUU589835:FUU589937 FUU655371:FUU655473 FUU720907:FUU721009 FUU786443:FUU786545 FUU851979:FUU852081 FUU917515:FUU917617 FUU983051:FUU983153 GER10:GER63 GEQ65547:GEQ65649 GEQ131083:GEQ131185 GEQ196619:GEQ196721 GEQ262155:GEQ262257 GEQ327691:GEQ327793 GEQ393227:GEQ393329 GEQ458763:GEQ458865 GEQ524299:GEQ524401 GEQ589835:GEQ589937 GEQ655371:GEQ655473 GEQ720907:GEQ721009 GEQ786443:GEQ786545 GEQ851979:GEQ852081 GEQ917515:GEQ917617 GEQ983051:GEQ983153 GON10:GON63 GOM65547:GOM65649 GOM131083:GOM131185 GOM196619:GOM196721 GOM262155:GOM262257 GOM327691:GOM327793 GOM393227:GOM393329 GOM458763:GOM458865 GOM524299:GOM524401 GOM589835:GOM589937 GOM655371:GOM655473 GOM720907:GOM721009 GOM786443:GOM786545 GOM851979:GOM852081 GOM917515:GOM917617 GOM983051:GOM983153 GYJ10:GYJ63 GYI65547:GYI65649 GYI131083:GYI131185 GYI196619:GYI196721 GYI262155:GYI262257 GYI327691:GYI327793 GYI393227:GYI393329 GYI458763:GYI458865 GYI524299:GYI524401 GYI589835:GYI589937 GYI655371:GYI655473 GYI720907:GYI721009 GYI786443:GYI786545 GYI851979:GYI852081 GYI917515:GYI917617 GYI983051:GYI983153 HIF10:HIF63 HIE65547:HIE65649 HIE131083:HIE131185 HIE196619:HIE196721 HIE262155:HIE262257 HIE327691:HIE327793 HIE393227:HIE393329 HIE458763:HIE458865 HIE524299:HIE524401 HIE589835:HIE589937 HIE655371:HIE655473 HIE720907:HIE721009 HIE786443:HIE786545 HIE851979:HIE852081 HIE917515:HIE917617 HIE983051:HIE983153 HSB10:HSB63 HSA65547:HSA65649 HSA131083:HSA131185 HSA196619:HSA196721 HSA262155:HSA262257 HSA327691:HSA327793 HSA393227:HSA393329 HSA458763:HSA458865 HSA524299:HSA524401 HSA589835:HSA589937 HSA655371:HSA655473 HSA720907:HSA721009 HSA786443:HSA786545 HSA851979:HSA852081 HSA917515:HSA917617 HSA983051:HSA983153 IBX10:IBX63 IBW65547:IBW65649 IBW131083:IBW131185 IBW196619:IBW196721 IBW262155:IBW262257 IBW327691:IBW327793 IBW393227:IBW393329 IBW458763:IBW458865 IBW524299:IBW524401 IBW589835:IBW589937 IBW655371:IBW655473 IBW720907:IBW721009 IBW786443:IBW786545 IBW851979:IBW852081 IBW917515:IBW917617 IBW983051:IBW983153 ILT10:ILT63 ILS65547:ILS65649 ILS131083:ILS131185 ILS196619:ILS196721 ILS262155:ILS262257 ILS327691:ILS327793 ILS393227:ILS393329 ILS458763:ILS458865 ILS524299:ILS524401 ILS589835:ILS589937 ILS655371:ILS655473 ILS720907:ILS721009 ILS786443:ILS786545 ILS851979:ILS852081 ILS917515:ILS917617 ILS983051:ILS983153 IVP10:IVP63 IVO65547:IVO65649 IVO131083:IVO131185 IVO196619:IVO196721 IVO262155:IVO262257 IVO327691:IVO327793 IVO393227:IVO393329 IVO458763:IVO458865 IVO524299:IVO524401 IVO589835:IVO589937 IVO655371:IVO655473 IVO720907:IVO721009 IVO786443:IVO786545 IVO851979:IVO852081 IVO917515:IVO917617 IVO983051:IVO983153 JFL10:JFL63 JFK65547:JFK65649 JFK131083:JFK131185 JFK196619:JFK196721 JFK262155:JFK262257 JFK327691:JFK327793 JFK393227:JFK393329 JFK458763:JFK458865 JFK524299:JFK524401 JFK589835:JFK589937 JFK655371:JFK655473 JFK720907:JFK721009 JFK786443:JFK786545 JFK851979:JFK852081 JFK917515:JFK917617 JFK983051:JFK983153 JPH10:JPH63 JPG65547:JPG65649 JPG131083:JPG131185 JPG196619:JPG196721 JPG262155:JPG262257 JPG327691:JPG327793 JPG393227:JPG393329 JPG458763:JPG458865 JPG524299:JPG524401 JPG589835:JPG589937 JPG655371:JPG655473 JPG720907:JPG721009 JPG786443:JPG786545 JPG851979:JPG852081 JPG917515:JPG917617 JPG983051:JPG983153 JZD10:JZD63 JZC65547:JZC65649 JZC131083:JZC131185 JZC196619:JZC196721 JZC262155:JZC262257 JZC327691:JZC327793 JZC393227:JZC393329 JZC458763:JZC458865 JZC524299:JZC524401 JZC589835:JZC589937 JZC655371:JZC655473 JZC720907:JZC721009 JZC786443:JZC786545 JZC851979:JZC852081 JZC917515:JZC917617 JZC983051:JZC983153 KIZ10:KIZ63 KIY65547:KIY65649 KIY131083:KIY131185 KIY196619:KIY196721 KIY262155:KIY262257 KIY327691:KIY327793 KIY393227:KIY393329 KIY458763:KIY458865 KIY524299:KIY524401 KIY589835:KIY589937 KIY655371:KIY655473 KIY720907:KIY721009 KIY786443:KIY786545 KIY851979:KIY852081 KIY917515:KIY917617 KIY983051:KIY983153 KSV10:KSV63 KSU65547:KSU65649 KSU131083:KSU131185 KSU196619:KSU196721 KSU262155:KSU262257 KSU327691:KSU327793 KSU393227:KSU393329 KSU458763:KSU458865 KSU524299:KSU524401 KSU589835:KSU589937 KSU655371:KSU655473 KSU720907:KSU721009 KSU786443:KSU786545 KSU851979:KSU852081 KSU917515:KSU917617 KSU983051:KSU983153 LCR10:LCR63 LCQ65547:LCQ65649 LCQ131083:LCQ131185 LCQ196619:LCQ196721 LCQ262155:LCQ262257 LCQ327691:LCQ327793 LCQ393227:LCQ393329 LCQ458763:LCQ458865 LCQ524299:LCQ524401 LCQ589835:LCQ589937 LCQ655371:LCQ655473 LCQ720907:LCQ721009 LCQ786443:LCQ786545 LCQ851979:LCQ852081 LCQ917515:LCQ917617 LCQ983051:LCQ983153 LMN10:LMN63 LMM65547:LMM65649 LMM131083:LMM131185 LMM196619:LMM196721 LMM262155:LMM262257 LMM327691:LMM327793 LMM393227:LMM393329 LMM458763:LMM458865 LMM524299:LMM524401 LMM589835:LMM589937 LMM655371:LMM655473 LMM720907:LMM721009 LMM786443:LMM786545 LMM851979:LMM852081 LMM917515:LMM917617 LMM983051:LMM983153 LWJ10:LWJ63 LWI65547:LWI65649 LWI131083:LWI131185 LWI196619:LWI196721 LWI262155:LWI262257 LWI327691:LWI327793 LWI393227:LWI393329 LWI458763:LWI458865 LWI524299:LWI524401 LWI589835:LWI589937 LWI655371:LWI655473 LWI720907:LWI721009 LWI786443:LWI786545 LWI851979:LWI852081 LWI917515:LWI917617 LWI983051:LWI983153 MGF10:MGF63 MGE65547:MGE65649 MGE131083:MGE131185 MGE196619:MGE196721 MGE262155:MGE262257 MGE327691:MGE327793 MGE393227:MGE393329 MGE458763:MGE458865 MGE524299:MGE524401 MGE589835:MGE589937 MGE655371:MGE655473 MGE720907:MGE721009 MGE786443:MGE786545 MGE851979:MGE852081 MGE917515:MGE917617 MGE983051:MGE983153 MQB10:MQB63 MQA65547:MQA65649 MQA131083:MQA131185 MQA196619:MQA196721 MQA262155:MQA262257 MQA327691:MQA327793 MQA393227:MQA393329 MQA458763:MQA458865 MQA524299:MQA524401 MQA589835:MQA589937 MQA655371:MQA655473 MQA720907:MQA721009 MQA786443:MQA786545 MQA851979:MQA852081 MQA917515:MQA917617 MQA983051:MQA983153 MZX10:MZX63 MZW65547:MZW65649 MZW131083:MZW131185 MZW196619:MZW196721 MZW262155:MZW262257 MZW327691:MZW327793 MZW393227:MZW393329 MZW458763:MZW458865 MZW524299:MZW524401 MZW589835:MZW589937 MZW655371:MZW655473 MZW720907:MZW721009 MZW786443:MZW786545 MZW851979:MZW852081 MZW917515:MZW917617 MZW983051:MZW983153 NJT10:NJT63 NJS65547:NJS65649 NJS131083:NJS131185 NJS196619:NJS196721 NJS262155:NJS262257 NJS327691:NJS327793 NJS393227:NJS393329 NJS458763:NJS458865 NJS524299:NJS524401 NJS589835:NJS589937 NJS655371:NJS655473 NJS720907:NJS721009 NJS786443:NJS786545 NJS851979:NJS852081 NJS917515:NJS917617 NJS983051:NJS983153 NTP10:NTP63 NTO65547:NTO65649 NTO131083:NTO131185 NTO196619:NTO196721 NTO262155:NTO262257 NTO327691:NTO327793 NTO393227:NTO393329 NTO458763:NTO458865 NTO524299:NTO524401 NTO589835:NTO589937 NTO655371:NTO655473 NTO720907:NTO721009 NTO786443:NTO786545 NTO851979:NTO852081 NTO917515:NTO917617 NTO983051:NTO983153 ODL10:ODL63 ODK65547:ODK65649 ODK131083:ODK131185 ODK196619:ODK196721 ODK262155:ODK262257 ODK327691:ODK327793 ODK393227:ODK393329 ODK458763:ODK458865 ODK524299:ODK524401 ODK589835:ODK589937 ODK655371:ODK655473 ODK720907:ODK721009 ODK786443:ODK786545 ODK851979:ODK852081 ODK917515:ODK917617 ODK983051:ODK983153 ONH10:ONH63 ONG65547:ONG65649 ONG131083:ONG131185 ONG196619:ONG196721 ONG262155:ONG262257 ONG327691:ONG327793 ONG393227:ONG393329 ONG458763:ONG458865 ONG524299:ONG524401 ONG589835:ONG589937 ONG655371:ONG655473 ONG720907:ONG721009 ONG786443:ONG786545 ONG851979:ONG852081 ONG917515:ONG917617 ONG983051:ONG983153 OXD10:OXD63 OXC65547:OXC65649 OXC131083:OXC131185 OXC196619:OXC196721 OXC262155:OXC262257 OXC327691:OXC327793 OXC393227:OXC393329 OXC458763:OXC458865 OXC524299:OXC524401 OXC589835:OXC589937 OXC655371:OXC655473 OXC720907:OXC721009 OXC786443:OXC786545 OXC851979:OXC852081 OXC917515:OXC917617 OXC983051:OXC983153 PGZ10:PGZ63 PGY65547:PGY65649 PGY131083:PGY131185 PGY196619:PGY196721 PGY262155:PGY262257 PGY327691:PGY327793 PGY393227:PGY393329 PGY458763:PGY458865 PGY524299:PGY524401 PGY589835:PGY589937 PGY655371:PGY655473 PGY720907:PGY721009 PGY786443:PGY786545 PGY851979:PGY852081 PGY917515:PGY917617 PGY983051:PGY983153 PQV10:PQV63 PQU65547:PQU65649 PQU131083:PQU131185 PQU196619:PQU196721 PQU262155:PQU262257 PQU327691:PQU327793 PQU393227:PQU393329 PQU458763:PQU458865 PQU524299:PQU524401 PQU589835:PQU589937 PQU655371:PQU655473 PQU720907:PQU721009 PQU786443:PQU786545 PQU851979:PQU852081 PQU917515:PQU917617 PQU983051:PQU983153 QAR10:QAR63 QAQ65547:QAQ65649 QAQ131083:QAQ131185 QAQ196619:QAQ196721 QAQ262155:QAQ262257 QAQ327691:QAQ327793 QAQ393227:QAQ393329 QAQ458763:QAQ458865 QAQ524299:QAQ524401 QAQ589835:QAQ589937 QAQ655371:QAQ655473 QAQ720907:QAQ721009 QAQ786443:QAQ786545 QAQ851979:QAQ852081 QAQ917515:QAQ917617 QAQ983051:QAQ983153 QKN10:QKN63 QKM65547:QKM65649 QKM131083:QKM131185 QKM196619:QKM196721 QKM262155:QKM262257 QKM327691:QKM327793 QKM393227:QKM393329 QKM458763:QKM458865 QKM524299:QKM524401 QKM589835:QKM589937 QKM655371:QKM655473 QKM720907:QKM721009 QKM786443:QKM786545 QKM851979:QKM852081 QKM917515:QKM917617 QKM983051:QKM983153 QUJ10:QUJ63 QUI65547:QUI65649 QUI131083:QUI131185 QUI196619:QUI196721 QUI262155:QUI262257 QUI327691:QUI327793 QUI393227:QUI393329 QUI458763:QUI458865 QUI524299:QUI524401 QUI589835:QUI589937 QUI655371:QUI655473 QUI720907:QUI721009 QUI786443:QUI786545 QUI851979:QUI852081 QUI917515:QUI917617 QUI983051:QUI983153 REF10:REF63 REE65547:REE65649 REE131083:REE131185 REE196619:REE196721 REE262155:REE262257 REE327691:REE327793 REE393227:REE393329 REE458763:REE458865 REE524299:REE524401 REE589835:REE589937 REE655371:REE655473 REE720907:REE721009 REE786443:REE786545 REE851979:REE852081 REE917515:REE917617 REE983051:REE983153 ROB10:ROB63 ROA65547:ROA65649 ROA131083:ROA131185 ROA196619:ROA196721 ROA262155:ROA262257 ROA327691:ROA327793 ROA393227:ROA393329 ROA458763:ROA458865 ROA524299:ROA524401 ROA589835:ROA589937 ROA655371:ROA655473 ROA720907:ROA721009 ROA786443:ROA786545 ROA851979:ROA852081 ROA917515:ROA917617 ROA983051:ROA983153 RXX10:RXX63 RXW65547:RXW65649 RXW131083:RXW131185 RXW196619:RXW196721 RXW262155:RXW262257 RXW327691:RXW327793 RXW393227:RXW393329 RXW458763:RXW458865 RXW524299:RXW524401 RXW589835:RXW589937 RXW655371:RXW655473 RXW720907:RXW721009 RXW786443:RXW786545 RXW851979:RXW852081 RXW917515:RXW917617 RXW983051:RXW983153 SHT10:SHT63 SHS65547:SHS65649 SHS131083:SHS131185 SHS196619:SHS196721 SHS262155:SHS262257 SHS327691:SHS327793 SHS393227:SHS393329 SHS458763:SHS458865 SHS524299:SHS524401 SHS589835:SHS589937 SHS655371:SHS655473 SHS720907:SHS721009 SHS786443:SHS786545 SHS851979:SHS852081 SHS917515:SHS917617 SHS983051:SHS983153 SRP10:SRP63 SRO65547:SRO65649 SRO131083:SRO131185 SRO196619:SRO196721 SRO262155:SRO262257 SRO327691:SRO327793 SRO393227:SRO393329 SRO458763:SRO458865 SRO524299:SRO524401 SRO589835:SRO589937 SRO655371:SRO655473 SRO720907:SRO721009 SRO786443:SRO786545 SRO851979:SRO852081 SRO917515:SRO917617 SRO983051:SRO983153 TBL10:TBL63 TBK65547:TBK65649 TBK131083:TBK131185 TBK196619:TBK196721 TBK262155:TBK262257 TBK327691:TBK327793 TBK393227:TBK393329 TBK458763:TBK458865 TBK524299:TBK524401 TBK589835:TBK589937 TBK655371:TBK655473 TBK720907:TBK721009 TBK786443:TBK786545 TBK851979:TBK852081 TBK917515:TBK917617 TBK983051:TBK983153 TLH10:TLH63 TLG65547:TLG65649 TLG131083:TLG131185 TLG196619:TLG196721 TLG262155:TLG262257 TLG327691:TLG327793 TLG393227:TLG393329 TLG458763:TLG458865 TLG524299:TLG524401 TLG589835:TLG589937 TLG655371:TLG655473 TLG720907:TLG721009 TLG786443:TLG786545 TLG851979:TLG852081 TLG917515:TLG917617 TLG983051:TLG983153 TVD10:TVD63 TVC65547:TVC65649 TVC131083:TVC131185 TVC196619:TVC196721 TVC262155:TVC262257 TVC327691:TVC327793 TVC393227:TVC393329 TVC458763:TVC458865 TVC524299:TVC524401 TVC589835:TVC589937 TVC655371:TVC655473 TVC720907:TVC721009 TVC786443:TVC786545 TVC851979:TVC852081 TVC917515:TVC917617 TVC983051:TVC983153 UEZ10:UEZ63 UEY65547:UEY65649 UEY131083:UEY131185 UEY196619:UEY196721 UEY262155:UEY262257 UEY327691:UEY327793 UEY393227:UEY393329 UEY458763:UEY458865 UEY524299:UEY524401 UEY589835:UEY589937 UEY655371:UEY655473 UEY720907:UEY721009 UEY786443:UEY786545 UEY851979:UEY852081 UEY917515:UEY917617 UEY983051:UEY983153 UOV10:UOV63 UOU65547:UOU65649 UOU131083:UOU131185 UOU196619:UOU196721 UOU262155:UOU262257 UOU327691:UOU327793 UOU393227:UOU393329 UOU458763:UOU458865 UOU524299:UOU524401 UOU589835:UOU589937 UOU655371:UOU655473 UOU720907:UOU721009 UOU786443:UOU786545 UOU851979:UOU852081 UOU917515:UOU917617 UOU983051:UOU983153 UYR10:UYR63 UYQ65547:UYQ65649 UYQ131083:UYQ131185 UYQ196619:UYQ196721 UYQ262155:UYQ262257 UYQ327691:UYQ327793 UYQ393227:UYQ393329 UYQ458763:UYQ458865 UYQ524299:UYQ524401 UYQ589835:UYQ589937 UYQ655371:UYQ655473 UYQ720907:UYQ721009 UYQ786443:UYQ786545 UYQ851979:UYQ852081 UYQ917515:UYQ917617 UYQ983051:UYQ983153 VIN10:VIN63 VIM65547:VIM65649 VIM131083:VIM131185 VIM196619:VIM196721 VIM262155:VIM262257 VIM327691:VIM327793 VIM393227:VIM393329 VIM458763:VIM458865 VIM524299:VIM524401 VIM589835:VIM589937 VIM655371:VIM655473 VIM720907:VIM721009 VIM786443:VIM786545 VIM851979:VIM852081 VIM917515:VIM917617 VIM983051:VIM983153 VSJ10:VSJ63 VSI65547:VSI65649 VSI131083:VSI131185 VSI196619:VSI196721 VSI262155:VSI262257 VSI327691:VSI327793 VSI393227:VSI393329 VSI458763:VSI458865 VSI524299:VSI524401 VSI589835:VSI589937 VSI655371:VSI655473 VSI720907:VSI721009 VSI786443:VSI786545 VSI851979:VSI852081 VSI917515:VSI917617 VSI983051:VSI983153 WCF10:WCF63 WCE65547:WCE65649 WCE131083:WCE131185 WCE196619:WCE196721 WCE262155:WCE262257 WCE327691:WCE327793 WCE393227:WCE393329 WCE458763:WCE458865 WCE524299:WCE524401 WCE589835:WCE589937 WCE655371:WCE655473 WCE720907:WCE721009 WCE786443:WCE786545 WCE851979:WCE852081 WCE917515:WCE917617 WCE983051:WCE983153 WMB10:WMB63 WMA65547:WMA65649 WMA131083:WMA131185 WMA196619:WMA196721 WMA262155:WMA262257 WMA327691:WMA327793 WMA393227:WMA393329 WMA458763:WMA458865 WMA524299:WMA524401 WMA589835:WMA589937 WMA655371:WMA655473 WMA720907:WMA721009 WMA786443:WMA786545 WMA851979:WMA852081 WMA917515:WMA917617 WMA983051:WMA983153 WVX10:WVX63 WVW983051:WVW983153 WVW65547:WVW65649 WVW131083:WVW131185 WVW196619:WVW196721 WVW262155:WVW262257 WVW327691:WVW327793 WVW393227:WVW393329 WVW458763:WVW458865 WVW524299:WVW524401 WVW589835:WVW589937 WVW655371:WVW655473 WVW720907:WVW721009 WVW786443:WVW786545 WVW851979:WVW852081 WVW917515:WVW917617 JL10:JL63 WVX66:WVX114 WMB66:WMB114 WCF66:WCF114 VSJ66:VSJ114 VIN66:VIN114 UYR66:UYR114 UOV66:UOV114 UEZ66:UEZ114 TVD66:TVD114 TLH66:TLH114 TBL66:TBL114 SRP66:SRP114 SHT66:SHT114 RXX66:RXX114 ROB66:ROB114 REF66:REF114 QUJ66:QUJ114 QKN66:QKN114 QAR66:QAR114 PQV66:PQV114 PGZ66:PGZ114 OXD66:OXD114 ONH66:ONH114 ODL66:ODL114 NTP66:NTP114 NJT66:NJT114 MZX66:MZX114 MQB66:MQB114 MGF66:MGF114 LWJ66:LWJ114 LMN66:LMN114 LCR66:LCR114 KSV66:KSV114 KIZ66:KIZ114 JZD66:JZD114 JPH66:JPH114 JFL66:JFL114 IVP66:IVP114 ILT66:ILT114 IBX66:IBX114 HSB66:HSB114 HIF66:HIF114 GYJ66:GYJ114 GON66:GON114 GER66:GER114 FUV66:FUV114 FKZ66:FKZ114 FBD66:FBD114 ERH66:ERH114 EHL66:EHL114 DXP66:DXP114 DNT66:DNT114 DDX66:DDX114 CUB66:CUB114 CKF66:CKF114 CAJ66:CAJ114 BQN66:BQN114 BGR66:BGR114 AWV66:AWV114 AMZ66:AMZ114 ADD66:ADD114 TH66:TH114 JL66:JL114" xr:uid="{5AD9916F-4884-46BD-A552-2291F2578553}"/>
    <dataValidation allowBlank="1" showInputMessage="1" showErrorMessage="1" prompt="Performance Tasks Total Raw Score" sqref="N65549:N65649 N131085:N131185 N196621:N196721 N262157:N262257 N327693:N327793 N393229:N393329 N458765:N458865 N524301:N524401 N589837:N589937 N655373:N655473 N720909:N721009 N786445:N786545 N851981:N852081 N917517:N917617 N983053:N983153 TG13:TG63 JJ65549:JJ65649 JJ131085:JJ131185 JJ196621:JJ196721 JJ262157:JJ262257 JJ327693:JJ327793 JJ393229:JJ393329 JJ458765:JJ458865 JJ524301:JJ524401 JJ589837:JJ589937 JJ655373:JJ655473 JJ720909:JJ721009 JJ786445:JJ786545 JJ851981:JJ852081 JJ917517:JJ917617 JJ983053:JJ983153 ADC13:ADC63 TF65549:TF65649 TF131085:TF131185 TF196621:TF196721 TF262157:TF262257 TF327693:TF327793 TF393229:TF393329 TF458765:TF458865 TF524301:TF524401 TF589837:TF589937 TF655373:TF655473 TF720909:TF721009 TF786445:TF786545 TF851981:TF852081 TF917517:TF917617 TF983053:TF983153 AMY13:AMY6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WU13:AWU6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BGQ13:BGQ6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QM13:BQM6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CAI13:CAI6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KE13:CKE6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UA13:CUA6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DDW13:DDW6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NS13:DNS6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XO13:DXO6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EHK13:EHK6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RG13:ERG6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FBC13:FBC6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KY13:FKY6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UU13:FUU6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GEQ13:GEQ6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OM13:GOM6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YI13:GYI6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HIE13:HIE6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SA13:HSA6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IBW13:IBW6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LS13:ILS6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VO13:IVO6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JFK13:JFK6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PG13:JPG6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ZC13:JZC6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KIY13:KIY6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SU13:KSU6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LCQ13:LCQ6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MM13:LMM6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WI13:LWI6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MGE13:MGE6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QA13:MQA6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ZW13:MZW6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NJS13:NJS6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TO13:NTO6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ODK13:ODK6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NG13:ONG6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XC13:OXC6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PGY13:PGY6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QU13:PQU6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QAQ13:QAQ6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KM13:QKM6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UI13:QUI6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REE13:REE6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OA13:ROA6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XW13:RXW6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SHS13:SHS6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RO13:SRO6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TBK13:TBK6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LG13:TLG6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VC13:TVC6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UEY13:UEY6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OU13:UOU6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YQ13:UYQ6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VIM13:VIM6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SI13:VSI6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WCE13:WCE6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MA13:WMA6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VW13:WVW6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983053:WVV983153 WVV65549:WVV65649 WVV131085:WVV131185 WVV196621:WVV196721 WVV262157:WVV262257 WVV327693:WVV327793 WVV393229:WVV393329 WVV458765:WVV458865 WVV524301:WVV524401 WVV589837:WVV589937 WVV655373:WVV655473 WVV720909:WVV721009 WVV786445:WVV786545 WVV851981:WVV852081 WVV917517:WVV917617 JK13:JK63 WVW66:WVW114 WMA66:WMA114 WCE66:WCE114 VSI66:VSI114 VIM66:VIM114 UYQ66:UYQ114 UOU66:UOU114 UEY66:UEY114 TVC66:TVC114 TLG66:TLG114 TBK66:TBK114 SRO66:SRO114 SHS66:SHS114 RXW66:RXW114 ROA66:ROA114 REE66:REE114 QUI66:QUI114 QKM66:QKM114 QAQ66:QAQ114 PQU66:PQU114 PGY66:PGY114 OXC66:OXC114 ONG66:ONG114 ODK66:ODK114 NTO66:NTO114 NJS66:NJS114 MZW66:MZW114 MQA66:MQA114 MGE66:MGE114 LWI66:LWI114 LMM66:LMM114 LCQ66:LCQ114 KSU66:KSU114 KIY66:KIY114 JZC66:JZC114 JPG66:JPG114 JFK66:JFK114 IVO66:IVO114 ILS66:ILS114 IBW66:IBW114 HSA66:HSA114 HIE66:HIE114 GYI66:GYI114 GOM66:GOM114 GEQ66:GEQ114 FUU66:FUU114 FKY66:FKY114 FBC66:FBC114 ERG66:ERG114 EHK66:EHK114 DXO66:DXO114 DNS66:DNS114 DDW66:DDW114 CUA66:CUA114 CKE66:CKE114 CAI66:CAI114 BQM66:BQM114 BGQ66:BGQ114 AWU66:AWU114 AMY66:AMY114 ADC66:ADC114 TG66:TG114 JK66:JK114" xr:uid="{E294E81A-B7B4-4CCA-B58D-275B18B5BF4F}"/>
    <dataValidation allowBlank="1" showInputMessage="1" showErrorMessage="1" prompt="Performance Tasks Total Highest Possible Score" sqref="N65547:N65548 N131083:N131084 N196619:N196620 N262155:N262156 N327691:N327692 N393227:N393228 N458763:N458764 N524299:N524300 N589835:N589836 N655371:N655372 N720907:N720908 N786443:N786444 N851979:N851980 N917515:N917516 N983051:N983052 JK10:JK12 JJ65547:JJ65548 JJ131083:JJ131084 JJ196619:JJ196620 JJ262155:JJ262156 JJ327691:JJ327692 JJ393227:JJ393228 JJ458763:JJ458764 JJ524299:JJ524300 JJ589835:JJ589836 JJ655371:JJ655372 JJ720907:JJ720908 JJ786443:JJ786444 JJ851979:JJ851980 JJ917515:JJ917516 JJ983051:JJ983052 TG10:TG12 TF65547:TF65548 TF131083:TF131084 TF196619:TF196620 TF262155:TF262156 TF327691:TF327692 TF393227:TF393228 TF458763:TF458764 TF524299:TF524300 TF589835:TF589836 TF655371:TF655372 TF720907:TF720908 TF786443:TF786444 TF851979:TF851980 TF917515:TF917516 TF983051:TF983052 ADC10:ADC12 ADB65547:ADB65548 ADB131083:ADB131084 ADB196619:ADB196620 ADB262155:ADB262156 ADB327691:ADB327692 ADB393227:ADB393228 ADB458763:ADB458764 ADB524299:ADB524300 ADB589835:ADB589836 ADB655371:ADB655372 ADB720907:ADB720908 ADB786443:ADB786444 ADB851979:ADB851980 ADB917515:ADB917516 ADB983051:ADB983052 AMY10:AMY12 AMX65547:AMX65548 AMX131083:AMX131084 AMX196619:AMX196620 AMX262155:AMX262156 AMX327691:AMX327692 AMX393227:AMX393228 AMX458763:AMX458764 AMX524299:AMX524300 AMX589835:AMX589836 AMX655371:AMX655372 AMX720907:AMX720908 AMX786443:AMX786444 AMX851979:AMX851980 AMX917515:AMX917516 AMX983051:AMX983052 AWU10:AWU12 AWT65547:AWT65548 AWT131083:AWT131084 AWT196619:AWT196620 AWT262155:AWT262156 AWT327691:AWT327692 AWT393227:AWT393228 AWT458763:AWT458764 AWT524299:AWT524300 AWT589835:AWT589836 AWT655371:AWT655372 AWT720907:AWT720908 AWT786443:AWT786444 AWT851979:AWT851980 AWT917515:AWT917516 AWT983051:AWT983052 BGQ10:BGQ12 BGP65547:BGP65548 BGP131083:BGP131084 BGP196619:BGP196620 BGP262155:BGP262156 BGP327691:BGP327692 BGP393227:BGP393228 BGP458763:BGP458764 BGP524299:BGP524300 BGP589835:BGP589836 BGP655371:BGP655372 BGP720907:BGP720908 BGP786443:BGP786444 BGP851979:BGP851980 BGP917515:BGP917516 BGP983051:BGP983052 BQM10:BQM12 BQL65547:BQL65548 BQL131083:BQL131084 BQL196619:BQL196620 BQL262155:BQL262156 BQL327691:BQL327692 BQL393227:BQL393228 BQL458763:BQL458764 BQL524299:BQL524300 BQL589835:BQL589836 BQL655371:BQL655372 BQL720907:BQL720908 BQL786443:BQL786444 BQL851979:BQL851980 BQL917515:BQL917516 BQL983051:BQL983052 CAI10:CAI12 CAH65547:CAH65548 CAH131083:CAH131084 CAH196619:CAH196620 CAH262155:CAH262156 CAH327691:CAH327692 CAH393227:CAH393228 CAH458763:CAH458764 CAH524299:CAH524300 CAH589835:CAH589836 CAH655371:CAH655372 CAH720907:CAH720908 CAH786443:CAH786444 CAH851979:CAH851980 CAH917515:CAH917516 CAH983051:CAH983052 CKE10:CKE12 CKD65547:CKD65548 CKD131083:CKD131084 CKD196619:CKD196620 CKD262155:CKD262156 CKD327691:CKD327692 CKD393227:CKD393228 CKD458763:CKD458764 CKD524299:CKD524300 CKD589835:CKD589836 CKD655371:CKD655372 CKD720907:CKD720908 CKD786443:CKD786444 CKD851979:CKD851980 CKD917515:CKD917516 CKD983051:CKD983052 CUA10:CUA12 CTZ65547:CTZ65548 CTZ131083:CTZ131084 CTZ196619:CTZ196620 CTZ262155:CTZ262156 CTZ327691:CTZ327692 CTZ393227:CTZ393228 CTZ458763:CTZ458764 CTZ524299:CTZ524300 CTZ589835:CTZ589836 CTZ655371:CTZ655372 CTZ720907:CTZ720908 CTZ786443:CTZ786444 CTZ851979:CTZ851980 CTZ917515:CTZ917516 CTZ983051:CTZ983052 DDW10:DDW12 DDV65547:DDV65548 DDV131083:DDV131084 DDV196619:DDV196620 DDV262155:DDV262156 DDV327691:DDV327692 DDV393227:DDV393228 DDV458763:DDV458764 DDV524299:DDV524300 DDV589835:DDV589836 DDV655371:DDV655372 DDV720907:DDV720908 DDV786443:DDV786444 DDV851979:DDV851980 DDV917515:DDV917516 DDV983051:DDV983052 DNS10:DNS12 DNR65547:DNR65548 DNR131083:DNR131084 DNR196619:DNR196620 DNR262155:DNR262156 DNR327691:DNR327692 DNR393227:DNR393228 DNR458763:DNR458764 DNR524299:DNR524300 DNR589835:DNR589836 DNR655371:DNR655372 DNR720907:DNR720908 DNR786443:DNR786444 DNR851979:DNR851980 DNR917515:DNR917516 DNR983051:DNR983052 DXO10:DXO12 DXN65547:DXN65548 DXN131083:DXN131084 DXN196619:DXN196620 DXN262155:DXN262156 DXN327691:DXN327692 DXN393227:DXN393228 DXN458763:DXN458764 DXN524299:DXN524300 DXN589835:DXN589836 DXN655371:DXN655372 DXN720907:DXN720908 DXN786443:DXN786444 DXN851979:DXN851980 DXN917515:DXN917516 DXN983051:DXN983052 EHK10:EHK12 EHJ65547:EHJ65548 EHJ131083:EHJ131084 EHJ196619:EHJ196620 EHJ262155:EHJ262156 EHJ327691:EHJ327692 EHJ393227:EHJ393228 EHJ458763:EHJ458764 EHJ524299:EHJ524300 EHJ589835:EHJ589836 EHJ655371:EHJ655372 EHJ720907:EHJ720908 EHJ786443:EHJ786444 EHJ851979:EHJ851980 EHJ917515:EHJ917516 EHJ983051:EHJ983052 ERG10:ERG12 ERF65547:ERF65548 ERF131083:ERF131084 ERF196619:ERF196620 ERF262155:ERF262156 ERF327691:ERF327692 ERF393227:ERF393228 ERF458763:ERF458764 ERF524299:ERF524300 ERF589835:ERF589836 ERF655371:ERF655372 ERF720907:ERF720908 ERF786443:ERF786444 ERF851979:ERF851980 ERF917515:ERF917516 ERF983051:ERF983052 FBC10:FBC12 FBB65547:FBB65548 FBB131083:FBB131084 FBB196619:FBB196620 FBB262155:FBB262156 FBB327691:FBB327692 FBB393227:FBB393228 FBB458763:FBB458764 FBB524299:FBB524300 FBB589835:FBB589836 FBB655371:FBB655372 FBB720907:FBB720908 FBB786443:FBB786444 FBB851979:FBB851980 FBB917515:FBB917516 FBB983051:FBB983052 FKY10:FKY12 FKX65547:FKX65548 FKX131083:FKX131084 FKX196619:FKX196620 FKX262155:FKX262156 FKX327691:FKX327692 FKX393227:FKX393228 FKX458763:FKX458764 FKX524299:FKX524300 FKX589835:FKX589836 FKX655371:FKX655372 FKX720907:FKX720908 FKX786443:FKX786444 FKX851979:FKX851980 FKX917515:FKX917516 FKX983051:FKX983052 FUU10:FUU12 FUT65547:FUT65548 FUT131083:FUT131084 FUT196619:FUT196620 FUT262155:FUT262156 FUT327691:FUT327692 FUT393227:FUT393228 FUT458763:FUT458764 FUT524299:FUT524300 FUT589835:FUT589836 FUT655371:FUT655372 FUT720907:FUT720908 FUT786443:FUT786444 FUT851979:FUT851980 FUT917515:FUT917516 FUT983051:FUT983052 GEQ10:GEQ12 GEP65547:GEP65548 GEP131083:GEP131084 GEP196619:GEP196620 GEP262155:GEP262156 GEP327691:GEP327692 GEP393227:GEP393228 GEP458763:GEP458764 GEP524299:GEP524300 GEP589835:GEP589836 GEP655371:GEP655372 GEP720907:GEP720908 GEP786443:GEP786444 GEP851979:GEP851980 GEP917515:GEP917516 GEP983051:GEP983052 GOM10:GOM12 GOL65547:GOL65548 GOL131083:GOL131084 GOL196619:GOL196620 GOL262155:GOL262156 GOL327691:GOL327692 GOL393227:GOL393228 GOL458763:GOL458764 GOL524299:GOL524300 GOL589835:GOL589836 GOL655371:GOL655372 GOL720907:GOL720908 GOL786443:GOL786444 GOL851979:GOL851980 GOL917515:GOL917516 GOL983051:GOL983052 GYI10:GYI12 GYH65547:GYH65548 GYH131083:GYH131084 GYH196619:GYH196620 GYH262155:GYH262156 GYH327691:GYH327692 GYH393227:GYH393228 GYH458763:GYH458764 GYH524299:GYH524300 GYH589835:GYH589836 GYH655371:GYH655372 GYH720907:GYH720908 GYH786443:GYH786444 GYH851979:GYH851980 GYH917515:GYH917516 GYH983051:GYH983052 HIE10:HIE12 HID65547:HID65548 HID131083:HID131084 HID196619:HID196620 HID262155:HID262156 HID327691:HID327692 HID393227:HID393228 HID458763:HID458764 HID524299:HID524300 HID589835:HID589836 HID655371:HID655372 HID720907:HID720908 HID786443:HID786444 HID851979:HID851980 HID917515:HID917516 HID983051:HID983052 HSA10:HSA12 HRZ65547:HRZ65548 HRZ131083:HRZ131084 HRZ196619:HRZ196620 HRZ262155:HRZ262156 HRZ327691:HRZ327692 HRZ393227:HRZ393228 HRZ458763:HRZ458764 HRZ524299:HRZ524300 HRZ589835:HRZ589836 HRZ655371:HRZ655372 HRZ720907:HRZ720908 HRZ786443:HRZ786444 HRZ851979:HRZ851980 HRZ917515:HRZ917516 HRZ983051:HRZ983052 IBW10:IBW12 IBV65547:IBV65548 IBV131083:IBV131084 IBV196619:IBV196620 IBV262155:IBV262156 IBV327691:IBV327692 IBV393227:IBV393228 IBV458763:IBV458764 IBV524299:IBV524300 IBV589835:IBV589836 IBV655371:IBV655372 IBV720907:IBV720908 IBV786443:IBV786444 IBV851979:IBV851980 IBV917515:IBV917516 IBV983051:IBV983052 ILS10:ILS12 ILR65547:ILR65548 ILR131083:ILR131084 ILR196619:ILR196620 ILR262155:ILR262156 ILR327691:ILR327692 ILR393227:ILR393228 ILR458763:ILR458764 ILR524299:ILR524300 ILR589835:ILR589836 ILR655371:ILR655372 ILR720907:ILR720908 ILR786443:ILR786444 ILR851979:ILR851980 ILR917515:ILR917516 ILR983051:ILR983052 IVO10:IVO12 IVN65547:IVN65548 IVN131083:IVN131084 IVN196619:IVN196620 IVN262155:IVN262156 IVN327691:IVN327692 IVN393227:IVN393228 IVN458763:IVN458764 IVN524299:IVN524300 IVN589835:IVN589836 IVN655371:IVN655372 IVN720907:IVN720908 IVN786443:IVN786444 IVN851979:IVN851980 IVN917515:IVN917516 IVN983051:IVN983052 JFK10:JFK12 JFJ65547:JFJ65548 JFJ131083:JFJ131084 JFJ196619:JFJ196620 JFJ262155:JFJ262156 JFJ327691:JFJ327692 JFJ393227:JFJ393228 JFJ458763:JFJ458764 JFJ524299:JFJ524300 JFJ589835:JFJ589836 JFJ655371:JFJ655372 JFJ720907:JFJ720908 JFJ786443:JFJ786444 JFJ851979:JFJ851980 JFJ917515:JFJ917516 JFJ983051:JFJ983052 JPG10:JPG12 JPF65547:JPF65548 JPF131083:JPF131084 JPF196619:JPF196620 JPF262155:JPF262156 JPF327691:JPF327692 JPF393227:JPF393228 JPF458763:JPF458764 JPF524299:JPF524300 JPF589835:JPF589836 JPF655371:JPF655372 JPF720907:JPF720908 JPF786443:JPF786444 JPF851979:JPF851980 JPF917515:JPF917516 JPF983051:JPF983052 JZC10:JZC12 JZB65547:JZB65548 JZB131083:JZB131084 JZB196619:JZB196620 JZB262155:JZB262156 JZB327691:JZB327692 JZB393227:JZB393228 JZB458763:JZB458764 JZB524299:JZB524300 JZB589835:JZB589836 JZB655371:JZB655372 JZB720907:JZB720908 JZB786443:JZB786444 JZB851979:JZB851980 JZB917515:JZB917516 JZB983051:JZB983052 KIY10:KIY12 KIX65547:KIX65548 KIX131083:KIX131084 KIX196619:KIX196620 KIX262155:KIX262156 KIX327691:KIX327692 KIX393227:KIX393228 KIX458763:KIX458764 KIX524299:KIX524300 KIX589835:KIX589836 KIX655371:KIX655372 KIX720907:KIX720908 KIX786443:KIX786444 KIX851979:KIX851980 KIX917515:KIX917516 KIX983051:KIX983052 KSU10:KSU12 KST65547:KST65548 KST131083:KST131084 KST196619:KST196620 KST262155:KST262156 KST327691:KST327692 KST393227:KST393228 KST458763:KST458764 KST524299:KST524300 KST589835:KST589836 KST655371:KST655372 KST720907:KST720908 KST786443:KST786444 KST851979:KST851980 KST917515:KST917516 KST983051:KST983052 LCQ10:LCQ12 LCP65547:LCP65548 LCP131083:LCP131084 LCP196619:LCP196620 LCP262155:LCP262156 LCP327691:LCP327692 LCP393227:LCP393228 LCP458763:LCP458764 LCP524299:LCP524300 LCP589835:LCP589836 LCP655371:LCP655372 LCP720907:LCP720908 LCP786443:LCP786444 LCP851979:LCP851980 LCP917515:LCP917516 LCP983051:LCP983052 LMM10:LMM12 LML65547:LML65548 LML131083:LML131084 LML196619:LML196620 LML262155:LML262156 LML327691:LML327692 LML393227:LML393228 LML458763:LML458764 LML524299:LML524300 LML589835:LML589836 LML655371:LML655372 LML720907:LML720908 LML786443:LML786444 LML851979:LML851980 LML917515:LML917516 LML983051:LML983052 LWI10:LWI12 LWH65547:LWH65548 LWH131083:LWH131084 LWH196619:LWH196620 LWH262155:LWH262156 LWH327691:LWH327692 LWH393227:LWH393228 LWH458763:LWH458764 LWH524299:LWH524300 LWH589835:LWH589836 LWH655371:LWH655372 LWH720907:LWH720908 LWH786443:LWH786444 LWH851979:LWH851980 LWH917515:LWH917516 LWH983051:LWH983052 MGE10:MGE12 MGD65547:MGD65548 MGD131083:MGD131084 MGD196619:MGD196620 MGD262155:MGD262156 MGD327691:MGD327692 MGD393227:MGD393228 MGD458763:MGD458764 MGD524299:MGD524300 MGD589835:MGD589836 MGD655371:MGD655372 MGD720907:MGD720908 MGD786443:MGD786444 MGD851979:MGD851980 MGD917515:MGD917516 MGD983051:MGD983052 MQA10:MQA12 MPZ65547:MPZ65548 MPZ131083:MPZ131084 MPZ196619:MPZ196620 MPZ262155:MPZ262156 MPZ327691:MPZ327692 MPZ393227:MPZ393228 MPZ458763:MPZ458764 MPZ524299:MPZ524300 MPZ589835:MPZ589836 MPZ655371:MPZ655372 MPZ720907:MPZ720908 MPZ786443:MPZ786444 MPZ851979:MPZ851980 MPZ917515:MPZ917516 MPZ983051:MPZ983052 MZW10:MZW12 MZV65547:MZV65548 MZV131083:MZV131084 MZV196619:MZV196620 MZV262155:MZV262156 MZV327691:MZV327692 MZV393227:MZV393228 MZV458763:MZV458764 MZV524299:MZV524300 MZV589835:MZV589836 MZV655371:MZV655372 MZV720907:MZV720908 MZV786443:MZV786444 MZV851979:MZV851980 MZV917515:MZV917516 MZV983051:MZV983052 NJS10:NJS12 NJR65547:NJR65548 NJR131083:NJR131084 NJR196619:NJR196620 NJR262155:NJR262156 NJR327691:NJR327692 NJR393227:NJR393228 NJR458763:NJR458764 NJR524299:NJR524300 NJR589835:NJR589836 NJR655371:NJR655372 NJR720907:NJR720908 NJR786443:NJR786444 NJR851979:NJR851980 NJR917515:NJR917516 NJR983051:NJR983052 NTO10:NTO12 NTN65547:NTN65548 NTN131083:NTN131084 NTN196619:NTN196620 NTN262155:NTN262156 NTN327691:NTN327692 NTN393227:NTN393228 NTN458763:NTN458764 NTN524299:NTN524300 NTN589835:NTN589836 NTN655371:NTN655372 NTN720907:NTN720908 NTN786443:NTN786444 NTN851979:NTN851980 NTN917515:NTN917516 NTN983051:NTN983052 ODK10:ODK12 ODJ65547:ODJ65548 ODJ131083:ODJ131084 ODJ196619:ODJ196620 ODJ262155:ODJ262156 ODJ327691:ODJ327692 ODJ393227:ODJ393228 ODJ458763:ODJ458764 ODJ524299:ODJ524300 ODJ589835:ODJ589836 ODJ655371:ODJ655372 ODJ720907:ODJ720908 ODJ786443:ODJ786444 ODJ851979:ODJ851980 ODJ917515:ODJ917516 ODJ983051:ODJ983052 ONG10:ONG12 ONF65547:ONF65548 ONF131083:ONF131084 ONF196619:ONF196620 ONF262155:ONF262156 ONF327691:ONF327692 ONF393227:ONF393228 ONF458763:ONF458764 ONF524299:ONF524300 ONF589835:ONF589836 ONF655371:ONF655372 ONF720907:ONF720908 ONF786443:ONF786444 ONF851979:ONF851980 ONF917515:ONF917516 ONF983051:ONF983052 OXC10:OXC12 OXB65547:OXB65548 OXB131083:OXB131084 OXB196619:OXB196620 OXB262155:OXB262156 OXB327691:OXB327692 OXB393227:OXB393228 OXB458763:OXB458764 OXB524299:OXB524300 OXB589835:OXB589836 OXB655371:OXB655372 OXB720907:OXB720908 OXB786443:OXB786444 OXB851979:OXB851980 OXB917515:OXB917516 OXB983051:OXB983052 PGY10:PGY12 PGX65547:PGX65548 PGX131083:PGX131084 PGX196619:PGX196620 PGX262155:PGX262156 PGX327691:PGX327692 PGX393227:PGX393228 PGX458763:PGX458764 PGX524299:PGX524300 PGX589835:PGX589836 PGX655371:PGX655372 PGX720907:PGX720908 PGX786443:PGX786444 PGX851979:PGX851980 PGX917515:PGX917516 PGX983051:PGX983052 PQU10:PQU12 PQT65547:PQT65548 PQT131083:PQT131084 PQT196619:PQT196620 PQT262155:PQT262156 PQT327691:PQT327692 PQT393227:PQT393228 PQT458763:PQT458764 PQT524299:PQT524300 PQT589835:PQT589836 PQT655371:PQT655372 PQT720907:PQT720908 PQT786443:PQT786444 PQT851979:PQT851980 PQT917515:PQT917516 PQT983051:PQT983052 QAQ10:QAQ12 QAP65547:QAP65548 QAP131083:QAP131084 QAP196619:QAP196620 QAP262155:QAP262156 QAP327691:QAP327692 QAP393227:QAP393228 QAP458763:QAP458764 QAP524299:QAP524300 QAP589835:QAP589836 QAP655371:QAP655372 QAP720907:QAP720908 QAP786443:QAP786444 QAP851979:QAP851980 QAP917515:QAP917516 QAP983051:QAP983052 QKM10:QKM12 QKL65547:QKL65548 QKL131083:QKL131084 QKL196619:QKL196620 QKL262155:QKL262156 QKL327691:QKL327692 QKL393227:QKL393228 QKL458763:QKL458764 QKL524299:QKL524300 QKL589835:QKL589836 QKL655371:QKL655372 QKL720907:QKL720908 QKL786443:QKL786444 QKL851979:QKL851980 QKL917515:QKL917516 QKL983051:QKL983052 QUI10:QUI12 QUH65547:QUH65548 QUH131083:QUH131084 QUH196619:QUH196620 QUH262155:QUH262156 QUH327691:QUH327692 QUH393227:QUH393228 QUH458763:QUH458764 QUH524299:QUH524300 QUH589835:QUH589836 QUH655371:QUH655372 QUH720907:QUH720908 QUH786443:QUH786444 QUH851979:QUH851980 QUH917515:QUH917516 QUH983051:QUH983052 REE10:REE12 RED65547:RED65548 RED131083:RED131084 RED196619:RED196620 RED262155:RED262156 RED327691:RED327692 RED393227:RED393228 RED458763:RED458764 RED524299:RED524300 RED589835:RED589836 RED655371:RED655372 RED720907:RED720908 RED786443:RED786444 RED851979:RED851980 RED917515:RED917516 RED983051:RED983052 ROA10:ROA12 RNZ65547:RNZ65548 RNZ131083:RNZ131084 RNZ196619:RNZ196620 RNZ262155:RNZ262156 RNZ327691:RNZ327692 RNZ393227:RNZ393228 RNZ458763:RNZ458764 RNZ524299:RNZ524300 RNZ589835:RNZ589836 RNZ655371:RNZ655372 RNZ720907:RNZ720908 RNZ786443:RNZ786444 RNZ851979:RNZ851980 RNZ917515:RNZ917516 RNZ983051:RNZ983052 RXW10:RXW12 RXV65547:RXV65548 RXV131083:RXV131084 RXV196619:RXV196620 RXV262155:RXV262156 RXV327691:RXV327692 RXV393227:RXV393228 RXV458763:RXV458764 RXV524299:RXV524300 RXV589835:RXV589836 RXV655371:RXV655372 RXV720907:RXV720908 RXV786443:RXV786444 RXV851979:RXV851980 RXV917515:RXV917516 RXV983051:RXV983052 SHS10:SHS12 SHR65547:SHR65548 SHR131083:SHR131084 SHR196619:SHR196620 SHR262155:SHR262156 SHR327691:SHR327692 SHR393227:SHR393228 SHR458763:SHR458764 SHR524299:SHR524300 SHR589835:SHR589836 SHR655371:SHR655372 SHR720907:SHR720908 SHR786443:SHR786444 SHR851979:SHR851980 SHR917515:SHR917516 SHR983051:SHR983052 SRO10:SRO12 SRN65547:SRN65548 SRN131083:SRN131084 SRN196619:SRN196620 SRN262155:SRN262156 SRN327691:SRN327692 SRN393227:SRN393228 SRN458763:SRN458764 SRN524299:SRN524300 SRN589835:SRN589836 SRN655371:SRN655372 SRN720907:SRN720908 SRN786443:SRN786444 SRN851979:SRN851980 SRN917515:SRN917516 SRN983051:SRN983052 TBK10:TBK12 TBJ65547:TBJ65548 TBJ131083:TBJ131084 TBJ196619:TBJ196620 TBJ262155:TBJ262156 TBJ327691:TBJ327692 TBJ393227:TBJ393228 TBJ458763:TBJ458764 TBJ524299:TBJ524300 TBJ589835:TBJ589836 TBJ655371:TBJ655372 TBJ720907:TBJ720908 TBJ786443:TBJ786444 TBJ851979:TBJ851980 TBJ917515:TBJ917516 TBJ983051:TBJ983052 TLG10:TLG12 TLF65547:TLF65548 TLF131083:TLF131084 TLF196619:TLF196620 TLF262155:TLF262156 TLF327691:TLF327692 TLF393227:TLF393228 TLF458763:TLF458764 TLF524299:TLF524300 TLF589835:TLF589836 TLF655371:TLF655372 TLF720907:TLF720908 TLF786443:TLF786444 TLF851979:TLF851980 TLF917515:TLF917516 TLF983051:TLF983052 TVC10:TVC12 TVB65547:TVB65548 TVB131083:TVB131084 TVB196619:TVB196620 TVB262155:TVB262156 TVB327691:TVB327692 TVB393227:TVB393228 TVB458763:TVB458764 TVB524299:TVB524300 TVB589835:TVB589836 TVB655371:TVB655372 TVB720907:TVB720908 TVB786443:TVB786444 TVB851979:TVB851980 TVB917515:TVB917516 TVB983051:TVB983052 UEY10:UEY12 UEX65547:UEX65548 UEX131083:UEX131084 UEX196619:UEX196620 UEX262155:UEX262156 UEX327691:UEX327692 UEX393227:UEX393228 UEX458763:UEX458764 UEX524299:UEX524300 UEX589835:UEX589836 UEX655371:UEX655372 UEX720907:UEX720908 UEX786443:UEX786444 UEX851979:UEX851980 UEX917515:UEX917516 UEX983051:UEX983052 UOU10:UOU12 UOT65547:UOT65548 UOT131083:UOT131084 UOT196619:UOT196620 UOT262155:UOT262156 UOT327691:UOT327692 UOT393227:UOT393228 UOT458763:UOT458764 UOT524299:UOT524300 UOT589835:UOT589836 UOT655371:UOT655372 UOT720907:UOT720908 UOT786443:UOT786444 UOT851979:UOT851980 UOT917515:UOT917516 UOT983051:UOT983052 UYQ10:UYQ12 UYP65547:UYP65548 UYP131083:UYP131084 UYP196619:UYP196620 UYP262155:UYP262156 UYP327691:UYP327692 UYP393227:UYP393228 UYP458763:UYP458764 UYP524299:UYP524300 UYP589835:UYP589836 UYP655371:UYP655372 UYP720907:UYP720908 UYP786443:UYP786444 UYP851979:UYP851980 UYP917515:UYP917516 UYP983051:UYP983052 VIM10:VIM12 VIL65547:VIL65548 VIL131083:VIL131084 VIL196619:VIL196620 VIL262155:VIL262156 VIL327691:VIL327692 VIL393227:VIL393228 VIL458763:VIL458764 VIL524299:VIL524300 VIL589835:VIL589836 VIL655371:VIL655372 VIL720907:VIL720908 VIL786443:VIL786444 VIL851979:VIL851980 VIL917515:VIL917516 VIL983051:VIL983052 VSI10:VSI12 VSH65547:VSH65548 VSH131083:VSH131084 VSH196619:VSH196620 VSH262155:VSH262156 VSH327691:VSH327692 VSH393227:VSH393228 VSH458763:VSH458764 VSH524299:VSH524300 VSH589835:VSH589836 VSH655371:VSH655372 VSH720907:VSH720908 VSH786443:VSH786444 VSH851979:VSH851980 VSH917515:VSH917516 VSH983051:VSH983052 WCE10:WCE12 WCD65547:WCD65548 WCD131083:WCD131084 WCD196619:WCD196620 WCD262155:WCD262156 WCD327691:WCD327692 WCD393227:WCD393228 WCD458763:WCD458764 WCD524299:WCD524300 WCD589835:WCD589836 WCD655371:WCD655372 WCD720907:WCD720908 WCD786443:WCD786444 WCD851979:WCD851980 WCD917515:WCD917516 WCD983051:WCD983052 WMA10:WMA12 WLZ65547:WLZ65548 WLZ131083:WLZ131084 WLZ196619:WLZ196620 WLZ262155:WLZ262156 WLZ327691:WLZ327692 WLZ393227:WLZ393228 WLZ458763:WLZ458764 WLZ524299:WLZ524300 WLZ589835:WLZ589836 WLZ655371:WLZ655372 WLZ720907:WLZ720908 WLZ786443:WLZ786444 WLZ851979:WLZ851980 WLZ917515:WLZ917516 WLZ983051:WLZ983052 WVW10:WVW12 WVV65547:WVV65548 WVV131083:WVV131084 WVV196619:WVV196620 WVV262155:WVV262156 WVV327691:WVV327692 WVV393227:WVV393228 WVV458763:WVV458764 WVV524299:WVV524300 WVV589835:WVV589836 WVV655371:WVV655372 WVV720907:WVV720908 WVV786443:WVV786444 WVV851979:WVV851980 WVV917515:WVV917516 WVV983051:WVV983052" xr:uid="{040DCEDA-EAF5-4346-95FC-5417BA7B3438}"/>
    <dataValidation allowBlank="1" showInputMessage="1" showErrorMessage="1" prompt="Written Work Weighted Score" sqref="J65547:J65649 J131083:J131185 J196619:J196721 J262155:J262257 J327691:J327793 J393227:J393329 J458763:J458865 J524299:J524401 J589835:J589937 J655371:J655473 J720907:J721009 J786443:J786545 J851979:J852081 J917515:J917617 J983051:J983153 IY65547:IY65649 IY131083:IY131185 IY196619:IY196721 IY262155:IY262257 IY327691:IY327793 IY393227:IY393329 IY458763:IY458865 IY524299:IY524401 IY589835:IY589937 IY655371:IY655473 IY720907:IY721009 IY786443:IY786545 IY851979:IY852081 IY917515:IY917617 IY983051:IY983153 SV10:SV63 SU65547:SU65649 SU131083:SU131185 SU196619:SU196721 SU262155:SU262257 SU327691:SU327793 SU393227:SU393329 SU458763:SU458865 SU524299:SU524401 SU589835:SU589937 SU655371:SU655473 SU720907:SU721009 SU786443:SU786545 SU851979:SU852081 SU917515:SU917617 SU983051:SU983153 ACR10:ACR63 ACQ65547:ACQ65649 ACQ131083:ACQ131185 ACQ196619:ACQ196721 ACQ262155:ACQ262257 ACQ327691:ACQ327793 ACQ393227:ACQ393329 ACQ458763:ACQ458865 ACQ524299:ACQ524401 ACQ589835:ACQ589937 ACQ655371:ACQ655473 ACQ720907:ACQ721009 ACQ786443:ACQ786545 ACQ851979:ACQ852081 ACQ917515:ACQ917617 ACQ983051:ACQ983153 AMN10:AMN63 AMM65547:AMM65649 AMM131083:AMM131185 AMM196619:AMM196721 AMM262155:AMM262257 AMM327691:AMM327793 AMM393227:AMM393329 AMM458763:AMM458865 AMM524299:AMM524401 AMM589835:AMM589937 AMM655371:AMM655473 AMM720907:AMM721009 AMM786443:AMM786545 AMM851979:AMM852081 AMM917515:AMM917617 AMM983051:AMM983153 AWJ10:AWJ63 AWI65547:AWI65649 AWI131083:AWI131185 AWI196619:AWI196721 AWI262155:AWI262257 AWI327691:AWI327793 AWI393227:AWI393329 AWI458763:AWI458865 AWI524299:AWI524401 AWI589835:AWI589937 AWI655371:AWI655473 AWI720907:AWI721009 AWI786443:AWI786545 AWI851979:AWI852081 AWI917515:AWI917617 AWI983051:AWI983153 BGF10:BGF63 BGE65547:BGE65649 BGE131083:BGE131185 BGE196619:BGE196721 BGE262155:BGE262257 BGE327691:BGE327793 BGE393227:BGE393329 BGE458763:BGE458865 BGE524299:BGE524401 BGE589835:BGE589937 BGE655371:BGE655473 BGE720907:BGE721009 BGE786443:BGE786545 BGE851979:BGE852081 BGE917515:BGE917617 BGE983051:BGE983153 BQB10:BQB63 BQA65547:BQA65649 BQA131083:BQA131185 BQA196619:BQA196721 BQA262155:BQA262257 BQA327691:BQA327793 BQA393227:BQA393329 BQA458763:BQA458865 BQA524299:BQA524401 BQA589835:BQA589937 BQA655371:BQA655473 BQA720907:BQA721009 BQA786443:BQA786545 BQA851979:BQA852081 BQA917515:BQA917617 BQA983051:BQA983153 BZX10:BZX63 BZW65547:BZW65649 BZW131083:BZW131185 BZW196619:BZW196721 BZW262155:BZW262257 BZW327691:BZW327793 BZW393227:BZW393329 BZW458763:BZW458865 BZW524299:BZW524401 BZW589835:BZW589937 BZW655371:BZW655473 BZW720907:BZW721009 BZW786443:BZW786545 BZW851979:BZW852081 BZW917515:BZW917617 BZW983051:BZW983153 CJT10:CJT63 CJS65547:CJS65649 CJS131083:CJS131185 CJS196619:CJS196721 CJS262155:CJS262257 CJS327691:CJS327793 CJS393227:CJS393329 CJS458763:CJS458865 CJS524299:CJS524401 CJS589835:CJS589937 CJS655371:CJS655473 CJS720907:CJS721009 CJS786443:CJS786545 CJS851979:CJS852081 CJS917515:CJS917617 CJS983051:CJS983153 CTP10:CTP63 CTO65547:CTO65649 CTO131083:CTO131185 CTO196619:CTO196721 CTO262155:CTO262257 CTO327691:CTO327793 CTO393227:CTO393329 CTO458763:CTO458865 CTO524299:CTO524401 CTO589835:CTO589937 CTO655371:CTO655473 CTO720907:CTO721009 CTO786443:CTO786545 CTO851979:CTO852081 CTO917515:CTO917617 CTO983051:CTO983153 DDL10:DDL63 DDK65547:DDK65649 DDK131083:DDK131185 DDK196619:DDK196721 DDK262155:DDK262257 DDK327691:DDK327793 DDK393227:DDK393329 DDK458763:DDK458865 DDK524299:DDK524401 DDK589835:DDK589937 DDK655371:DDK655473 DDK720907:DDK721009 DDK786443:DDK786545 DDK851979:DDK852081 DDK917515:DDK917617 DDK983051:DDK983153 DNH10:DNH63 DNG65547:DNG65649 DNG131083:DNG131185 DNG196619:DNG196721 DNG262155:DNG262257 DNG327691:DNG327793 DNG393227:DNG393329 DNG458763:DNG458865 DNG524299:DNG524401 DNG589835:DNG589937 DNG655371:DNG655473 DNG720907:DNG721009 DNG786443:DNG786545 DNG851979:DNG852081 DNG917515:DNG917617 DNG983051:DNG983153 DXD10:DXD63 DXC65547:DXC65649 DXC131083:DXC131185 DXC196619:DXC196721 DXC262155:DXC262257 DXC327691:DXC327793 DXC393227:DXC393329 DXC458763:DXC458865 DXC524299:DXC524401 DXC589835:DXC589937 DXC655371:DXC655473 DXC720907:DXC721009 DXC786443:DXC786545 DXC851979:DXC852081 DXC917515:DXC917617 DXC983051:DXC983153 EGZ10:EGZ63 EGY65547:EGY65649 EGY131083:EGY131185 EGY196619:EGY196721 EGY262155:EGY262257 EGY327691:EGY327793 EGY393227:EGY393329 EGY458763:EGY458865 EGY524299:EGY524401 EGY589835:EGY589937 EGY655371:EGY655473 EGY720907:EGY721009 EGY786443:EGY786545 EGY851979:EGY852081 EGY917515:EGY917617 EGY983051:EGY983153 EQV10:EQV63 EQU65547:EQU65649 EQU131083:EQU131185 EQU196619:EQU196721 EQU262155:EQU262257 EQU327691:EQU327793 EQU393227:EQU393329 EQU458763:EQU458865 EQU524299:EQU524401 EQU589835:EQU589937 EQU655371:EQU655473 EQU720907:EQU721009 EQU786443:EQU786545 EQU851979:EQU852081 EQU917515:EQU917617 EQU983051:EQU983153 FAR10:FAR63 FAQ65547:FAQ65649 FAQ131083:FAQ131185 FAQ196619:FAQ196721 FAQ262155:FAQ262257 FAQ327691:FAQ327793 FAQ393227:FAQ393329 FAQ458763:FAQ458865 FAQ524299:FAQ524401 FAQ589835:FAQ589937 FAQ655371:FAQ655473 FAQ720907:FAQ721009 FAQ786443:FAQ786545 FAQ851979:FAQ852081 FAQ917515:FAQ917617 FAQ983051:FAQ983153 FKN10:FKN63 FKM65547:FKM65649 FKM131083:FKM131185 FKM196619:FKM196721 FKM262155:FKM262257 FKM327691:FKM327793 FKM393227:FKM393329 FKM458763:FKM458865 FKM524299:FKM524401 FKM589835:FKM589937 FKM655371:FKM655473 FKM720907:FKM721009 FKM786443:FKM786545 FKM851979:FKM852081 FKM917515:FKM917617 FKM983051:FKM983153 FUJ10:FUJ63 FUI65547:FUI65649 FUI131083:FUI131185 FUI196619:FUI196721 FUI262155:FUI262257 FUI327691:FUI327793 FUI393227:FUI393329 FUI458763:FUI458865 FUI524299:FUI524401 FUI589835:FUI589937 FUI655371:FUI655473 FUI720907:FUI721009 FUI786443:FUI786545 FUI851979:FUI852081 FUI917515:FUI917617 FUI983051:FUI983153 GEF10:GEF63 GEE65547:GEE65649 GEE131083:GEE131185 GEE196619:GEE196721 GEE262155:GEE262257 GEE327691:GEE327793 GEE393227:GEE393329 GEE458763:GEE458865 GEE524299:GEE524401 GEE589835:GEE589937 GEE655371:GEE655473 GEE720907:GEE721009 GEE786443:GEE786545 GEE851979:GEE852081 GEE917515:GEE917617 GEE983051:GEE983153 GOB10:GOB63 GOA65547:GOA65649 GOA131083:GOA131185 GOA196619:GOA196721 GOA262155:GOA262257 GOA327691:GOA327793 GOA393227:GOA393329 GOA458763:GOA458865 GOA524299:GOA524401 GOA589835:GOA589937 GOA655371:GOA655473 GOA720907:GOA721009 GOA786443:GOA786545 GOA851979:GOA852081 GOA917515:GOA917617 GOA983051:GOA983153 GXX10:GXX63 GXW65547:GXW65649 GXW131083:GXW131185 GXW196619:GXW196721 GXW262155:GXW262257 GXW327691:GXW327793 GXW393227:GXW393329 GXW458763:GXW458865 GXW524299:GXW524401 GXW589835:GXW589937 GXW655371:GXW655473 GXW720907:GXW721009 GXW786443:GXW786545 GXW851979:GXW852081 GXW917515:GXW917617 GXW983051:GXW983153 HHT10:HHT63 HHS65547:HHS65649 HHS131083:HHS131185 HHS196619:HHS196721 HHS262155:HHS262257 HHS327691:HHS327793 HHS393227:HHS393329 HHS458763:HHS458865 HHS524299:HHS524401 HHS589835:HHS589937 HHS655371:HHS655473 HHS720907:HHS721009 HHS786443:HHS786545 HHS851979:HHS852081 HHS917515:HHS917617 HHS983051:HHS983153 HRP10:HRP63 HRO65547:HRO65649 HRO131083:HRO131185 HRO196619:HRO196721 HRO262155:HRO262257 HRO327691:HRO327793 HRO393227:HRO393329 HRO458763:HRO458865 HRO524299:HRO524401 HRO589835:HRO589937 HRO655371:HRO655473 HRO720907:HRO721009 HRO786443:HRO786545 HRO851979:HRO852081 HRO917515:HRO917617 HRO983051:HRO983153 IBL10:IBL63 IBK65547:IBK65649 IBK131083:IBK131185 IBK196619:IBK196721 IBK262155:IBK262257 IBK327691:IBK327793 IBK393227:IBK393329 IBK458763:IBK458865 IBK524299:IBK524401 IBK589835:IBK589937 IBK655371:IBK655473 IBK720907:IBK721009 IBK786443:IBK786545 IBK851979:IBK852081 IBK917515:IBK917617 IBK983051:IBK983153 ILH10:ILH63 ILG65547:ILG65649 ILG131083:ILG131185 ILG196619:ILG196721 ILG262155:ILG262257 ILG327691:ILG327793 ILG393227:ILG393329 ILG458763:ILG458865 ILG524299:ILG524401 ILG589835:ILG589937 ILG655371:ILG655473 ILG720907:ILG721009 ILG786443:ILG786545 ILG851979:ILG852081 ILG917515:ILG917617 ILG983051:ILG983153 IVD10:IVD63 IVC65547:IVC65649 IVC131083:IVC131185 IVC196619:IVC196721 IVC262155:IVC262257 IVC327691:IVC327793 IVC393227:IVC393329 IVC458763:IVC458865 IVC524299:IVC524401 IVC589835:IVC589937 IVC655371:IVC655473 IVC720907:IVC721009 IVC786443:IVC786545 IVC851979:IVC852081 IVC917515:IVC917617 IVC983051:IVC983153 JEZ10:JEZ63 JEY65547:JEY65649 JEY131083:JEY131185 JEY196619:JEY196721 JEY262155:JEY262257 JEY327691:JEY327793 JEY393227:JEY393329 JEY458763:JEY458865 JEY524299:JEY524401 JEY589835:JEY589937 JEY655371:JEY655473 JEY720907:JEY721009 JEY786443:JEY786545 JEY851979:JEY852081 JEY917515:JEY917617 JEY983051:JEY983153 JOV10:JOV63 JOU65547:JOU65649 JOU131083:JOU131185 JOU196619:JOU196721 JOU262155:JOU262257 JOU327691:JOU327793 JOU393227:JOU393329 JOU458763:JOU458865 JOU524299:JOU524401 JOU589835:JOU589937 JOU655371:JOU655473 JOU720907:JOU721009 JOU786443:JOU786545 JOU851979:JOU852081 JOU917515:JOU917617 JOU983051:JOU983153 JYR10:JYR63 JYQ65547:JYQ65649 JYQ131083:JYQ131185 JYQ196619:JYQ196721 JYQ262155:JYQ262257 JYQ327691:JYQ327793 JYQ393227:JYQ393329 JYQ458763:JYQ458865 JYQ524299:JYQ524401 JYQ589835:JYQ589937 JYQ655371:JYQ655473 JYQ720907:JYQ721009 JYQ786443:JYQ786545 JYQ851979:JYQ852081 JYQ917515:JYQ917617 JYQ983051:JYQ983153 KIN10:KIN63 KIM65547:KIM65649 KIM131083:KIM131185 KIM196619:KIM196721 KIM262155:KIM262257 KIM327691:KIM327793 KIM393227:KIM393329 KIM458763:KIM458865 KIM524299:KIM524401 KIM589835:KIM589937 KIM655371:KIM655473 KIM720907:KIM721009 KIM786443:KIM786545 KIM851979:KIM852081 KIM917515:KIM917617 KIM983051:KIM983153 KSJ10:KSJ63 KSI65547:KSI65649 KSI131083:KSI131185 KSI196619:KSI196721 KSI262155:KSI262257 KSI327691:KSI327793 KSI393227:KSI393329 KSI458763:KSI458865 KSI524299:KSI524401 KSI589835:KSI589937 KSI655371:KSI655473 KSI720907:KSI721009 KSI786443:KSI786545 KSI851979:KSI852081 KSI917515:KSI917617 KSI983051:KSI983153 LCF10:LCF63 LCE65547:LCE65649 LCE131083:LCE131185 LCE196619:LCE196721 LCE262155:LCE262257 LCE327691:LCE327793 LCE393227:LCE393329 LCE458763:LCE458865 LCE524299:LCE524401 LCE589835:LCE589937 LCE655371:LCE655473 LCE720907:LCE721009 LCE786443:LCE786545 LCE851979:LCE852081 LCE917515:LCE917617 LCE983051:LCE983153 LMB10:LMB63 LMA65547:LMA65649 LMA131083:LMA131185 LMA196619:LMA196721 LMA262155:LMA262257 LMA327691:LMA327793 LMA393227:LMA393329 LMA458763:LMA458865 LMA524299:LMA524401 LMA589835:LMA589937 LMA655371:LMA655473 LMA720907:LMA721009 LMA786443:LMA786545 LMA851979:LMA852081 LMA917515:LMA917617 LMA983051:LMA983153 LVX10:LVX63 LVW65547:LVW65649 LVW131083:LVW131185 LVW196619:LVW196721 LVW262155:LVW262257 LVW327691:LVW327793 LVW393227:LVW393329 LVW458763:LVW458865 LVW524299:LVW524401 LVW589835:LVW589937 LVW655371:LVW655473 LVW720907:LVW721009 LVW786443:LVW786545 LVW851979:LVW852081 LVW917515:LVW917617 LVW983051:LVW983153 MFT10:MFT63 MFS65547:MFS65649 MFS131083:MFS131185 MFS196619:MFS196721 MFS262155:MFS262257 MFS327691:MFS327793 MFS393227:MFS393329 MFS458763:MFS458865 MFS524299:MFS524401 MFS589835:MFS589937 MFS655371:MFS655473 MFS720907:MFS721009 MFS786443:MFS786545 MFS851979:MFS852081 MFS917515:MFS917617 MFS983051:MFS983153 MPP10:MPP63 MPO65547:MPO65649 MPO131083:MPO131185 MPO196619:MPO196721 MPO262155:MPO262257 MPO327691:MPO327793 MPO393227:MPO393329 MPO458763:MPO458865 MPO524299:MPO524401 MPO589835:MPO589937 MPO655371:MPO655473 MPO720907:MPO721009 MPO786443:MPO786545 MPO851979:MPO852081 MPO917515:MPO917617 MPO983051:MPO983153 MZL10:MZL63 MZK65547:MZK65649 MZK131083:MZK131185 MZK196619:MZK196721 MZK262155:MZK262257 MZK327691:MZK327793 MZK393227:MZK393329 MZK458763:MZK458865 MZK524299:MZK524401 MZK589835:MZK589937 MZK655371:MZK655473 MZK720907:MZK721009 MZK786443:MZK786545 MZK851979:MZK852081 MZK917515:MZK917617 MZK983051:MZK983153 NJH10:NJH63 NJG65547:NJG65649 NJG131083:NJG131185 NJG196619:NJG196721 NJG262155:NJG262257 NJG327691:NJG327793 NJG393227:NJG393329 NJG458763:NJG458865 NJG524299:NJG524401 NJG589835:NJG589937 NJG655371:NJG655473 NJG720907:NJG721009 NJG786443:NJG786545 NJG851979:NJG852081 NJG917515:NJG917617 NJG983051:NJG983153 NTD10:NTD63 NTC65547:NTC65649 NTC131083:NTC131185 NTC196619:NTC196721 NTC262155:NTC262257 NTC327691:NTC327793 NTC393227:NTC393329 NTC458763:NTC458865 NTC524299:NTC524401 NTC589835:NTC589937 NTC655371:NTC655473 NTC720907:NTC721009 NTC786443:NTC786545 NTC851979:NTC852081 NTC917515:NTC917617 NTC983051:NTC983153 OCZ10:OCZ63 OCY65547:OCY65649 OCY131083:OCY131185 OCY196619:OCY196721 OCY262155:OCY262257 OCY327691:OCY327793 OCY393227:OCY393329 OCY458763:OCY458865 OCY524299:OCY524401 OCY589835:OCY589937 OCY655371:OCY655473 OCY720907:OCY721009 OCY786443:OCY786545 OCY851979:OCY852081 OCY917515:OCY917617 OCY983051:OCY983153 OMV10:OMV63 OMU65547:OMU65649 OMU131083:OMU131185 OMU196619:OMU196721 OMU262155:OMU262257 OMU327691:OMU327793 OMU393227:OMU393329 OMU458763:OMU458865 OMU524299:OMU524401 OMU589835:OMU589937 OMU655371:OMU655473 OMU720907:OMU721009 OMU786443:OMU786545 OMU851979:OMU852081 OMU917515:OMU917617 OMU983051:OMU983153 OWR10:OWR63 OWQ65547:OWQ65649 OWQ131083:OWQ131185 OWQ196619:OWQ196721 OWQ262155:OWQ262257 OWQ327691:OWQ327793 OWQ393227:OWQ393329 OWQ458763:OWQ458865 OWQ524299:OWQ524401 OWQ589835:OWQ589937 OWQ655371:OWQ655473 OWQ720907:OWQ721009 OWQ786443:OWQ786545 OWQ851979:OWQ852081 OWQ917515:OWQ917617 OWQ983051:OWQ983153 PGN10:PGN63 PGM65547:PGM65649 PGM131083:PGM131185 PGM196619:PGM196721 PGM262155:PGM262257 PGM327691:PGM327793 PGM393227:PGM393329 PGM458763:PGM458865 PGM524299:PGM524401 PGM589835:PGM589937 PGM655371:PGM655473 PGM720907:PGM721009 PGM786443:PGM786545 PGM851979:PGM852081 PGM917515:PGM917617 PGM983051:PGM983153 PQJ10:PQJ63 PQI65547:PQI65649 PQI131083:PQI131185 PQI196619:PQI196721 PQI262155:PQI262257 PQI327691:PQI327793 PQI393227:PQI393329 PQI458763:PQI458865 PQI524299:PQI524401 PQI589835:PQI589937 PQI655371:PQI655473 PQI720907:PQI721009 PQI786443:PQI786545 PQI851979:PQI852081 PQI917515:PQI917617 PQI983051:PQI983153 QAF10:QAF63 QAE65547:QAE65649 QAE131083:QAE131185 QAE196619:QAE196721 QAE262155:QAE262257 QAE327691:QAE327793 QAE393227:QAE393329 QAE458763:QAE458865 QAE524299:QAE524401 QAE589835:QAE589937 QAE655371:QAE655473 QAE720907:QAE721009 QAE786443:QAE786545 QAE851979:QAE852081 QAE917515:QAE917617 QAE983051:QAE983153 QKB10:QKB63 QKA65547:QKA65649 QKA131083:QKA131185 QKA196619:QKA196721 QKA262155:QKA262257 QKA327691:QKA327793 QKA393227:QKA393329 QKA458763:QKA458865 QKA524299:QKA524401 QKA589835:QKA589937 QKA655371:QKA655473 QKA720907:QKA721009 QKA786443:QKA786545 QKA851979:QKA852081 QKA917515:QKA917617 QKA983051:QKA983153 QTX10:QTX63 QTW65547:QTW65649 QTW131083:QTW131185 QTW196619:QTW196721 QTW262155:QTW262257 QTW327691:QTW327793 QTW393227:QTW393329 QTW458763:QTW458865 QTW524299:QTW524401 QTW589835:QTW589937 QTW655371:QTW655473 QTW720907:QTW721009 QTW786443:QTW786545 QTW851979:QTW852081 QTW917515:QTW917617 QTW983051:QTW983153 RDT10:RDT63 RDS65547:RDS65649 RDS131083:RDS131185 RDS196619:RDS196721 RDS262155:RDS262257 RDS327691:RDS327793 RDS393227:RDS393329 RDS458763:RDS458865 RDS524299:RDS524401 RDS589835:RDS589937 RDS655371:RDS655473 RDS720907:RDS721009 RDS786443:RDS786545 RDS851979:RDS852081 RDS917515:RDS917617 RDS983051:RDS983153 RNP10:RNP63 RNO65547:RNO65649 RNO131083:RNO131185 RNO196619:RNO196721 RNO262155:RNO262257 RNO327691:RNO327793 RNO393227:RNO393329 RNO458763:RNO458865 RNO524299:RNO524401 RNO589835:RNO589937 RNO655371:RNO655473 RNO720907:RNO721009 RNO786443:RNO786545 RNO851979:RNO852081 RNO917515:RNO917617 RNO983051:RNO983153 RXL10:RXL63 RXK65547:RXK65649 RXK131083:RXK131185 RXK196619:RXK196721 RXK262155:RXK262257 RXK327691:RXK327793 RXK393227:RXK393329 RXK458763:RXK458865 RXK524299:RXK524401 RXK589835:RXK589937 RXK655371:RXK655473 RXK720907:RXK721009 RXK786443:RXK786545 RXK851979:RXK852081 RXK917515:RXK917617 RXK983051:RXK983153 SHH10:SHH63 SHG65547:SHG65649 SHG131083:SHG131185 SHG196619:SHG196721 SHG262155:SHG262257 SHG327691:SHG327793 SHG393227:SHG393329 SHG458763:SHG458865 SHG524299:SHG524401 SHG589835:SHG589937 SHG655371:SHG655473 SHG720907:SHG721009 SHG786443:SHG786545 SHG851979:SHG852081 SHG917515:SHG917617 SHG983051:SHG983153 SRD10:SRD63 SRC65547:SRC65649 SRC131083:SRC131185 SRC196619:SRC196721 SRC262155:SRC262257 SRC327691:SRC327793 SRC393227:SRC393329 SRC458763:SRC458865 SRC524299:SRC524401 SRC589835:SRC589937 SRC655371:SRC655473 SRC720907:SRC721009 SRC786443:SRC786545 SRC851979:SRC852081 SRC917515:SRC917617 SRC983051:SRC983153 TAZ10:TAZ63 TAY65547:TAY65649 TAY131083:TAY131185 TAY196619:TAY196721 TAY262155:TAY262257 TAY327691:TAY327793 TAY393227:TAY393329 TAY458763:TAY458865 TAY524299:TAY524401 TAY589835:TAY589937 TAY655371:TAY655473 TAY720907:TAY721009 TAY786443:TAY786545 TAY851979:TAY852081 TAY917515:TAY917617 TAY983051:TAY983153 TKV10:TKV63 TKU65547:TKU65649 TKU131083:TKU131185 TKU196619:TKU196721 TKU262155:TKU262257 TKU327691:TKU327793 TKU393227:TKU393329 TKU458763:TKU458865 TKU524299:TKU524401 TKU589835:TKU589937 TKU655371:TKU655473 TKU720907:TKU721009 TKU786443:TKU786545 TKU851979:TKU852081 TKU917515:TKU917617 TKU983051:TKU983153 TUR10:TUR63 TUQ65547:TUQ65649 TUQ131083:TUQ131185 TUQ196619:TUQ196721 TUQ262155:TUQ262257 TUQ327691:TUQ327793 TUQ393227:TUQ393329 TUQ458763:TUQ458865 TUQ524299:TUQ524401 TUQ589835:TUQ589937 TUQ655371:TUQ655473 TUQ720907:TUQ721009 TUQ786443:TUQ786545 TUQ851979:TUQ852081 TUQ917515:TUQ917617 TUQ983051:TUQ983153 UEN10:UEN63 UEM65547:UEM65649 UEM131083:UEM131185 UEM196619:UEM196721 UEM262155:UEM262257 UEM327691:UEM327793 UEM393227:UEM393329 UEM458763:UEM458865 UEM524299:UEM524401 UEM589835:UEM589937 UEM655371:UEM655473 UEM720907:UEM721009 UEM786443:UEM786545 UEM851979:UEM852081 UEM917515:UEM917617 UEM983051:UEM983153 UOJ10:UOJ63 UOI65547:UOI65649 UOI131083:UOI131185 UOI196619:UOI196721 UOI262155:UOI262257 UOI327691:UOI327793 UOI393227:UOI393329 UOI458763:UOI458865 UOI524299:UOI524401 UOI589835:UOI589937 UOI655371:UOI655473 UOI720907:UOI721009 UOI786443:UOI786545 UOI851979:UOI852081 UOI917515:UOI917617 UOI983051:UOI983153 UYF10:UYF63 UYE65547:UYE65649 UYE131083:UYE131185 UYE196619:UYE196721 UYE262155:UYE262257 UYE327691:UYE327793 UYE393227:UYE393329 UYE458763:UYE458865 UYE524299:UYE524401 UYE589835:UYE589937 UYE655371:UYE655473 UYE720907:UYE721009 UYE786443:UYE786545 UYE851979:UYE852081 UYE917515:UYE917617 UYE983051:UYE983153 VIB10:VIB63 VIA65547:VIA65649 VIA131083:VIA131185 VIA196619:VIA196721 VIA262155:VIA262257 VIA327691:VIA327793 VIA393227:VIA393329 VIA458763:VIA458865 VIA524299:VIA524401 VIA589835:VIA589937 VIA655371:VIA655473 VIA720907:VIA721009 VIA786443:VIA786545 VIA851979:VIA852081 VIA917515:VIA917617 VIA983051:VIA983153 VRX10:VRX63 VRW65547:VRW65649 VRW131083:VRW131185 VRW196619:VRW196721 VRW262155:VRW262257 VRW327691:VRW327793 VRW393227:VRW393329 VRW458763:VRW458865 VRW524299:VRW524401 VRW589835:VRW589937 VRW655371:VRW655473 VRW720907:VRW721009 VRW786443:VRW786545 VRW851979:VRW852081 VRW917515:VRW917617 VRW983051:VRW983153 WBT10:WBT63 WBS65547:WBS65649 WBS131083:WBS131185 WBS196619:WBS196721 WBS262155:WBS262257 WBS327691:WBS327793 WBS393227:WBS393329 WBS458763:WBS458865 WBS524299:WBS524401 WBS589835:WBS589937 WBS655371:WBS655473 WBS720907:WBS721009 WBS786443:WBS786545 WBS851979:WBS852081 WBS917515:WBS917617 WBS983051:WBS983153 WLP10:WLP63 WLO65547:WLO65649 WLO131083:WLO131185 WLO196619:WLO196721 WLO262155:WLO262257 WLO327691:WLO327793 WLO393227:WLO393329 WLO458763:WLO458865 WLO524299:WLO524401 WLO589835:WLO589937 WLO655371:WLO655473 WLO720907:WLO721009 WLO786443:WLO786545 WLO851979:WLO852081 WLO917515:WLO917617 WLO983051:WLO983153 WVL10:WVL63 WVK983051:WVK983153 WVK65547:WVK65649 WVK131083:WVK131185 WVK196619:WVK196721 WVK262155:WVK262257 WVK327691:WVK327793 WVK393227:WVK393329 WVK458763:WVK458865 WVK524299:WVK524401 WVK589835:WVK589937 WVK655371:WVK655473 WVK720907:WVK721009 WVK786443:WVK786545 WVK851979:WVK852081 WVK917515:WVK917617 IZ10:IZ63 WVL66:WVL114 WLP66:WLP114 WBT66:WBT114 VRX66:VRX114 VIB66:VIB114 UYF66:UYF114 UOJ66:UOJ114 UEN66:UEN114 TUR66:TUR114 TKV66:TKV114 TAZ66:TAZ114 SRD66:SRD114 SHH66:SHH114 RXL66:RXL114 RNP66:RNP114 RDT66:RDT114 QTX66:QTX114 QKB66:QKB114 QAF66:QAF114 PQJ66:PQJ114 PGN66:PGN114 OWR66:OWR114 OMV66:OMV114 OCZ66:OCZ114 NTD66:NTD114 NJH66:NJH114 MZL66:MZL114 MPP66:MPP114 MFT66:MFT114 LVX66:LVX114 LMB66:LMB114 LCF66:LCF114 KSJ66:KSJ114 KIN66:KIN114 JYR66:JYR114 JOV66:JOV114 JEZ66:JEZ114 IVD66:IVD114 ILH66:ILH114 IBL66:IBL114 HRP66:HRP114 HHT66:HHT114 GXX66:GXX114 GOB66:GOB114 GEF66:GEF114 FUJ66:FUJ114 FKN66:FKN114 FAR66:FAR114 EQV66:EQV114 EGZ66:EGZ114 DXD66:DXD114 DNH66:DNH114 DDL66:DDL114 CTP66:CTP114 CJT66:CJT114 BZX66:BZX114 BQB66:BQB114 BGF66:BGF114 AWJ66:AWJ114 AMN66:AMN114 ACR66:ACR114 SV66:SV114 IZ66:IZ114" xr:uid="{A3076EDD-E3BE-45BE-A3FF-19CA9E0FF4AF}"/>
    <dataValidation allowBlank="1" showInputMessage="1" showErrorMessage="1" prompt="Written Work Percentage Score" sqref="I65547:I65649 I131083:I131185 I196619:I196721 I262155:I262257 I327691:I327793 I393227:I393329 I458763:I458865 I524299:I524401 I589835:I589937 I655371:I655473 I720907:I721009 I786443:I786545 I851979:I852081 I917515:I917617 I983051:I983153 IX65547:IX65649 IX131083:IX131185 IX196619:IX196721 IX262155:IX262257 IX327691:IX327793 IX393227:IX393329 IX458763:IX458865 IX524299:IX524401 IX589835:IX589937 IX655371:IX655473 IX720907:IX721009 IX786443:IX786545 IX851979:IX852081 IX917515:IX917617 IX983051:IX983153 SU10:SU63 ST65547:ST65649 ST131083:ST131185 ST196619:ST196721 ST262155:ST262257 ST327691:ST327793 ST393227:ST393329 ST458763:ST458865 ST524299:ST524401 ST589835:ST589937 ST655371:ST655473 ST720907:ST721009 ST786443:ST786545 ST851979:ST852081 ST917515:ST917617 ST983051:ST983153 ACQ10:ACQ63 ACP65547:ACP65649 ACP131083:ACP131185 ACP196619:ACP196721 ACP262155:ACP262257 ACP327691:ACP327793 ACP393227:ACP393329 ACP458763:ACP458865 ACP524299:ACP524401 ACP589835:ACP589937 ACP655371:ACP655473 ACP720907:ACP721009 ACP786443:ACP786545 ACP851979:ACP852081 ACP917515:ACP917617 ACP983051:ACP983153 AMM10:AMM63 AML65547:AML65649 AML131083:AML131185 AML196619:AML196721 AML262155:AML262257 AML327691:AML327793 AML393227:AML393329 AML458763:AML458865 AML524299:AML524401 AML589835:AML589937 AML655371:AML655473 AML720907:AML721009 AML786443:AML786545 AML851979:AML852081 AML917515:AML917617 AML983051:AML983153 AWI10:AWI63 AWH65547:AWH65649 AWH131083:AWH131185 AWH196619:AWH196721 AWH262155:AWH262257 AWH327691:AWH327793 AWH393227:AWH393329 AWH458763:AWH458865 AWH524299:AWH524401 AWH589835:AWH589937 AWH655371:AWH655473 AWH720907:AWH721009 AWH786443:AWH786545 AWH851979:AWH852081 AWH917515:AWH917617 AWH983051:AWH983153 BGE10:BGE63 BGD65547:BGD65649 BGD131083:BGD131185 BGD196619:BGD196721 BGD262155:BGD262257 BGD327691:BGD327793 BGD393227:BGD393329 BGD458763:BGD458865 BGD524299:BGD524401 BGD589835:BGD589937 BGD655371:BGD655473 BGD720907:BGD721009 BGD786443:BGD786545 BGD851979:BGD852081 BGD917515:BGD917617 BGD983051:BGD983153 BQA10:BQA63 BPZ65547:BPZ65649 BPZ131083:BPZ131185 BPZ196619:BPZ196721 BPZ262155:BPZ262257 BPZ327691:BPZ327793 BPZ393227:BPZ393329 BPZ458763:BPZ458865 BPZ524299:BPZ524401 BPZ589835:BPZ589937 BPZ655371:BPZ655473 BPZ720907:BPZ721009 BPZ786443:BPZ786545 BPZ851979:BPZ852081 BPZ917515:BPZ917617 BPZ983051:BPZ983153 BZW10:BZW63 BZV65547:BZV65649 BZV131083:BZV131185 BZV196619:BZV196721 BZV262155:BZV262257 BZV327691:BZV327793 BZV393227:BZV393329 BZV458763:BZV458865 BZV524299:BZV524401 BZV589835:BZV589937 BZV655371:BZV655473 BZV720907:BZV721009 BZV786443:BZV786545 BZV851979:BZV852081 BZV917515:BZV917617 BZV983051:BZV983153 CJS10:CJS63 CJR65547:CJR65649 CJR131083:CJR131185 CJR196619:CJR196721 CJR262155:CJR262257 CJR327691:CJR327793 CJR393227:CJR393329 CJR458763:CJR458865 CJR524299:CJR524401 CJR589835:CJR589937 CJR655371:CJR655473 CJR720907:CJR721009 CJR786443:CJR786545 CJR851979:CJR852081 CJR917515:CJR917617 CJR983051:CJR983153 CTO10:CTO63 CTN65547:CTN65649 CTN131083:CTN131185 CTN196619:CTN196721 CTN262155:CTN262257 CTN327691:CTN327793 CTN393227:CTN393329 CTN458763:CTN458865 CTN524299:CTN524401 CTN589835:CTN589937 CTN655371:CTN655473 CTN720907:CTN721009 CTN786443:CTN786545 CTN851979:CTN852081 CTN917515:CTN917617 CTN983051:CTN983153 DDK10:DDK63 DDJ65547:DDJ65649 DDJ131083:DDJ131185 DDJ196619:DDJ196721 DDJ262155:DDJ262257 DDJ327691:DDJ327793 DDJ393227:DDJ393329 DDJ458763:DDJ458865 DDJ524299:DDJ524401 DDJ589835:DDJ589937 DDJ655371:DDJ655473 DDJ720907:DDJ721009 DDJ786443:DDJ786545 DDJ851979:DDJ852081 DDJ917515:DDJ917617 DDJ983051:DDJ983153 DNG10:DNG63 DNF65547:DNF65649 DNF131083:DNF131185 DNF196619:DNF196721 DNF262155:DNF262257 DNF327691:DNF327793 DNF393227:DNF393329 DNF458763:DNF458865 DNF524299:DNF524401 DNF589835:DNF589937 DNF655371:DNF655473 DNF720907:DNF721009 DNF786443:DNF786545 DNF851979:DNF852081 DNF917515:DNF917617 DNF983051:DNF983153 DXC10:DXC63 DXB65547:DXB65649 DXB131083:DXB131185 DXB196619:DXB196721 DXB262155:DXB262257 DXB327691:DXB327793 DXB393227:DXB393329 DXB458763:DXB458865 DXB524299:DXB524401 DXB589835:DXB589937 DXB655371:DXB655473 DXB720907:DXB721009 DXB786443:DXB786545 DXB851979:DXB852081 DXB917515:DXB917617 DXB983051:DXB983153 EGY10:EGY63 EGX65547:EGX65649 EGX131083:EGX131185 EGX196619:EGX196721 EGX262155:EGX262257 EGX327691:EGX327793 EGX393227:EGX393329 EGX458763:EGX458865 EGX524299:EGX524401 EGX589835:EGX589937 EGX655371:EGX655473 EGX720907:EGX721009 EGX786443:EGX786545 EGX851979:EGX852081 EGX917515:EGX917617 EGX983051:EGX983153 EQU10:EQU63 EQT65547:EQT65649 EQT131083:EQT131185 EQT196619:EQT196721 EQT262155:EQT262257 EQT327691:EQT327793 EQT393227:EQT393329 EQT458763:EQT458865 EQT524299:EQT524401 EQT589835:EQT589937 EQT655371:EQT655473 EQT720907:EQT721009 EQT786443:EQT786545 EQT851979:EQT852081 EQT917515:EQT917617 EQT983051:EQT983153 FAQ10:FAQ63 FAP65547:FAP65649 FAP131083:FAP131185 FAP196619:FAP196721 FAP262155:FAP262257 FAP327691:FAP327793 FAP393227:FAP393329 FAP458763:FAP458865 FAP524299:FAP524401 FAP589835:FAP589937 FAP655371:FAP655473 FAP720907:FAP721009 FAP786443:FAP786545 FAP851979:FAP852081 FAP917515:FAP917617 FAP983051:FAP983153 FKM10:FKM63 FKL65547:FKL65649 FKL131083:FKL131185 FKL196619:FKL196721 FKL262155:FKL262257 FKL327691:FKL327793 FKL393227:FKL393329 FKL458763:FKL458865 FKL524299:FKL524401 FKL589835:FKL589937 FKL655371:FKL655473 FKL720907:FKL721009 FKL786443:FKL786545 FKL851979:FKL852081 FKL917515:FKL917617 FKL983051:FKL983153 FUI10:FUI63 FUH65547:FUH65649 FUH131083:FUH131185 FUH196619:FUH196721 FUH262155:FUH262257 FUH327691:FUH327793 FUH393227:FUH393329 FUH458763:FUH458865 FUH524299:FUH524401 FUH589835:FUH589937 FUH655371:FUH655473 FUH720907:FUH721009 FUH786443:FUH786545 FUH851979:FUH852081 FUH917515:FUH917617 FUH983051:FUH983153 GEE10:GEE63 GED65547:GED65649 GED131083:GED131185 GED196619:GED196721 GED262155:GED262257 GED327691:GED327793 GED393227:GED393329 GED458763:GED458865 GED524299:GED524401 GED589835:GED589937 GED655371:GED655473 GED720907:GED721009 GED786443:GED786545 GED851979:GED852081 GED917515:GED917617 GED983051:GED983153 GOA10:GOA63 GNZ65547:GNZ65649 GNZ131083:GNZ131185 GNZ196619:GNZ196721 GNZ262155:GNZ262257 GNZ327691:GNZ327793 GNZ393227:GNZ393329 GNZ458763:GNZ458865 GNZ524299:GNZ524401 GNZ589835:GNZ589937 GNZ655371:GNZ655473 GNZ720907:GNZ721009 GNZ786443:GNZ786545 GNZ851979:GNZ852081 GNZ917515:GNZ917617 GNZ983051:GNZ983153 GXW10:GXW63 GXV65547:GXV65649 GXV131083:GXV131185 GXV196619:GXV196721 GXV262155:GXV262257 GXV327691:GXV327793 GXV393227:GXV393329 GXV458763:GXV458865 GXV524299:GXV524401 GXV589835:GXV589937 GXV655371:GXV655473 GXV720907:GXV721009 GXV786443:GXV786545 GXV851979:GXV852081 GXV917515:GXV917617 GXV983051:GXV983153 HHS10:HHS63 HHR65547:HHR65649 HHR131083:HHR131185 HHR196619:HHR196721 HHR262155:HHR262257 HHR327691:HHR327793 HHR393227:HHR393329 HHR458763:HHR458865 HHR524299:HHR524401 HHR589835:HHR589937 HHR655371:HHR655473 HHR720907:HHR721009 HHR786443:HHR786545 HHR851979:HHR852081 HHR917515:HHR917617 HHR983051:HHR983153 HRO10:HRO63 HRN65547:HRN65649 HRN131083:HRN131185 HRN196619:HRN196721 HRN262155:HRN262257 HRN327691:HRN327793 HRN393227:HRN393329 HRN458763:HRN458865 HRN524299:HRN524401 HRN589835:HRN589937 HRN655371:HRN655473 HRN720907:HRN721009 HRN786443:HRN786545 HRN851979:HRN852081 HRN917515:HRN917617 HRN983051:HRN983153 IBK10:IBK63 IBJ65547:IBJ65649 IBJ131083:IBJ131185 IBJ196619:IBJ196721 IBJ262155:IBJ262257 IBJ327691:IBJ327793 IBJ393227:IBJ393329 IBJ458763:IBJ458865 IBJ524299:IBJ524401 IBJ589835:IBJ589937 IBJ655371:IBJ655473 IBJ720907:IBJ721009 IBJ786443:IBJ786545 IBJ851979:IBJ852081 IBJ917515:IBJ917617 IBJ983051:IBJ983153 ILG10:ILG63 ILF65547:ILF65649 ILF131083:ILF131185 ILF196619:ILF196721 ILF262155:ILF262257 ILF327691:ILF327793 ILF393227:ILF393329 ILF458763:ILF458865 ILF524299:ILF524401 ILF589835:ILF589937 ILF655371:ILF655473 ILF720907:ILF721009 ILF786443:ILF786545 ILF851979:ILF852081 ILF917515:ILF917617 ILF983051:ILF983153 IVC10:IVC63 IVB65547:IVB65649 IVB131083:IVB131185 IVB196619:IVB196721 IVB262155:IVB262257 IVB327691:IVB327793 IVB393227:IVB393329 IVB458763:IVB458865 IVB524299:IVB524401 IVB589835:IVB589937 IVB655371:IVB655473 IVB720907:IVB721009 IVB786443:IVB786545 IVB851979:IVB852081 IVB917515:IVB917617 IVB983051:IVB983153 JEY10:JEY63 JEX65547:JEX65649 JEX131083:JEX131185 JEX196619:JEX196721 JEX262155:JEX262257 JEX327691:JEX327793 JEX393227:JEX393329 JEX458763:JEX458865 JEX524299:JEX524401 JEX589835:JEX589937 JEX655371:JEX655473 JEX720907:JEX721009 JEX786443:JEX786545 JEX851979:JEX852081 JEX917515:JEX917617 JEX983051:JEX983153 JOU10:JOU63 JOT65547:JOT65649 JOT131083:JOT131185 JOT196619:JOT196721 JOT262155:JOT262257 JOT327691:JOT327793 JOT393227:JOT393329 JOT458763:JOT458865 JOT524299:JOT524401 JOT589835:JOT589937 JOT655371:JOT655473 JOT720907:JOT721009 JOT786443:JOT786545 JOT851979:JOT852081 JOT917515:JOT917617 JOT983051:JOT983153 JYQ10:JYQ63 JYP65547:JYP65649 JYP131083:JYP131185 JYP196619:JYP196721 JYP262155:JYP262257 JYP327691:JYP327793 JYP393227:JYP393329 JYP458763:JYP458865 JYP524299:JYP524401 JYP589835:JYP589937 JYP655371:JYP655473 JYP720907:JYP721009 JYP786443:JYP786545 JYP851979:JYP852081 JYP917515:JYP917617 JYP983051:JYP983153 KIM10:KIM63 KIL65547:KIL65649 KIL131083:KIL131185 KIL196619:KIL196721 KIL262155:KIL262257 KIL327691:KIL327793 KIL393227:KIL393329 KIL458763:KIL458865 KIL524299:KIL524401 KIL589835:KIL589937 KIL655371:KIL655473 KIL720907:KIL721009 KIL786443:KIL786545 KIL851979:KIL852081 KIL917515:KIL917617 KIL983051:KIL983153 KSI10:KSI63 KSH65547:KSH65649 KSH131083:KSH131185 KSH196619:KSH196721 KSH262155:KSH262257 KSH327691:KSH327793 KSH393227:KSH393329 KSH458763:KSH458865 KSH524299:KSH524401 KSH589835:KSH589937 KSH655371:KSH655473 KSH720907:KSH721009 KSH786443:KSH786545 KSH851979:KSH852081 KSH917515:KSH917617 KSH983051:KSH983153 LCE10:LCE63 LCD65547:LCD65649 LCD131083:LCD131185 LCD196619:LCD196721 LCD262155:LCD262257 LCD327691:LCD327793 LCD393227:LCD393329 LCD458763:LCD458865 LCD524299:LCD524401 LCD589835:LCD589937 LCD655371:LCD655473 LCD720907:LCD721009 LCD786443:LCD786545 LCD851979:LCD852081 LCD917515:LCD917617 LCD983051:LCD983153 LMA10:LMA63 LLZ65547:LLZ65649 LLZ131083:LLZ131185 LLZ196619:LLZ196721 LLZ262155:LLZ262257 LLZ327691:LLZ327793 LLZ393227:LLZ393329 LLZ458763:LLZ458865 LLZ524299:LLZ524401 LLZ589835:LLZ589937 LLZ655371:LLZ655473 LLZ720907:LLZ721009 LLZ786443:LLZ786545 LLZ851979:LLZ852081 LLZ917515:LLZ917617 LLZ983051:LLZ983153 LVW10:LVW63 LVV65547:LVV65649 LVV131083:LVV131185 LVV196619:LVV196721 LVV262155:LVV262257 LVV327691:LVV327793 LVV393227:LVV393329 LVV458763:LVV458865 LVV524299:LVV524401 LVV589835:LVV589937 LVV655371:LVV655473 LVV720907:LVV721009 LVV786443:LVV786545 LVV851979:LVV852081 LVV917515:LVV917617 LVV983051:LVV983153 MFS10:MFS63 MFR65547:MFR65649 MFR131083:MFR131185 MFR196619:MFR196721 MFR262155:MFR262257 MFR327691:MFR327793 MFR393227:MFR393329 MFR458763:MFR458865 MFR524299:MFR524401 MFR589835:MFR589937 MFR655371:MFR655473 MFR720907:MFR721009 MFR786443:MFR786545 MFR851979:MFR852081 MFR917515:MFR917617 MFR983051:MFR983153 MPO10:MPO63 MPN65547:MPN65649 MPN131083:MPN131185 MPN196619:MPN196721 MPN262155:MPN262257 MPN327691:MPN327793 MPN393227:MPN393329 MPN458763:MPN458865 MPN524299:MPN524401 MPN589835:MPN589937 MPN655371:MPN655473 MPN720907:MPN721009 MPN786443:MPN786545 MPN851979:MPN852081 MPN917515:MPN917617 MPN983051:MPN983153 MZK10:MZK63 MZJ65547:MZJ65649 MZJ131083:MZJ131185 MZJ196619:MZJ196721 MZJ262155:MZJ262257 MZJ327691:MZJ327793 MZJ393227:MZJ393329 MZJ458763:MZJ458865 MZJ524299:MZJ524401 MZJ589835:MZJ589937 MZJ655371:MZJ655473 MZJ720907:MZJ721009 MZJ786443:MZJ786545 MZJ851979:MZJ852081 MZJ917515:MZJ917617 MZJ983051:MZJ983153 NJG10:NJG63 NJF65547:NJF65649 NJF131083:NJF131185 NJF196619:NJF196721 NJF262155:NJF262257 NJF327691:NJF327793 NJF393227:NJF393329 NJF458763:NJF458865 NJF524299:NJF524401 NJF589835:NJF589937 NJF655371:NJF655473 NJF720907:NJF721009 NJF786443:NJF786545 NJF851979:NJF852081 NJF917515:NJF917617 NJF983051:NJF983153 NTC10:NTC63 NTB65547:NTB65649 NTB131083:NTB131185 NTB196619:NTB196721 NTB262155:NTB262257 NTB327691:NTB327793 NTB393227:NTB393329 NTB458763:NTB458865 NTB524299:NTB524401 NTB589835:NTB589937 NTB655371:NTB655473 NTB720907:NTB721009 NTB786443:NTB786545 NTB851979:NTB852081 NTB917515:NTB917617 NTB983051:NTB983153 OCY10:OCY63 OCX65547:OCX65649 OCX131083:OCX131185 OCX196619:OCX196721 OCX262155:OCX262257 OCX327691:OCX327793 OCX393227:OCX393329 OCX458763:OCX458865 OCX524299:OCX524401 OCX589835:OCX589937 OCX655371:OCX655473 OCX720907:OCX721009 OCX786443:OCX786545 OCX851979:OCX852081 OCX917515:OCX917617 OCX983051:OCX983153 OMU10:OMU63 OMT65547:OMT65649 OMT131083:OMT131185 OMT196619:OMT196721 OMT262155:OMT262257 OMT327691:OMT327793 OMT393227:OMT393329 OMT458763:OMT458865 OMT524299:OMT524401 OMT589835:OMT589937 OMT655371:OMT655473 OMT720907:OMT721009 OMT786443:OMT786545 OMT851979:OMT852081 OMT917515:OMT917617 OMT983051:OMT983153 OWQ10:OWQ63 OWP65547:OWP65649 OWP131083:OWP131185 OWP196619:OWP196721 OWP262155:OWP262257 OWP327691:OWP327793 OWP393227:OWP393329 OWP458763:OWP458865 OWP524299:OWP524401 OWP589835:OWP589937 OWP655371:OWP655473 OWP720907:OWP721009 OWP786443:OWP786545 OWP851979:OWP852081 OWP917515:OWP917617 OWP983051:OWP983153 PGM10:PGM63 PGL65547:PGL65649 PGL131083:PGL131185 PGL196619:PGL196721 PGL262155:PGL262257 PGL327691:PGL327793 PGL393227:PGL393329 PGL458763:PGL458865 PGL524299:PGL524401 PGL589835:PGL589937 PGL655371:PGL655473 PGL720907:PGL721009 PGL786443:PGL786545 PGL851979:PGL852081 PGL917515:PGL917617 PGL983051:PGL983153 PQI10:PQI63 PQH65547:PQH65649 PQH131083:PQH131185 PQH196619:PQH196721 PQH262155:PQH262257 PQH327691:PQH327793 PQH393227:PQH393329 PQH458763:PQH458865 PQH524299:PQH524401 PQH589835:PQH589937 PQH655371:PQH655473 PQH720907:PQH721009 PQH786443:PQH786545 PQH851979:PQH852081 PQH917515:PQH917617 PQH983051:PQH983153 QAE10:QAE63 QAD65547:QAD65649 QAD131083:QAD131185 QAD196619:QAD196721 QAD262155:QAD262257 QAD327691:QAD327793 QAD393227:QAD393329 QAD458763:QAD458865 QAD524299:QAD524401 QAD589835:QAD589937 QAD655371:QAD655473 QAD720907:QAD721009 QAD786443:QAD786545 QAD851979:QAD852081 QAD917515:QAD917617 QAD983051:QAD983153 QKA10:QKA63 QJZ65547:QJZ65649 QJZ131083:QJZ131185 QJZ196619:QJZ196721 QJZ262155:QJZ262257 QJZ327691:QJZ327793 QJZ393227:QJZ393329 QJZ458763:QJZ458865 QJZ524299:QJZ524401 QJZ589835:QJZ589937 QJZ655371:QJZ655473 QJZ720907:QJZ721009 QJZ786443:QJZ786545 QJZ851979:QJZ852081 QJZ917515:QJZ917617 QJZ983051:QJZ983153 QTW10:QTW63 QTV65547:QTV65649 QTV131083:QTV131185 QTV196619:QTV196721 QTV262155:QTV262257 QTV327691:QTV327793 QTV393227:QTV393329 QTV458763:QTV458865 QTV524299:QTV524401 QTV589835:QTV589937 QTV655371:QTV655473 QTV720907:QTV721009 QTV786443:QTV786545 QTV851979:QTV852081 QTV917515:QTV917617 QTV983051:QTV983153 RDS10:RDS63 RDR65547:RDR65649 RDR131083:RDR131185 RDR196619:RDR196721 RDR262155:RDR262257 RDR327691:RDR327793 RDR393227:RDR393329 RDR458763:RDR458865 RDR524299:RDR524401 RDR589835:RDR589937 RDR655371:RDR655473 RDR720907:RDR721009 RDR786443:RDR786545 RDR851979:RDR852081 RDR917515:RDR917617 RDR983051:RDR983153 RNO10:RNO63 RNN65547:RNN65649 RNN131083:RNN131185 RNN196619:RNN196721 RNN262155:RNN262257 RNN327691:RNN327793 RNN393227:RNN393329 RNN458763:RNN458865 RNN524299:RNN524401 RNN589835:RNN589937 RNN655371:RNN655473 RNN720907:RNN721009 RNN786443:RNN786545 RNN851979:RNN852081 RNN917515:RNN917617 RNN983051:RNN983153 RXK10:RXK63 RXJ65547:RXJ65649 RXJ131083:RXJ131185 RXJ196619:RXJ196721 RXJ262155:RXJ262257 RXJ327691:RXJ327793 RXJ393227:RXJ393329 RXJ458763:RXJ458865 RXJ524299:RXJ524401 RXJ589835:RXJ589937 RXJ655371:RXJ655473 RXJ720907:RXJ721009 RXJ786443:RXJ786545 RXJ851979:RXJ852081 RXJ917515:RXJ917617 RXJ983051:RXJ983153 SHG10:SHG63 SHF65547:SHF65649 SHF131083:SHF131185 SHF196619:SHF196721 SHF262155:SHF262257 SHF327691:SHF327793 SHF393227:SHF393329 SHF458763:SHF458865 SHF524299:SHF524401 SHF589835:SHF589937 SHF655371:SHF655473 SHF720907:SHF721009 SHF786443:SHF786545 SHF851979:SHF852081 SHF917515:SHF917617 SHF983051:SHF983153 SRC10:SRC63 SRB65547:SRB65649 SRB131083:SRB131185 SRB196619:SRB196721 SRB262155:SRB262257 SRB327691:SRB327793 SRB393227:SRB393329 SRB458763:SRB458865 SRB524299:SRB524401 SRB589835:SRB589937 SRB655371:SRB655473 SRB720907:SRB721009 SRB786443:SRB786545 SRB851979:SRB852081 SRB917515:SRB917617 SRB983051:SRB983153 TAY10:TAY63 TAX65547:TAX65649 TAX131083:TAX131185 TAX196619:TAX196721 TAX262155:TAX262257 TAX327691:TAX327793 TAX393227:TAX393329 TAX458763:TAX458865 TAX524299:TAX524401 TAX589835:TAX589937 TAX655371:TAX655473 TAX720907:TAX721009 TAX786443:TAX786545 TAX851979:TAX852081 TAX917515:TAX917617 TAX983051:TAX983153 TKU10:TKU63 TKT65547:TKT65649 TKT131083:TKT131185 TKT196619:TKT196721 TKT262155:TKT262257 TKT327691:TKT327793 TKT393227:TKT393329 TKT458763:TKT458865 TKT524299:TKT524401 TKT589835:TKT589937 TKT655371:TKT655473 TKT720907:TKT721009 TKT786443:TKT786545 TKT851979:TKT852081 TKT917515:TKT917617 TKT983051:TKT983153 TUQ10:TUQ63 TUP65547:TUP65649 TUP131083:TUP131185 TUP196619:TUP196721 TUP262155:TUP262257 TUP327691:TUP327793 TUP393227:TUP393329 TUP458763:TUP458865 TUP524299:TUP524401 TUP589835:TUP589937 TUP655371:TUP655473 TUP720907:TUP721009 TUP786443:TUP786545 TUP851979:TUP852081 TUP917515:TUP917617 TUP983051:TUP983153 UEM10:UEM63 UEL65547:UEL65649 UEL131083:UEL131185 UEL196619:UEL196721 UEL262155:UEL262257 UEL327691:UEL327793 UEL393227:UEL393329 UEL458763:UEL458865 UEL524299:UEL524401 UEL589835:UEL589937 UEL655371:UEL655473 UEL720907:UEL721009 UEL786443:UEL786545 UEL851979:UEL852081 UEL917515:UEL917617 UEL983051:UEL983153 UOI10:UOI63 UOH65547:UOH65649 UOH131083:UOH131185 UOH196619:UOH196721 UOH262155:UOH262257 UOH327691:UOH327793 UOH393227:UOH393329 UOH458763:UOH458865 UOH524299:UOH524401 UOH589835:UOH589937 UOH655371:UOH655473 UOH720907:UOH721009 UOH786443:UOH786545 UOH851979:UOH852081 UOH917515:UOH917617 UOH983051:UOH983153 UYE10:UYE63 UYD65547:UYD65649 UYD131083:UYD131185 UYD196619:UYD196721 UYD262155:UYD262257 UYD327691:UYD327793 UYD393227:UYD393329 UYD458763:UYD458865 UYD524299:UYD524401 UYD589835:UYD589937 UYD655371:UYD655473 UYD720907:UYD721009 UYD786443:UYD786545 UYD851979:UYD852081 UYD917515:UYD917617 UYD983051:UYD983153 VIA10:VIA63 VHZ65547:VHZ65649 VHZ131083:VHZ131185 VHZ196619:VHZ196721 VHZ262155:VHZ262257 VHZ327691:VHZ327793 VHZ393227:VHZ393329 VHZ458763:VHZ458865 VHZ524299:VHZ524401 VHZ589835:VHZ589937 VHZ655371:VHZ655473 VHZ720907:VHZ721009 VHZ786443:VHZ786545 VHZ851979:VHZ852081 VHZ917515:VHZ917617 VHZ983051:VHZ983153 VRW10:VRW63 VRV65547:VRV65649 VRV131083:VRV131185 VRV196619:VRV196721 VRV262155:VRV262257 VRV327691:VRV327793 VRV393227:VRV393329 VRV458763:VRV458865 VRV524299:VRV524401 VRV589835:VRV589937 VRV655371:VRV655473 VRV720907:VRV721009 VRV786443:VRV786545 VRV851979:VRV852081 VRV917515:VRV917617 VRV983051:VRV983153 WBS10:WBS63 WBR65547:WBR65649 WBR131083:WBR131185 WBR196619:WBR196721 WBR262155:WBR262257 WBR327691:WBR327793 WBR393227:WBR393329 WBR458763:WBR458865 WBR524299:WBR524401 WBR589835:WBR589937 WBR655371:WBR655473 WBR720907:WBR721009 WBR786443:WBR786545 WBR851979:WBR852081 WBR917515:WBR917617 WBR983051:WBR983153 WLO10:WLO63 WLN65547:WLN65649 WLN131083:WLN131185 WLN196619:WLN196721 WLN262155:WLN262257 WLN327691:WLN327793 WLN393227:WLN393329 WLN458763:WLN458865 WLN524299:WLN524401 WLN589835:WLN589937 WLN655371:WLN655473 WLN720907:WLN721009 WLN786443:WLN786545 WLN851979:WLN852081 WLN917515:WLN917617 WLN983051:WLN983153 WVK10:WVK63 WVJ983051:WVJ983153 WVJ65547:WVJ65649 WVJ131083:WVJ131185 WVJ196619:WVJ196721 WVJ262155:WVJ262257 WVJ327691:WVJ327793 WVJ393227:WVJ393329 WVJ458763:WVJ458865 WVJ524299:WVJ524401 WVJ589835:WVJ589937 WVJ655371:WVJ655473 WVJ720907:WVJ721009 WVJ786443:WVJ786545 WVJ851979:WVJ852081 WVJ917515:WVJ917617 IY10:IY63 WVK66:WVK114 WLO66:WLO114 WBS66:WBS114 VRW66:VRW114 VIA66:VIA114 UYE66:UYE114 UOI66:UOI114 UEM66:UEM114 TUQ66:TUQ114 TKU66:TKU114 TAY66:TAY114 SRC66:SRC114 SHG66:SHG114 RXK66:RXK114 RNO66:RNO114 RDS66:RDS114 QTW66:QTW114 QKA66:QKA114 QAE66:QAE114 PQI66:PQI114 PGM66:PGM114 OWQ66:OWQ114 OMU66:OMU114 OCY66:OCY114 NTC66:NTC114 NJG66:NJG114 MZK66:MZK114 MPO66:MPO114 MFS66:MFS114 LVW66:LVW114 LMA66:LMA114 LCE66:LCE114 KSI66:KSI114 KIM66:KIM114 JYQ66:JYQ114 JOU66:JOU114 JEY66:JEY114 IVC66:IVC114 ILG66:ILG114 IBK66:IBK114 HRO66:HRO114 HHS66:HHS114 GXW66:GXW114 GOA66:GOA114 GEE66:GEE114 FUI66:FUI114 FKM66:FKM114 FAQ66:FAQ114 EQU66:EQU114 EGY66:EGY114 DXC66:DXC114 DNG66:DNG114 DDK66:DDK114 CTO66:CTO114 CJS66:CJS114 BZW66:BZW114 BQA66:BQA114 BGE66:BGE114 AWI66:AWI114 AMM66:AMM114 ACQ66:ACQ114 SU66:SU114 IY66:IY114" xr:uid="{D2C933E5-62ED-4A78-820B-918B4B2EF161}"/>
    <dataValidation allowBlank="1" showInputMessage="1" showErrorMessage="1" prompt="Written Work TOTAL Highest Possible Score" sqref="H65547:H65548 H131083:H131084 H196619:H196620 H262155:H262156 H327691:H327692 H393227:H393228 H458763:H458764 H524299:H524300 H589835:H589836 H655371:H655372 H720907:H720908 H786443:H786444 H851979:H851980 H917515:H917516 H983051:H983052 IX10:IX12 IW65547:IW65548 IW131083:IW131084 IW196619:IW196620 IW262155:IW262156 IW327691:IW327692 IW393227:IW393228 IW458763:IW458764 IW524299:IW524300 IW589835:IW589836 IW655371:IW655372 IW720907:IW720908 IW786443:IW786444 IW851979:IW851980 IW917515:IW917516 IW983051:IW983052 ST10:ST12 SS65547:SS65548 SS131083:SS131084 SS196619:SS196620 SS262155:SS262156 SS327691:SS327692 SS393227:SS393228 SS458763:SS458764 SS524299:SS524300 SS589835:SS589836 SS655371:SS655372 SS720907:SS720908 SS786443:SS786444 SS851979:SS851980 SS917515:SS917516 SS983051:SS983052 ACP10:ACP12 ACO65547:ACO65548 ACO131083:ACO131084 ACO196619:ACO196620 ACO262155:ACO262156 ACO327691:ACO327692 ACO393227:ACO393228 ACO458763:ACO458764 ACO524299:ACO524300 ACO589835:ACO589836 ACO655371:ACO655372 ACO720907:ACO720908 ACO786443:ACO786444 ACO851979:ACO851980 ACO917515:ACO917516 ACO983051:ACO983052 AML10:AML12 AMK65547:AMK65548 AMK131083:AMK131084 AMK196619:AMK196620 AMK262155:AMK262156 AMK327691:AMK327692 AMK393227:AMK393228 AMK458763:AMK458764 AMK524299:AMK524300 AMK589835:AMK589836 AMK655371:AMK655372 AMK720907:AMK720908 AMK786443:AMK786444 AMK851979:AMK851980 AMK917515:AMK917516 AMK983051:AMK983052 AWH10:AWH12 AWG65547:AWG65548 AWG131083:AWG131084 AWG196619:AWG196620 AWG262155:AWG262156 AWG327691:AWG327692 AWG393227:AWG393228 AWG458763:AWG458764 AWG524299:AWG524300 AWG589835:AWG589836 AWG655371:AWG655372 AWG720907:AWG720908 AWG786443:AWG786444 AWG851979:AWG851980 AWG917515:AWG917516 AWG983051:AWG983052 BGD10:BGD12 BGC65547:BGC65548 BGC131083:BGC131084 BGC196619:BGC196620 BGC262155:BGC262156 BGC327691:BGC327692 BGC393227:BGC393228 BGC458763:BGC458764 BGC524299:BGC524300 BGC589835:BGC589836 BGC655371:BGC655372 BGC720907:BGC720908 BGC786443:BGC786444 BGC851979:BGC851980 BGC917515:BGC917516 BGC983051:BGC983052 BPZ10:BPZ12 BPY65547:BPY65548 BPY131083:BPY131084 BPY196619:BPY196620 BPY262155:BPY262156 BPY327691:BPY327692 BPY393227:BPY393228 BPY458763:BPY458764 BPY524299:BPY524300 BPY589835:BPY589836 BPY655371:BPY655372 BPY720907:BPY720908 BPY786443:BPY786444 BPY851979:BPY851980 BPY917515:BPY917516 BPY983051:BPY983052 BZV10:BZV12 BZU65547:BZU65548 BZU131083:BZU131084 BZU196619:BZU196620 BZU262155:BZU262156 BZU327691:BZU327692 BZU393227:BZU393228 BZU458763:BZU458764 BZU524299:BZU524300 BZU589835:BZU589836 BZU655371:BZU655372 BZU720907:BZU720908 BZU786443:BZU786444 BZU851979:BZU851980 BZU917515:BZU917516 BZU983051:BZU983052 CJR10:CJR12 CJQ65547:CJQ65548 CJQ131083:CJQ131084 CJQ196619:CJQ196620 CJQ262155:CJQ262156 CJQ327691:CJQ327692 CJQ393227:CJQ393228 CJQ458763:CJQ458764 CJQ524299:CJQ524300 CJQ589835:CJQ589836 CJQ655371:CJQ655372 CJQ720907:CJQ720908 CJQ786443:CJQ786444 CJQ851979:CJQ851980 CJQ917515:CJQ917516 CJQ983051:CJQ983052 CTN10:CTN12 CTM65547:CTM65548 CTM131083:CTM131084 CTM196619:CTM196620 CTM262155:CTM262156 CTM327691:CTM327692 CTM393227:CTM393228 CTM458763:CTM458764 CTM524299:CTM524300 CTM589835:CTM589836 CTM655371:CTM655372 CTM720907:CTM720908 CTM786443:CTM786444 CTM851979:CTM851980 CTM917515:CTM917516 CTM983051:CTM983052 DDJ10:DDJ12 DDI65547:DDI65548 DDI131083:DDI131084 DDI196619:DDI196620 DDI262155:DDI262156 DDI327691:DDI327692 DDI393227:DDI393228 DDI458763:DDI458764 DDI524299:DDI524300 DDI589835:DDI589836 DDI655371:DDI655372 DDI720907:DDI720908 DDI786443:DDI786444 DDI851979:DDI851980 DDI917515:DDI917516 DDI983051:DDI983052 DNF10:DNF12 DNE65547:DNE65548 DNE131083:DNE131084 DNE196619:DNE196620 DNE262155:DNE262156 DNE327691:DNE327692 DNE393227:DNE393228 DNE458763:DNE458764 DNE524299:DNE524300 DNE589835:DNE589836 DNE655371:DNE655372 DNE720907:DNE720908 DNE786443:DNE786444 DNE851979:DNE851980 DNE917515:DNE917516 DNE983051:DNE983052 DXB10:DXB12 DXA65547:DXA65548 DXA131083:DXA131084 DXA196619:DXA196620 DXA262155:DXA262156 DXA327691:DXA327692 DXA393227:DXA393228 DXA458763:DXA458764 DXA524299:DXA524300 DXA589835:DXA589836 DXA655371:DXA655372 DXA720907:DXA720908 DXA786443:DXA786444 DXA851979:DXA851980 DXA917515:DXA917516 DXA983051:DXA983052 EGX10:EGX12 EGW65547:EGW65548 EGW131083:EGW131084 EGW196619:EGW196620 EGW262155:EGW262156 EGW327691:EGW327692 EGW393227:EGW393228 EGW458763:EGW458764 EGW524299:EGW524300 EGW589835:EGW589836 EGW655371:EGW655372 EGW720907:EGW720908 EGW786443:EGW786444 EGW851979:EGW851980 EGW917515:EGW917516 EGW983051:EGW983052 EQT10:EQT12 EQS65547:EQS65548 EQS131083:EQS131084 EQS196619:EQS196620 EQS262155:EQS262156 EQS327691:EQS327692 EQS393227:EQS393228 EQS458763:EQS458764 EQS524299:EQS524300 EQS589835:EQS589836 EQS655371:EQS655372 EQS720907:EQS720908 EQS786443:EQS786444 EQS851979:EQS851980 EQS917515:EQS917516 EQS983051:EQS983052 FAP10:FAP12 FAO65547:FAO65548 FAO131083:FAO131084 FAO196619:FAO196620 FAO262155:FAO262156 FAO327691:FAO327692 FAO393227:FAO393228 FAO458763:FAO458764 FAO524299:FAO524300 FAO589835:FAO589836 FAO655371:FAO655372 FAO720907:FAO720908 FAO786443:FAO786444 FAO851979:FAO851980 FAO917515:FAO917516 FAO983051:FAO983052 FKL10:FKL12 FKK65547:FKK65548 FKK131083:FKK131084 FKK196619:FKK196620 FKK262155:FKK262156 FKK327691:FKK327692 FKK393227:FKK393228 FKK458763:FKK458764 FKK524299:FKK524300 FKK589835:FKK589836 FKK655371:FKK655372 FKK720907:FKK720908 FKK786443:FKK786444 FKK851979:FKK851980 FKK917515:FKK917516 FKK983051:FKK983052 FUH10:FUH12 FUG65547:FUG65548 FUG131083:FUG131084 FUG196619:FUG196620 FUG262155:FUG262156 FUG327691:FUG327692 FUG393227:FUG393228 FUG458763:FUG458764 FUG524299:FUG524300 FUG589835:FUG589836 FUG655371:FUG655372 FUG720907:FUG720908 FUG786443:FUG786444 FUG851979:FUG851980 FUG917515:FUG917516 FUG983051:FUG983052 GED10:GED12 GEC65547:GEC65548 GEC131083:GEC131084 GEC196619:GEC196620 GEC262155:GEC262156 GEC327691:GEC327692 GEC393227:GEC393228 GEC458763:GEC458764 GEC524299:GEC524300 GEC589835:GEC589836 GEC655371:GEC655372 GEC720907:GEC720908 GEC786443:GEC786444 GEC851979:GEC851980 GEC917515:GEC917516 GEC983051:GEC983052 GNZ10:GNZ12 GNY65547:GNY65548 GNY131083:GNY131084 GNY196619:GNY196620 GNY262155:GNY262156 GNY327691:GNY327692 GNY393227:GNY393228 GNY458763:GNY458764 GNY524299:GNY524300 GNY589835:GNY589836 GNY655371:GNY655372 GNY720907:GNY720908 GNY786443:GNY786444 GNY851979:GNY851980 GNY917515:GNY917516 GNY983051:GNY983052 GXV10:GXV12 GXU65547:GXU65548 GXU131083:GXU131084 GXU196619:GXU196620 GXU262155:GXU262156 GXU327691:GXU327692 GXU393227:GXU393228 GXU458763:GXU458764 GXU524299:GXU524300 GXU589835:GXU589836 GXU655371:GXU655372 GXU720907:GXU720908 GXU786443:GXU786444 GXU851979:GXU851980 GXU917515:GXU917516 GXU983051:GXU983052 HHR10:HHR12 HHQ65547:HHQ65548 HHQ131083:HHQ131084 HHQ196619:HHQ196620 HHQ262155:HHQ262156 HHQ327691:HHQ327692 HHQ393227:HHQ393228 HHQ458763:HHQ458764 HHQ524299:HHQ524300 HHQ589835:HHQ589836 HHQ655371:HHQ655372 HHQ720907:HHQ720908 HHQ786443:HHQ786444 HHQ851979:HHQ851980 HHQ917515:HHQ917516 HHQ983051:HHQ983052 HRN10:HRN12 HRM65547:HRM65548 HRM131083:HRM131084 HRM196619:HRM196620 HRM262155:HRM262156 HRM327691:HRM327692 HRM393227:HRM393228 HRM458763:HRM458764 HRM524299:HRM524300 HRM589835:HRM589836 HRM655371:HRM655372 HRM720907:HRM720908 HRM786443:HRM786444 HRM851979:HRM851980 HRM917515:HRM917516 HRM983051:HRM983052 IBJ10:IBJ12 IBI65547:IBI65548 IBI131083:IBI131084 IBI196619:IBI196620 IBI262155:IBI262156 IBI327691:IBI327692 IBI393227:IBI393228 IBI458763:IBI458764 IBI524299:IBI524300 IBI589835:IBI589836 IBI655371:IBI655372 IBI720907:IBI720908 IBI786443:IBI786444 IBI851979:IBI851980 IBI917515:IBI917516 IBI983051:IBI983052 ILF10:ILF12 ILE65547:ILE65548 ILE131083:ILE131084 ILE196619:ILE196620 ILE262155:ILE262156 ILE327691:ILE327692 ILE393227:ILE393228 ILE458763:ILE458764 ILE524299:ILE524300 ILE589835:ILE589836 ILE655371:ILE655372 ILE720907:ILE720908 ILE786443:ILE786444 ILE851979:ILE851980 ILE917515:ILE917516 ILE983051:ILE983052 IVB10:IVB12 IVA65547:IVA65548 IVA131083:IVA131084 IVA196619:IVA196620 IVA262155:IVA262156 IVA327691:IVA327692 IVA393227:IVA393228 IVA458763:IVA458764 IVA524299:IVA524300 IVA589835:IVA589836 IVA655371:IVA655372 IVA720907:IVA720908 IVA786443:IVA786444 IVA851979:IVA851980 IVA917515:IVA917516 IVA983051:IVA983052 JEX10:JEX12 JEW65547:JEW65548 JEW131083:JEW131084 JEW196619:JEW196620 JEW262155:JEW262156 JEW327691:JEW327692 JEW393227:JEW393228 JEW458763:JEW458764 JEW524299:JEW524300 JEW589835:JEW589836 JEW655371:JEW655372 JEW720907:JEW720908 JEW786443:JEW786444 JEW851979:JEW851980 JEW917515:JEW917516 JEW983051:JEW983052 JOT10:JOT12 JOS65547:JOS65548 JOS131083:JOS131084 JOS196619:JOS196620 JOS262155:JOS262156 JOS327691:JOS327692 JOS393227:JOS393228 JOS458763:JOS458764 JOS524299:JOS524300 JOS589835:JOS589836 JOS655371:JOS655372 JOS720907:JOS720908 JOS786443:JOS786444 JOS851979:JOS851980 JOS917515:JOS917516 JOS983051:JOS983052 JYP10:JYP12 JYO65547:JYO65548 JYO131083:JYO131084 JYO196619:JYO196620 JYO262155:JYO262156 JYO327691:JYO327692 JYO393227:JYO393228 JYO458763:JYO458764 JYO524299:JYO524300 JYO589835:JYO589836 JYO655371:JYO655372 JYO720907:JYO720908 JYO786443:JYO786444 JYO851979:JYO851980 JYO917515:JYO917516 JYO983051:JYO983052 KIL10:KIL12 KIK65547:KIK65548 KIK131083:KIK131084 KIK196619:KIK196620 KIK262155:KIK262156 KIK327691:KIK327692 KIK393227:KIK393228 KIK458763:KIK458764 KIK524299:KIK524300 KIK589835:KIK589836 KIK655371:KIK655372 KIK720907:KIK720908 KIK786443:KIK786444 KIK851979:KIK851980 KIK917515:KIK917516 KIK983051:KIK983052 KSH10:KSH12 KSG65547:KSG65548 KSG131083:KSG131084 KSG196619:KSG196620 KSG262155:KSG262156 KSG327691:KSG327692 KSG393227:KSG393228 KSG458763:KSG458764 KSG524299:KSG524300 KSG589835:KSG589836 KSG655371:KSG655372 KSG720907:KSG720908 KSG786443:KSG786444 KSG851979:KSG851980 KSG917515:KSG917516 KSG983051:KSG983052 LCD10:LCD12 LCC65547:LCC65548 LCC131083:LCC131084 LCC196619:LCC196620 LCC262155:LCC262156 LCC327691:LCC327692 LCC393227:LCC393228 LCC458763:LCC458764 LCC524299:LCC524300 LCC589835:LCC589836 LCC655371:LCC655372 LCC720907:LCC720908 LCC786443:LCC786444 LCC851979:LCC851980 LCC917515:LCC917516 LCC983051:LCC983052 LLZ10:LLZ12 LLY65547:LLY65548 LLY131083:LLY131084 LLY196619:LLY196620 LLY262155:LLY262156 LLY327691:LLY327692 LLY393227:LLY393228 LLY458763:LLY458764 LLY524299:LLY524300 LLY589835:LLY589836 LLY655371:LLY655372 LLY720907:LLY720908 LLY786443:LLY786444 LLY851979:LLY851980 LLY917515:LLY917516 LLY983051:LLY983052 LVV10:LVV12 LVU65547:LVU65548 LVU131083:LVU131084 LVU196619:LVU196620 LVU262155:LVU262156 LVU327691:LVU327692 LVU393227:LVU393228 LVU458763:LVU458764 LVU524299:LVU524300 LVU589835:LVU589836 LVU655371:LVU655372 LVU720907:LVU720908 LVU786443:LVU786444 LVU851979:LVU851980 LVU917515:LVU917516 LVU983051:LVU983052 MFR10:MFR12 MFQ65547:MFQ65548 MFQ131083:MFQ131084 MFQ196619:MFQ196620 MFQ262155:MFQ262156 MFQ327691:MFQ327692 MFQ393227:MFQ393228 MFQ458763:MFQ458764 MFQ524299:MFQ524300 MFQ589835:MFQ589836 MFQ655371:MFQ655372 MFQ720907:MFQ720908 MFQ786443:MFQ786444 MFQ851979:MFQ851980 MFQ917515:MFQ917516 MFQ983051:MFQ983052 MPN10:MPN12 MPM65547:MPM65548 MPM131083:MPM131084 MPM196619:MPM196620 MPM262155:MPM262156 MPM327691:MPM327692 MPM393227:MPM393228 MPM458763:MPM458764 MPM524299:MPM524300 MPM589835:MPM589836 MPM655371:MPM655372 MPM720907:MPM720908 MPM786443:MPM786444 MPM851979:MPM851980 MPM917515:MPM917516 MPM983051:MPM983052 MZJ10:MZJ12 MZI65547:MZI65548 MZI131083:MZI131084 MZI196619:MZI196620 MZI262155:MZI262156 MZI327691:MZI327692 MZI393227:MZI393228 MZI458763:MZI458764 MZI524299:MZI524300 MZI589835:MZI589836 MZI655371:MZI655372 MZI720907:MZI720908 MZI786443:MZI786444 MZI851979:MZI851980 MZI917515:MZI917516 MZI983051:MZI983052 NJF10:NJF12 NJE65547:NJE65548 NJE131083:NJE131084 NJE196619:NJE196620 NJE262155:NJE262156 NJE327691:NJE327692 NJE393227:NJE393228 NJE458763:NJE458764 NJE524299:NJE524300 NJE589835:NJE589836 NJE655371:NJE655372 NJE720907:NJE720908 NJE786443:NJE786444 NJE851979:NJE851980 NJE917515:NJE917516 NJE983051:NJE983052 NTB10:NTB12 NTA65547:NTA65548 NTA131083:NTA131084 NTA196619:NTA196620 NTA262155:NTA262156 NTA327691:NTA327692 NTA393227:NTA393228 NTA458763:NTA458764 NTA524299:NTA524300 NTA589835:NTA589836 NTA655371:NTA655372 NTA720907:NTA720908 NTA786443:NTA786444 NTA851979:NTA851980 NTA917515:NTA917516 NTA983051:NTA983052 OCX10:OCX12 OCW65547:OCW65548 OCW131083:OCW131084 OCW196619:OCW196620 OCW262155:OCW262156 OCW327691:OCW327692 OCW393227:OCW393228 OCW458763:OCW458764 OCW524299:OCW524300 OCW589835:OCW589836 OCW655371:OCW655372 OCW720907:OCW720908 OCW786443:OCW786444 OCW851979:OCW851980 OCW917515:OCW917516 OCW983051:OCW983052 OMT10:OMT12 OMS65547:OMS65548 OMS131083:OMS131084 OMS196619:OMS196620 OMS262155:OMS262156 OMS327691:OMS327692 OMS393227:OMS393228 OMS458763:OMS458764 OMS524299:OMS524300 OMS589835:OMS589836 OMS655371:OMS655372 OMS720907:OMS720908 OMS786443:OMS786444 OMS851979:OMS851980 OMS917515:OMS917516 OMS983051:OMS983052 OWP10:OWP12 OWO65547:OWO65548 OWO131083:OWO131084 OWO196619:OWO196620 OWO262155:OWO262156 OWO327691:OWO327692 OWO393227:OWO393228 OWO458763:OWO458764 OWO524299:OWO524300 OWO589835:OWO589836 OWO655371:OWO655372 OWO720907:OWO720908 OWO786443:OWO786444 OWO851979:OWO851980 OWO917515:OWO917516 OWO983051:OWO983052 PGL10:PGL12 PGK65547:PGK65548 PGK131083:PGK131084 PGK196619:PGK196620 PGK262155:PGK262156 PGK327691:PGK327692 PGK393227:PGK393228 PGK458763:PGK458764 PGK524299:PGK524300 PGK589835:PGK589836 PGK655371:PGK655372 PGK720907:PGK720908 PGK786443:PGK786444 PGK851979:PGK851980 PGK917515:PGK917516 PGK983051:PGK983052 PQH10:PQH12 PQG65547:PQG65548 PQG131083:PQG131084 PQG196619:PQG196620 PQG262155:PQG262156 PQG327691:PQG327692 PQG393227:PQG393228 PQG458763:PQG458764 PQG524299:PQG524300 PQG589835:PQG589836 PQG655371:PQG655372 PQG720907:PQG720908 PQG786443:PQG786444 PQG851979:PQG851980 PQG917515:PQG917516 PQG983051:PQG983052 QAD10:QAD12 QAC65547:QAC65548 QAC131083:QAC131084 QAC196619:QAC196620 QAC262155:QAC262156 QAC327691:QAC327692 QAC393227:QAC393228 QAC458763:QAC458764 QAC524299:QAC524300 QAC589835:QAC589836 QAC655371:QAC655372 QAC720907:QAC720908 QAC786443:QAC786444 QAC851979:QAC851980 QAC917515:QAC917516 QAC983051:QAC983052 QJZ10:QJZ12 QJY65547:QJY65548 QJY131083:QJY131084 QJY196619:QJY196620 QJY262155:QJY262156 QJY327691:QJY327692 QJY393227:QJY393228 QJY458763:QJY458764 QJY524299:QJY524300 QJY589835:QJY589836 QJY655371:QJY655372 QJY720907:QJY720908 QJY786443:QJY786444 QJY851979:QJY851980 QJY917515:QJY917516 QJY983051:QJY983052 QTV10:QTV12 QTU65547:QTU65548 QTU131083:QTU131084 QTU196619:QTU196620 QTU262155:QTU262156 QTU327691:QTU327692 QTU393227:QTU393228 QTU458763:QTU458764 QTU524299:QTU524300 QTU589835:QTU589836 QTU655371:QTU655372 QTU720907:QTU720908 QTU786443:QTU786444 QTU851979:QTU851980 QTU917515:QTU917516 QTU983051:QTU983052 RDR10:RDR12 RDQ65547:RDQ65548 RDQ131083:RDQ131084 RDQ196619:RDQ196620 RDQ262155:RDQ262156 RDQ327691:RDQ327692 RDQ393227:RDQ393228 RDQ458763:RDQ458764 RDQ524299:RDQ524300 RDQ589835:RDQ589836 RDQ655371:RDQ655372 RDQ720907:RDQ720908 RDQ786443:RDQ786444 RDQ851979:RDQ851980 RDQ917515:RDQ917516 RDQ983051:RDQ983052 RNN10:RNN12 RNM65547:RNM65548 RNM131083:RNM131084 RNM196619:RNM196620 RNM262155:RNM262156 RNM327691:RNM327692 RNM393227:RNM393228 RNM458763:RNM458764 RNM524299:RNM524300 RNM589835:RNM589836 RNM655371:RNM655372 RNM720907:RNM720908 RNM786443:RNM786444 RNM851979:RNM851980 RNM917515:RNM917516 RNM983051:RNM983052 RXJ10:RXJ12 RXI65547:RXI65548 RXI131083:RXI131084 RXI196619:RXI196620 RXI262155:RXI262156 RXI327691:RXI327692 RXI393227:RXI393228 RXI458763:RXI458764 RXI524299:RXI524300 RXI589835:RXI589836 RXI655371:RXI655372 RXI720907:RXI720908 RXI786443:RXI786444 RXI851979:RXI851980 RXI917515:RXI917516 RXI983051:RXI983052 SHF10:SHF12 SHE65547:SHE65548 SHE131083:SHE131084 SHE196619:SHE196620 SHE262155:SHE262156 SHE327691:SHE327692 SHE393227:SHE393228 SHE458763:SHE458764 SHE524299:SHE524300 SHE589835:SHE589836 SHE655371:SHE655372 SHE720907:SHE720908 SHE786443:SHE786444 SHE851979:SHE851980 SHE917515:SHE917516 SHE983051:SHE983052 SRB10:SRB12 SRA65547:SRA65548 SRA131083:SRA131084 SRA196619:SRA196620 SRA262155:SRA262156 SRA327691:SRA327692 SRA393227:SRA393228 SRA458763:SRA458764 SRA524299:SRA524300 SRA589835:SRA589836 SRA655371:SRA655372 SRA720907:SRA720908 SRA786443:SRA786444 SRA851979:SRA851980 SRA917515:SRA917516 SRA983051:SRA983052 TAX10:TAX12 TAW65547:TAW65548 TAW131083:TAW131084 TAW196619:TAW196620 TAW262155:TAW262156 TAW327691:TAW327692 TAW393227:TAW393228 TAW458763:TAW458764 TAW524299:TAW524300 TAW589835:TAW589836 TAW655371:TAW655372 TAW720907:TAW720908 TAW786443:TAW786444 TAW851979:TAW851980 TAW917515:TAW917516 TAW983051:TAW983052 TKT10:TKT12 TKS65547:TKS65548 TKS131083:TKS131084 TKS196619:TKS196620 TKS262155:TKS262156 TKS327691:TKS327692 TKS393227:TKS393228 TKS458763:TKS458764 TKS524299:TKS524300 TKS589835:TKS589836 TKS655371:TKS655372 TKS720907:TKS720908 TKS786443:TKS786444 TKS851979:TKS851980 TKS917515:TKS917516 TKS983051:TKS983052 TUP10:TUP12 TUO65547:TUO65548 TUO131083:TUO131084 TUO196619:TUO196620 TUO262155:TUO262156 TUO327691:TUO327692 TUO393227:TUO393228 TUO458763:TUO458764 TUO524299:TUO524300 TUO589835:TUO589836 TUO655371:TUO655372 TUO720907:TUO720908 TUO786443:TUO786444 TUO851979:TUO851980 TUO917515:TUO917516 TUO983051:TUO983052 UEL10:UEL12 UEK65547:UEK65548 UEK131083:UEK131084 UEK196619:UEK196620 UEK262155:UEK262156 UEK327691:UEK327692 UEK393227:UEK393228 UEK458763:UEK458764 UEK524299:UEK524300 UEK589835:UEK589836 UEK655371:UEK655372 UEK720907:UEK720908 UEK786443:UEK786444 UEK851979:UEK851980 UEK917515:UEK917516 UEK983051:UEK983052 UOH10:UOH12 UOG65547:UOG65548 UOG131083:UOG131084 UOG196619:UOG196620 UOG262155:UOG262156 UOG327691:UOG327692 UOG393227:UOG393228 UOG458763:UOG458764 UOG524299:UOG524300 UOG589835:UOG589836 UOG655371:UOG655372 UOG720907:UOG720908 UOG786443:UOG786444 UOG851979:UOG851980 UOG917515:UOG917516 UOG983051:UOG983052 UYD10:UYD12 UYC65547:UYC65548 UYC131083:UYC131084 UYC196619:UYC196620 UYC262155:UYC262156 UYC327691:UYC327692 UYC393227:UYC393228 UYC458763:UYC458764 UYC524299:UYC524300 UYC589835:UYC589836 UYC655371:UYC655372 UYC720907:UYC720908 UYC786443:UYC786444 UYC851979:UYC851980 UYC917515:UYC917516 UYC983051:UYC983052 VHZ10:VHZ12 VHY65547:VHY65548 VHY131083:VHY131084 VHY196619:VHY196620 VHY262155:VHY262156 VHY327691:VHY327692 VHY393227:VHY393228 VHY458763:VHY458764 VHY524299:VHY524300 VHY589835:VHY589836 VHY655371:VHY655372 VHY720907:VHY720908 VHY786443:VHY786444 VHY851979:VHY851980 VHY917515:VHY917516 VHY983051:VHY983052 VRV10:VRV12 VRU65547:VRU65548 VRU131083:VRU131084 VRU196619:VRU196620 VRU262155:VRU262156 VRU327691:VRU327692 VRU393227:VRU393228 VRU458763:VRU458764 VRU524299:VRU524300 VRU589835:VRU589836 VRU655371:VRU655372 VRU720907:VRU720908 VRU786443:VRU786444 VRU851979:VRU851980 VRU917515:VRU917516 VRU983051:VRU983052 WBR10:WBR12 WBQ65547:WBQ65548 WBQ131083:WBQ131084 WBQ196619:WBQ196620 WBQ262155:WBQ262156 WBQ327691:WBQ327692 WBQ393227:WBQ393228 WBQ458763:WBQ458764 WBQ524299:WBQ524300 WBQ589835:WBQ589836 WBQ655371:WBQ655372 WBQ720907:WBQ720908 WBQ786443:WBQ786444 WBQ851979:WBQ851980 WBQ917515:WBQ917516 WBQ983051:WBQ983052 WLN10:WLN12 WLM65547:WLM65548 WLM131083:WLM131084 WLM196619:WLM196620 WLM262155:WLM262156 WLM327691:WLM327692 WLM393227:WLM393228 WLM458763:WLM458764 WLM524299:WLM524300 WLM589835:WLM589836 WLM655371:WLM655372 WLM720907:WLM720908 WLM786443:WLM786444 WLM851979:WLM851980 WLM917515:WLM917516 WLM983051:WLM983052 WVJ10:WVJ12 WVI65547:WVI65548 WVI131083:WVI131084 WVI196619:WVI196620 WVI262155:WVI262156 WVI327691:WVI327692 WVI393227:WVI393228 WVI458763:WVI458764 WVI524299:WVI524300 WVI589835:WVI589836 WVI655371:WVI655372 WVI720907:WVI720908 WVI786443:WVI786444 WVI851979:WVI851980 WVI917515:WVI917516 WVI983051:WVI983052" xr:uid="{D18EC0BB-A181-41B5-ABC6-839CBD370D82}"/>
    <dataValidation allowBlank="1" showInputMessage="1" showErrorMessage="1" prompt="Written work total raw score" sqref="H65549:H65649 H131085:H131185 H196621:H196721 H262157:H262257 H327693:H327793 H393229:H393329 H458765:H458865 H524301:H524401 H589837:H589937 H655373:H655473 H720909:H721009 H786445:H786545 H851981:H852081 H917517:H917617 H983053:H983153 ST13:ST63 IW65549:IW65649 IW131085:IW131185 IW196621:IW196721 IW262157:IW262257 IW327693:IW327793 IW393229:IW393329 IW458765:IW458865 IW524301:IW524401 IW589837:IW589937 IW655373:IW655473 IW720909:IW721009 IW786445:IW786545 IW851981:IW852081 IW917517:IW917617 IW983053:IW983153 ACP13:ACP63 SS65549:SS65649 SS131085:SS131185 SS196621:SS196721 SS262157:SS262257 SS327693:SS327793 SS393229:SS393329 SS458765:SS458865 SS524301:SS524401 SS589837:SS589937 SS655373:SS655473 SS720909:SS721009 SS786445:SS786545 SS851981:SS852081 SS917517:SS917617 SS983053:SS983153 AML13:AML63 ACO65549:ACO65649 ACO131085:ACO131185 ACO196621:ACO196721 ACO262157:ACO262257 ACO327693:ACO327793 ACO393229:ACO393329 ACO458765:ACO458865 ACO524301:ACO524401 ACO589837:ACO589937 ACO655373:ACO655473 ACO720909:ACO721009 ACO786445:ACO786545 ACO851981:ACO852081 ACO917517:ACO917617 ACO983053:ACO983153 AWH13:AWH63 AMK65549:AMK65649 AMK131085:AMK131185 AMK196621:AMK196721 AMK262157:AMK262257 AMK327693:AMK327793 AMK393229:AMK393329 AMK458765:AMK458865 AMK524301:AMK524401 AMK589837:AMK589937 AMK655373:AMK655473 AMK720909:AMK721009 AMK786445:AMK786545 AMK851981:AMK852081 AMK917517:AMK917617 AMK983053:AMK983153 BGD13:BGD63 AWG65549:AWG65649 AWG131085:AWG131185 AWG196621:AWG196721 AWG262157:AWG262257 AWG327693:AWG327793 AWG393229:AWG393329 AWG458765:AWG458865 AWG524301:AWG524401 AWG589837:AWG589937 AWG655373:AWG655473 AWG720909:AWG721009 AWG786445:AWG786545 AWG851981:AWG852081 AWG917517:AWG917617 AWG983053:AWG983153 BPZ13:BPZ63 BGC65549:BGC65649 BGC131085:BGC131185 BGC196621:BGC196721 BGC262157:BGC262257 BGC327693:BGC327793 BGC393229:BGC393329 BGC458765:BGC458865 BGC524301:BGC524401 BGC589837:BGC589937 BGC655373:BGC655473 BGC720909:BGC721009 BGC786445:BGC786545 BGC851981:BGC852081 BGC917517:BGC917617 BGC983053:BGC983153 BZV13:BZV63 BPY65549:BPY65649 BPY131085:BPY131185 BPY196621:BPY196721 BPY262157:BPY262257 BPY327693:BPY327793 BPY393229:BPY393329 BPY458765:BPY458865 BPY524301:BPY524401 BPY589837:BPY589937 BPY655373:BPY655473 BPY720909:BPY721009 BPY786445:BPY786545 BPY851981:BPY852081 BPY917517:BPY917617 BPY983053:BPY983153 CJR13:CJR63 BZU65549:BZU65649 BZU131085:BZU131185 BZU196621:BZU196721 BZU262157:BZU262257 BZU327693:BZU327793 BZU393229:BZU393329 BZU458765:BZU458865 BZU524301:BZU524401 BZU589837:BZU589937 BZU655373:BZU655473 BZU720909:BZU721009 BZU786445:BZU786545 BZU851981:BZU852081 BZU917517:BZU917617 BZU983053:BZU983153 CTN13:CTN63 CJQ65549:CJQ65649 CJQ131085:CJQ131185 CJQ196621:CJQ196721 CJQ262157:CJQ262257 CJQ327693:CJQ327793 CJQ393229:CJQ393329 CJQ458765:CJQ458865 CJQ524301:CJQ524401 CJQ589837:CJQ589937 CJQ655373:CJQ655473 CJQ720909:CJQ721009 CJQ786445:CJQ786545 CJQ851981:CJQ852081 CJQ917517:CJQ917617 CJQ983053:CJQ983153 DDJ13:DDJ63 CTM65549:CTM65649 CTM131085:CTM131185 CTM196621:CTM196721 CTM262157:CTM262257 CTM327693:CTM327793 CTM393229:CTM393329 CTM458765:CTM458865 CTM524301:CTM524401 CTM589837:CTM589937 CTM655373:CTM655473 CTM720909:CTM721009 CTM786445:CTM786545 CTM851981:CTM852081 CTM917517:CTM917617 CTM983053:CTM983153 DNF13:DNF63 DDI65549:DDI65649 DDI131085:DDI131185 DDI196621:DDI196721 DDI262157:DDI262257 DDI327693:DDI327793 DDI393229:DDI393329 DDI458765:DDI458865 DDI524301:DDI524401 DDI589837:DDI589937 DDI655373:DDI655473 DDI720909:DDI721009 DDI786445:DDI786545 DDI851981:DDI852081 DDI917517:DDI917617 DDI983053:DDI983153 DXB13:DXB63 DNE65549:DNE65649 DNE131085:DNE131185 DNE196621:DNE196721 DNE262157:DNE262257 DNE327693:DNE327793 DNE393229:DNE393329 DNE458765:DNE458865 DNE524301:DNE524401 DNE589837:DNE589937 DNE655373:DNE655473 DNE720909:DNE721009 DNE786445:DNE786545 DNE851981:DNE852081 DNE917517:DNE917617 DNE983053:DNE983153 EGX13:EGX63 DXA65549:DXA65649 DXA131085:DXA131185 DXA196621:DXA196721 DXA262157:DXA262257 DXA327693:DXA327793 DXA393229:DXA393329 DXA458765:DXA458865 DXA524301:DXA524401 DXA589837:DXA589937 DXA655373:DXA655473 DXA720909:DXA721009 DXA786445:DXA786545 DXA851981:DXA852081 DXA917517:DXA917617 DXA983053:DXA983153 EQT13:EQT63 EGW65549:EGW65649 EGW131085:EGW131185 EGW196621:EGW196721 EGW262157:EGW262257 EGW327693:EGW327793 EGW393229:EGW393329 EGW458765:EGW458865 EGW524301:EGW524401 EGW589837:EGW589937 EGW655373:EGW655473 EGW720909:EGW721009 EGW786445:EGW786545 EGW851981:EGW852081 EGW917517:EGW917617 EGW983053:EGW983153 FAP13:FAP63 EQS65549:EQS65649 EQS131085:EQS131185 EQS196621:EQS196721 EQS262157:EQS262257 EQS327693:EQS327793 EQS393229:EQS393329 EQS458765:EQS458865 EQS524301:EQS524401 EQS589837:EQS589937 EQS655373:EQS655473 EQS720909:EQS721009 EQS786445:EQS786545 EQS851981:EQS852081 EQS917517:EQS917617 EQS983053:EQS983153 FKL13:FKL63 FAO65549:FAO65649 FAO131085:FAO131185 FAO196621:FAO196721 FAO262157:FAO262257 FAO327693:FAO327793 FAO393229:FAO393329 FAO458765:FAO458865 FAO524301:FAO524401 FAO589837:FAO589937 FAO655373:FAO655473 FAO720909:FAO721009 FAO786445:FAO786545 FAO851981:FAO852081 FAO917517:FAO917617 FAO983053:FAO983153 FUH13:FUH63 FKK65549:FKK65649 FKK131085:FKK131185 FKK196621:FKK196721 FKK262157:FKK262257 FKK327693:FKK327793 FKK393229:FKK393329 FKK458765:FKK458865 FKK524301:FKK524401 FKK589837:FKK589937 FKK655373:FKK655473 FKK720909:FKK721009 FKK786445:FKK786545 FKK851981:FKK852081 FKK917517:FKK917617 FKK983053:FKK983153 GED13:GED63 FUG65549:FUG65649 FUG131085:FUG131185 FUG196621:FUG196721 FUG262157:FUG262257 FUG327693:FUG327793 FUG393229:FUG393329 FUG458765:FUG458865 FUG524301:FUG524401 FUG589837:FUG589937 FUG655373:FUG655473 FUG720909:FUG721009 FUG786445:FUG786545 FUG851981:FUG852081 FUG917517:FUG917617 FUG983053:FUG983153 GNZ13:GNZ63 GEC65549:GEC65649 GEC131085:GEC131185 GEC196621:GEC196721 GEC262157:GEC262257 GEC327693:GEC327793 GEC393229:GEC393329 GEC458765:GEC458865 GEC524301:GEC524401 GEC589837:GEC589937 GEC655373:GEC655473 GEC720909:GEC721009 GEC786445:GEC786545 GEC851981:GEC852081 GEC917517:GEC917617 GEC983053:GEC983153 GXV13:GXV63 GNY65549:GNY65649 GNY131085:GNY131185 GNY196621:GNY196721 GNY262157:GNY262257 GNY327693:GNY327793 GNY393229:GNY393329 GNY458765:GNY458865 GNY524301:GNY524401 GNY589837:GNY589937 GNY655373:GNY655473 GNY720909:GNY721009 GNY786445:GNY786545 GNY851981:GNY852081 GNY917517:GNY917617 GNY983053:GNY983153 HHR13:HHR63 GXU65549:GXU65649 GXU131085:GXU131185 GXU196621:GXU196721 GXU262157:GXU262257 GXU327693:GXU327793 GXU393229:GXU393329 GXU458765:GXU458865 GXU524301:GXU524401 GXU589837:GXU589937 GXU655373:GXU655473 GXU720909:GXU721009 GXU786445:GXU786545 GXU851981:GXU852081 GXU917517:GXU917617 GXU983053:GXU983153 HRN13:HRN63 HHQ65549:HHQ65649 HHQ131085:HHQ131185 HHQ196621:HHQ196721 HHQ262157:HHQ262257 HHQ327693:HHQ327793 HHQ393229:HHQ393329 HHQ458765:HHQ458865 HHQ524301:HHQ524401 HHQ589837:HHQ589937 HHQ655373:HHQ655473 HHQ720909:HHQ721009 HHQ786445:HHQ786545 HHQ851981:HHQ852081 HHQ917517:HHQ917617 HHQ983053:HHQ983153 IBJ13:IBJ63 HRM65549:HRM65649 HRM131085:HRM131185 HRM196621:HRM196721 HRM262157:HRM262257 HRM327693:HRM327793 HRM393229:HRM393329 HRM458765:HRM458865 HRM524301:HRM524401 HRM589837:HRM589937 HRM655373:HRM655473 HRM720909:HRM721009 HRM786445:HRM786545 HRM851981:HRM852081 HRM917517:HRM917617 HRM983053:HRM983153 ILF13:ILF63 IBI65549:IBI65649 IBI131085:IBI131185 IBI196621:IBI196721 IBI262157:IBI262257 IBI327693:IBI327793 IBI393229:IBI393329 IBI458765:IBI458865 IBI524301:IBI524401 IBI589837:IBI589937 IBI655373:IBI655473 IBI720909:IBI721009 IBI786445:IBI786545 IBI851981:IBI852081 IBI917517:IBI917617 IBI983053:IBI983153 IVB13:IVB63 ILE65549:ILE65649 ILE131085:ILE131185 ILE196621:ILE196721 ILE262157:ILE262257 ILE327693:ILE327793 ILE393229:ILE393329 ILE458765:ILE458865 ILE524301:ILE524401 ILE589837:ILE589937 ILE655373:ILE655473 ILE720909:ILE721009 ILE786445:ILE786545 ILE851981:ILE852081 ILE917517:ILE917617 ILE983053:ILE983153 JEX13:JEX63 IVA65549:IVA65649 IVA131085:IVA131185 IVA196621:IVA196721 IVA262157:IVA262257 IVA327693:IVA327793 IVA393229:IVA393329 IVA458765:IVA458865 IVA524301:IVA524401 IVA589837:IVA589937 IVA655373:IVA655473 IVA720909:IVA721009 IVA786445:IVA786545 IVA851981:IVA852081 IVA917517:IVA917617 IVA983053:IVA983153 JOT13:JOT63 JEW65549:JEW65649 JEW131085:JEW131185 JEW196621:JEW196721 JEW262157:JEW262257 JEW327693:JEW327793 JEW393229:JEW393329 JEW458765:JEW458865 JEW524301:JEW524401 JEW589837:JEW589937 JEW655373:JEW655473 JEW720909:JEW721009 JEW786445:JEW786545 JEW851981:JEW852081 JEW917517:JEW917617 JEW983053:JEW983153 JYP13:JYP63 JOS65549:JOS65649 JOS131085:JOS131185 JOS196621:JOS196721 JOS262157:JOS262257 JOS327693:JOS327793 JOS393229:JOS393329 JOS458765:JOS458865 JOS524301:JOS524401 JOS589837:JOS589937 JOS655373:JOS655473 JOS720909:JOS721009 JOS786445:JOS786545 JOS851981:JOS852081 JOS917517:JOS917617 JOS983053:JOS983153 KIL13:KIL63 JYO65549:JYO65649 JYO131085:JYO131185 JYO196621:JYO196721 JYO262157:JYO262257 JYO327693:JYO327793 JYO393229:JYO393329 JYO458765:JYO458865 JYO524301:JYO524401 JYO589837:JYO589937 JYO655373:JYO655473 JYO720909:JYO721009 JYO786445:JYO786545 JYO851981:JYO852081 JYO917517:JYO917617 JYO983053:JYO983153 KSH13:KSH63 KIK65549:KIK65649 KIK131085:KIK131185 KIK196621:KIK196721 KIK262157:KIK262257 KIK327693:KIK327793 KIK393229:KIK393329 KIK458765:KIK458865 KIK524301:KIK524401 KIK589837:KIK589937 KIK655373:KIK655473 KIK720909:KIK721009 KIK786445:KIK786545 KIK851981:KIK852081 KIK917517:KIK917617 KIK983053:KIK983153 LCD13:LCD63 KSG65549:KSG65649 KSG131085:KSG131185 KSG196621:KSG196721 KSG262157:KSG262257 KSG327693:KSG327793 KSG393229:KSG393329 KSG458765:KSG458865 KSG524301:KSG524401 KSG589837:KSG589937 KSG655373:KSG655473 KSG720909:KSG721009 KSG786445:KSG786545 KSG851981:KSG852081 KSG917517:KSG917617 KSG983053:KSG983153 LLZ13:LLZ63 LCC65549:LCC65649 LCC131085:LCC131185 LCC196621:LCC196721 LCC262157:LCC262257 LCC327693:LCC327793 LCC393229:LCC393329 LCC458765:LCC458865 LCC524301:LCC524401 LCC589837:LCC589937 LCC655373:LCC655473 LCC720909:LCC721009 LCC786445:LCC786545 LCC851981:LCC852081 LCC917517:LCC917617 LCC983053:LCC983153 LVV13:LVV63 LLY65549:LLY65649 LLY131085:LLY131185 LLY196621:LLY196721 LLY262157:LLY262257 LLY327693:LLY327793 LLY393229:LLY393329 LLY458765:LLY458865 LLY524301:LLY524401 LLY589837:LLY589937 LLY655373:LLY655473 LLY720909:LLY721009 LLY786445:LLY786545 LLY851981:LLY852081 LLY917517:LLY917617 LLY983053:LLY983153 MFR13:MFR63 LVU65549:LVU65649 LVU131085:LVU131185 LVU196621:LVU196721 LVU262157:LVU262257 LVU327693:LVU327793 LVU393229:LVU393329 LVU458765:LVU458865 LVU524301:LVU524401 LVU589837:LVU589937 LVU655373:LVU655473 LVU720909:LVU721009 LVU786445:LVU786545 LVU851981:LVU852081 LVU917517:LVU917617 LVU983053:LVU983153 MPN13:MPN63 MFQ65549:MFQ65649 MFQ131085:MFQ131185 MFQ196621:MFQ196721 MFQ262157:MFQ262257 MFQ327693:MFQ327793 MFQ393229:MFQ393329 MFQ458765:MFQ458865 MFQ524301:MFQ524401 MFQ589837:MFQ589937 MFQ655373:MFQ655473 MFQ720909:MFQ721009 MFQ786445:MFQ786545 MFQ851981:MFQ852081 MFQ917517:MFQ917617 MFQ983053:MFQ983153 MZJ13:MZJ63 MPM65549:MPM65649 MPM131085:MPM131185 MPM196621:MPM196721 MPM262157:MPM262257 MPM327693:MPM327793 MPM393229:MPM393329 MPM458765:MPM458865 MPM524301:MPM524401 MPM589837:MPM589937 MPM655373:MPM655473 MPM720909:MPM721009 MPM786445:MPM786545 MPM851981:MPM852081 MPM917517:MPM917617 MPM983053:MPM983153 NJF13:NJF63 MZI65549:MZI65649 MZI131085:MZI131185 MZI196621:MZI196721 MZI262157:MZI262257 MZI327693:MZI327793 MZI393229:MZI393329 MZI458765:MZI458865 MZI524301:MZI524401 MZI589837:MZI589937 MZI655373:MZI655473 MZI720909:MZI721009 MZI786445:MZI786545 MZI851981:MZI852081 MZI917517:MZI917617 MZI983053:MZI983153 NTB13:NTB63 NJE65549:NJE65649 NJE131085:NJE131185 NJE196621:NJE196721 NJE262157:NJE262257 NJE327693:NJE327793 NJE393229:NJE393329 NJE458765:NJE458865 NJE524301:NJE524401 NJE589837:NJE589937 NJE655373:NJE655473 NJE720909:NJE721009 NJE786445:NJE786545 NJE851981:NJE852081 NJE917517:NJE917617 NJE983053:NJE983153 OCX13:OCX63 NTA65549:NTA65649 NTA131085:NTA131185 NTA196621:NTA196721 NTA262157:NTA262257 NTA327693:NTA327793 NTA393229:NTA393329 NTA458765:NTA458865 NTA524301:NTA524401 NTA589837:NTA589937 NTA655373:NTA655473 NTA720909:NTA721009 NTA786445:NTA786545 NTA851981:NTA852081 NTA917517:NTA917617 NTA983053:NTA983153 OMT13:OMT63 OCW65549:OCW65649 OCW131085:OCW131185 OCW196621:OCW196721 OCW262157:OCW262257 OCW327693:OCW327793 OCW393229:OCW393329 OCW458765:OCW458865 OCW524301:OCW524401 OCW589837:OCW589937 OCW655373:OCW655473 OCW720909:OCW721009 OCW786445:OCW786545 OCW851981:OCW852081 OCW917517:OCW917617 OCW983053:OCW983153 OWP13:OWP63 OMS65549:OMS65649 OMS131085:OMS131185 OMS196621:OMS196721 OMS262157:OMS262257 OMS327693:OMS327793 OMS393229:OMS393329 OMS458765:OMS458865 OMS524301:OMS524401 OMS589837:OMS589937 OMS655373:OMS655473 OMS720909:OMS721009 OMS786445:OMS786545 OMS851981:OMS852081 OMS917517:OMS917617 OMS983053:OMS983153 PGL13:PGL63 OWO65549:OWO65649 OWO131085:OWO131185 OWO196621:OWO196721 OWO262157:OWO262257 OWO327693:OWO327793 OWO393229:OWO393329 OWO458765:OWO458865 OWO524301:OWO524401 OWO589837:OWO589937 OWO655373:OWO655473 OWO720909:OWO721009 OWO786445:OWO786545 OWO851981:OWO852081 OWO917517:OWO917617 OWO983053:OWO983153 PQH13:PQH63 PGK65549:PGK65649 PGK131085:PGK131185 PGK196621:PGK196721 PGK262157:PGK262257 PGK327693:PGK327793 PGK393229:PGK393329 PGK458765:PGK458865 PGK524301:PGK524401 PGK589837:PGK589937 PGK655373:PGK655473 PGK720909:PGK721009 PGK786445:PGK786545 PGK851981:PGK852081 PGK917517:PGK917617 PGK983053:PGK983153 QAD13:QAD63 PQG65549:PQG65649 PQG131085:PQG131185 PQG196621:PQG196721 PQG262157:PQG262257 PQG327693:PQG327793 PQG393229:PQG393329 PQG458765:PQG458865 PQG524301:PQG524401 PQG589837:PQG589937 PQG655373:PQG655473 PQG720909:PQG721009 PQG786445:PQG786545 PQG851981:PQG852081 PQG917517:PQG917617 PQG983053:PQG983153 QJZ13:QJZ63 QAC65549:QAC65649 QAC131085:QAC131185 QAC196621:QAC196721 QAC262157:QAC262257 QAC327693:QAC327793 QAC393229:QAC393329 QAC458765:QAC458865 QAC524301:QAC524401 QAC589837:QAC589937 QAC655373:QAC655473 QAC720909:QAC721009 QAC786445:QAC786545 QAC851981:QAC852081 QAC917517:QAC917617 QAC983053:QAC983153 QTV13:QTV63 QJY65549:QJY65649 QJY131085:QJY131185 QJY196621:QJY196721 QJY262157:QJY262257 QJY327693:QJY327793 QJY393229:QJY393329 QJY458765:QJY458865 QJY524301:QJY524401 QJY589837:QJY589937 QJY655373:QJY655473 QJY720909:QJY721009 QJY786445:QJY786545 QJY851981:QJY852081 QJY917517:QJY917617 QJY983053:QJY983153 RDR13:RDR63 QTU65549:QTU65649 QTU131085:QTU131185 QTU196621:QTU196721 QTU262157:QTU262257 QTU327693:QTU327793 QTU393229:QTU393329 QTU458765:QTU458865 QTU524301:QTU524401 QTU589837:QTU589937 QTU655373:QTU655473 QTU720909:QTU721009 QTU786445:QTU786545 QTU851981:QTU852081 QTU917517:QTU917617 QTU983053:QTU983153 RNN13:RNN63 RDQ65549:RDQ65649 RDQ131085:RDQ131185 RDQ196621:RDQ196721 RDQ262157:RDQ262257 RDQ327693:RDQ327793 RDQ393229:RDQ393329 RDQ458765:RDQ458865 RDQ524301:RDQ524401 RDQ589837:RDQ589937 RDQ655373:RDQ655473 RDQ720909:RDQ721009 RDQ786445:RDQ786545 RDQ851981:RDQ852081 RDQ917517:RDQ917617 RDQ983053:RDQ983153 RXJ13:RXJ63 RNM65549:RNM65649 RNM131085:RNM131185 RNM196621:RNM196721 RNM262157:RNM262257 RNM327693:RNM327793 RNM393229:RNM393329 RNM458765:RNM458865 RNM524301:RNM524401 RNM589837:RNM589937 RNM655373:RNM655473 RNM720909:RNM721009 RNM786445:RNM786545 RNM851981:RNM852081 RNM917517:RNM917617 RNM983053:RNM983153 SHF13:SHF63 RXI65549:RXI65649 RXI131085:RXI131185 RXI196621:RXI196721 RXI262157:RXI262257 RXI327693:RXI327793 RXI393229:RXI393329 RXI458765:RXI458865 RXI524301:RXI524401 RXI589837:RXI589937 RXI655373:RXI655473 RXI720909:RXI721009 RXI786445:RXI786545 RXI851981:RXI852081 RXI917517:RXI917617 RXI983053:RXI983153 SRB13:SRB63 SHE65549:SHE65649 SHE131085:SHE131185 SHE196621:SHE196721 SHE262157:SHE262257 SHE327693:SHE327793 SHE393229:SHE393329 SHE458765:SHE458865 SHE524301:SHE524401 SHE589837:SHE589937 SHE655373:SHE655473 SHE720909:SHE721009 SHE786445:SHE786545 SHE851981:SHE852081 SHE917517:SHE917617 SHE983053:SHE983153 TAX13:TAX63 SRA65549:SRA65649 SRA131085:SRA131185 SRA196621:SRA196721 SRA262157:SRA262257 SRA327693:SRA327793 SRA393229:SRA393329 SRA458765:SRA458865 SRA524301:SRA524401 SRA589837:SRA589937 SRA655373:SRA655473 SRA720909:SRA721009 SRA786445:SRA786545 SRA851981:SRA852081 SRA917517:SRA917617 SRA983053:SRA983153 TKT13:TKT63 TAW65549:TAW65649 TAW131085:TAW131185 TAW196621:TAW196721 TAW262157:TAW262257 TAW327693:TAW327793 TAW393229:TAW393329 TAW458765:TAW458865 TAW524301:TAW524401 TAW589837:TAW589937 TAW655373:TAW655473 TAW720909:TAW721009 TAW786445:TAW786545 TAW851981:TAW852081 TAW917517:TAW917617 TAW983053:TAW983153 TUP13:TUP63 TKS65549:TKS65649 TKS131085:TKS131185 TKS196621:TKS196721 TKS262157:TKS262257 TKS327693:TKS327793 TKS393229:TKS393329 TKS458765:TKS458865 TKS524301:TKS524401 TKS589837:TKS589937 TKS655373:TKS655473 TKS720909:TKS721009 TKS786445:TKS786545 TKS851981:TKS852081 TKS917517:TKS917617 TKS983053:TKS983153 UEL13:UEL63 TUO65549:TUO65649 TUO131085:TUO131185 TUO196621:TUO196721 TUO262157:TUO262257 TUO327693:TUO327793 TUO393229:TUO393329 TUO458765:TUO458865 TUO524301:TUO524401 TUO589837:TUO589937 TUO655373:TUO655473 TUO720909:TUO721009 TUO786445:TUO786545 TUO851981:TUO852081 TUO917517:TUO917617 TUO983053:TUO983153 UOH13:UOH63 UEK65549:UEK65649 UEK131085:UEK131185 UEK196621:UEK196721 UEK262157:UEK262257 UEK327693:UEK327793 UEK393229:UEK393329 UEK458765:UEK458865 UEK524301:UEK524401 UEK589837:UEK589937 UEK655373:UEK655473 UEK720909:UEK721009 UEK786445:UEK786545 UEK851981:UEK852081 UEK917517:UEK917617 UEK983053:UEK983153 UYD13:UYD63 UOG65549:UOG65649 UOG131085:UOG131185 UOG196621:UOG196721 UOG262157:UOG262257 UOG327693:UOG327793 UOG393229:UOG393329 UOG458765:UOG458865 UOG524301:UOG524401 UOG589837:UOG589937 UOG655373:UOG655473 UOG720909:UOG721009 UOG786445:UOG786545 UOG851981:UOG852081 UOG917517:UOG917617 UOG983053:UOG983153 VHZ13:VHZ63 UYC65549:UYC65649 UYC131085:UYC131185 UYC196621:UYC196721 UYC262157:UYC262257 UYC327693:UYC327793 UYC393229:UYC393329 UYC458765:UYC458865 UYC524301:UYC524401 UYC589837:UYC589937 UYC655373:UYC655473 UYC720909:UYC721009 UYC786445:UYC786545 UYC851981:UYC852081 UYC917517:UYC917617 UYC983053:UYC983153 VRV13:VRV63 VHY65549:VHY65649 VHY131085:VHY131185 VHY196621:VHY196721 VHY262157:VHY262257 VHY327693:VHY327793 VHY393229:VHY393329 VHY458765:VHY458865 VHY524301:VHY524401 VHY589837:VHY589937 VHY655373:VHY655473 VHY720909:VHY721009 VHY786445:VHY786545 VHY851981:VHY852081 VHY917517:VHY917617 VHY983053:VHY983153 WBR13:WBR63 VRU65549:VRU65649 VRU131085:VRU131185 VRU196621:VRU196721 VRU262157:VRU262257 VRU327693:VRU327793 VRU393229:VRU393329 VRU458765:VRU458865 VRU524301:VRU524401 VRU589837:VRU589937 VRU655373:VRU655473 VRU720909:VRU721009 VRU786445:VRU786545 VRU851981:VRU852081 VRU917517:VRU917617 VRU983053:VRU983153 WLN13:WLN63 WBQ65549:WBQ65649 WBQ131085:WBQ131185 WBQ196621:WBQ196721 WBQ262157:WBQ262257 WBQ327693:WBQ327793 WBQ393229:WBQ393329 WBQ458765:WBQ458865 WBQ524301:WBQ524401 WBQ589837:WBQ589937 WBQ655373:WBQ655473 WBQ720909:WBQ721009 WBQ786445:WBQ786545 WBQ851981:WBQ852081 WBQ917517:WBQ917617 WBQ983053:WBQ983153 WVJ13:WVJ63 WLM65549:WLM65649 WLM131085:WLM131185 WLM196621:WLM196721 WLM262157:WLM262257 WLM327693:WLM327793 WLM393229:WLM393329 WLM458765:WLM458865 WLM524301:WLM524401 WLM589837:WLM589937 WLM655373:WLM655473 WLM720909:WLM721009 WLM786445:WLM786545 WLM851981:WLM852081 WLM917517:WLM917617 WLM983053:WLM983153 WVI983053:WVI983153 WVI65549:WVI65649 WVI131085:WVI131185 WVI196621:WVI196721 WVI262157:WVI262257 WVI327693:WVI327793 WVI393229:WVI393329 WVI458765:WVI458865 WVI524301:WVI524401 WVI589837:WVI589937 WVI655373:WVI655473 WVI720909:WVI721009 WVI786445:WVI786545 WVI851981:WVI852081 WVI917517:WVI917617 IX13:IX63 WVJ66:WVJ114 WLN66:WLN114 WBR66:WBR114 VRV66:VRV114 VHZ66:VHZ114 UYD66:UYD114 UOH66:UOH114 UEL66:UEL114 TUP66:TUP114 TKT66:TKT114 TAX66:TAX114 SRB66:SRB114 SHF66:SHF114 RXJ66:RXJ114 RNN66:RNN114 RDR66:RDR114 QTV66:QTV114 QJZ66:QJZ114 QAD66:QAD114 PQH66:PQH114 PGL66:PGL114 OWP66:OWP114 OMT66:OMT114 OCX66:OCX114 NTB66:NTB114 NJF66:NJF114 MZJ66:MZJ114 MPN66:MPN114 MFR66:MFR114 LVV66:LVV114 LLZ66:LLZ114 LCD66:LCD114 KSH66:KSH114 KIL66:KIL114 JYP66:JYP114 JOT66:JOT114 JEX66:JEX114 IVB66:IVB114 ILF66:ILF114 IBJ66:IBJ114 HRN66:HRN114 HHR66:HHR114 GXV66:GXV114 GNZ66:GNZ114 GED66:GED114 FUH66:FUH114 FKL66:FKL114 FAP66:FAP114 EQT66:EQT114 EGX66:EGX114 DXB66:DXB114 DNF66:DNF114 DDJ66:DDJ114 CTN66:CTN114 CJR66:CJR114 BZV66:BZV114 BPZ66:BPZ114 BGD66:BGD114 AWH66:AWH114 AML66:AML114 ACP66:ACP114 ST66:ST114 IX66:IX114" xr:uid="{48360754-4CC5-470B-B2D6-806D97A37F92}"/>
    <dataValidation allowBlank="1" showInputMessage="1" showErrorMessage="1" prompt="EITHER WRITE YOUR OWN HPS OR EMPTY" sqref="K65547:M65548 K131083:M131084 K196619:M196620 K262155:M262156 K327691:M327692 K393227:M393228 K458763:M458764 K524299:M524300 K589835:M589836 K655371:M655372 K720907:M720908 K786443:M786444 K851979:M851980 K917515:M917516 K983051:M983052 IN10:IW12 IM65547:IV65548 IM131083:IV131084 IM196619:IV196620 IM262155:IV262156 IM327691:IV327692 IM393227:IV393228 IM458763:IV458764 IM524299:IV524300 IM589835:IV589836 IM655371:IV655372 IM720907:IV720908 IM786443:IV786444 IM851979:IV851980 IM917515:IV917516 IM983051:IV983052 JA10:JJ12 IZ65547:JI65548 IZ131083:JI131084 IZ196619:JI196620 IZ262155:JI262156 IZ327691:JI327692 IZ393227:JI393228 IZ458763:JI458764 IZ524299:JI524300 IZ589835:JI589836 IZ655371:JI655372 IZ720907:JI720908 IZ786443:JI786444 IZ851979:JI851980 IZ917515:JI917516 IZ983051:JI983052 SJ10:SS12 SI65547:SR65548 SI131083:SR131084 SI196619:SR196620 SI262155:SR262156 SI327691:SR327692 SI393227:SR393228 SI458763:SR458764 SI524299:SR524300 SI589835:SR589836 SI655371:SR655372 SI720907:SR720908 SI786443:SR786444 SI851979:SR851980 SI917515:SR917516 SI983051:SR983052 SW10:TF12 SV65547:TE65548 SV131083:TE131084 SV196619:TE196620 SV262155:TE262156 SV327691:TE327692 SV393227:TE393228 SV458763:TE458764 SV524299:TE524300 SV589835:TE589836 SV655371:TE655372 SV720907:TE720908 SV786443:TE786444 SV851979:TE851980 SV917515:TE917516 SV983051:TE983052 ACF10:ACO12 ACE65547:ACN65548 ACE131083:ACN131084 ACE196619:ACN196620 ACE262155:ACN262156 ACE327691:ACN327692 ACE393227:ACN393228 ACE458763:ACN458764 ACE524299:ACN524300 ACE589835:ACN589836 ACE655371:ACN655372 ACE720907:ACN720908 ACE786443:ACN786444 ACE851979:ACN851980 ACE917515:ACN917516 ACE983051:ACN983052 ACS10:ADB12 ACR65547:ADA65548 ACR131083:ADA131084 ACR196619:ADA196620 ACR262155:ADA262156 ACR327691:ADA327692 ACR393227:ADA393228 ACR458763:ADA458764 ACR524299:ADA524300 ACR589835:ADA589836 ACR655371:ADA655372 ACR720907:ADA720908 ACR786443:ADA786444 ACR851979:ADA851980 ACR917515:ADA917516 ACR983051:ADA983052 AMB10:AMK12 AMA65547:AMJ65548 AMA131083:AMJ131084 AMA196619:AMJ196620 AMA262155:AMJ262156 AMA327691:AMJ327692 AMA393227:AMJ393228 AMA458763:AMJ458764 AMA524299:AMJ524300 AMA589835:AMJ589836 AMA655371:AMJ655372 AMA720907:AMJ720908 AMA786443:AMJ786444 AMA851979:AMJ851980 AMA917515:AMJ917516 AMA983051:AMJ983052 AMO10:AMX12 AMN65547:AMW65548 AMN131083:AMW131084 AMN196619:AMW196620 AMN262155:AMW262156 AMN327691:AMW327692 AMN393227:AMW393228 AMN458763:AMW458764 AMN524299:AMW524300 AMN589835:AMW589836 AMN655371:AMW655372 AMN720907:AMW720908 AMN786443:AMW786444 AMN851979:AMW851980 AMN917515:AMW917516 AMN983051:AMW983052 AVX10:AWG12 AVW65547:AWF65548 AVW131083:AWF131084 AVW196619:AWF196620 AVW262155:AWF262156 AVW327691:AWF327692 AVW393227:AWF393228 AVW458763:AWF458764 AVW524299:AWF524300 AVW589835:AWF589836 AVW655371:AWF655372 AVW720907:AWF720908 AVW786443:AWF786444 AVW851979:AWF851980 AVW917515:AWF917516 AVW983051:AWF983052 AWK10:AWT12 AWJ65547:AWS65548 AWJ131083:AWS131084 AWJ196619:AWS196620 AWJ262155:AWS262156 AWJ327691:AWS327692 AWJ393227:AWS393228 AWJ458763:AWS458764 AWJ524299:AWS524300 AWJ589835:AWS589836 AWJ655371:AWS655372 AWJ720907:AWS720908 AWJ786443:AWS786444 AWJ851979:AWS851980 AWJ917515:AWS917516 AWJ983051:AWS983052 BFT10:BGC12 BFS65547:BGB65548 BFS131083:BGB131084 BFS196619:BGB196620 BFS262155:BGB262156 BFS327691:BGB327692 BFS393227:BGB393228 BFS458763:BGB458764 BFS524299:BGB524300 BFS589835:BGB589836 BFS655371:BGB655372 BFS720907:BGB720908 BFS786443:BGB786444 BFS851979:BGB851980 BFS917515:BGB917516 BFS983051:BGB983052 BGG10:BGP12 BGF65547:BGO65548 BGF131083:BGO131084 BGF196619:BGO196620 BGF262155:BGO262156 BGF327691:BGO327692 BGF393227:BGO393228 BGF458763:BGO458764 BGF524299:BGO524300 BGF589835:BGO589836 BGF655371:BGO655372 BGF720907:BGO720908 BGF786443:BGO786444 BGF851979:BGO851980 BGF917515:BGO917516 BGF983051:BGO983052 BPP10:BPY12 BPO65547:BPX65548 BPO131083:BPX131084 BPO196619:BPX196620 BPO262155:BPX262156 BPO327691:BPX327692 BPO393227:BPX393228 BPO458763:BPX458764 BPO524299:BPX524300 BPO589835:BPX589836 BPO655371:BPX655372 BPO720907:BPX720908 BPO786443:BPX786444 BPO851979:BPX851980 BPO917515:BPX917516 BPO983051:BPX983052 BQC10:BQL12 BQB65547:BQK65548 BQB131083:BQK131084 BQB196619:BQK196620 BQB262155:BQK262156 BQB327691:BQK327692 BQB393227:BQK393228 BQB458763:BQK458764 BQB524299:BQK524300 BQB589835:BQK589836 BQB655371:BQK655372 BQB720907:BQK720908 BQB786443:BQK786444 BQB851979:BQK851980 BQB917515:BQK917516 BQB983051:BQK983052 BZL10:BZU12 BZK65547:BZT65548 BZK131083:BZT131084 BZK196619:BZT196620 BZK262155:BZT262156 BZK327691:BZT327692 BZK393227:BZT393228 BZK458763:BZT458764 BZK524299:BZT524300 BZK589835:BZT589836 BZK655371:BZT655372 BZK720907:BZT720908 BZK786443:BZT786444 BZK851979:BZT851980 BZK917515:BZT917516 BZK983051:BZT983052 BZY10:CAH12 BZX65547:CAG65548 BZX131083:CAG131084 BZX196619:CAG196620 BZX262155:CAG262156 BZX327691:CAG327692 BZX393227:CAG393228 BZX458763:CAG458764 BZX524299:CAG524300 BZX589835:CAG589836 BZX655371:CAG655372 BZX720907:CAG720908 BZX786443:CAG786444 BZX851979:CAG851980 BZX917515:CAG917516 BZX983051:CAG983052 CJH10:CJQ12 CJG65547:CJP65548 CJG131083:CJP131084 CJG196619:CJP196620 CJG262155:CJP262156 CJG327691:CJP327692 CJG393227:CJP393228 CJG458763:CJP458764 CJG524299:CJP524300 CJG589835:CJP589836 CJG655371:CJP655372 CJG720907:CJP720908 CJG786443:CJP786444 CJG851979:CJP851980 CJG917515:CJP917516 CJG983051:CJP983052 CJU10:CKD12 CJT65547:CKC65548 CJT131083:CKC131084 CJT196619:CKC196620 CJT262155:CKC262156 CJT327691:CKC327692 CJT393227:CKC393228 CJT458763:CKC458764 CJT524299:CKC524300 CJT589835:CKC589836 CJT655371:CKC655372 CJT720907:CKC720908 CJT786443:CKC786444 CJT851979:CKC851980 CJT917515:CKC917516 CJT983051:CKC983052 CTD10:CTM12 CTC65547:CTL65548 CTC131083:CTL131084 CTC196619:CTL196620 CTC262155:CTL262156 CTC327691:CTL327692 CTC393227:CTL393228 CTC458763:CTL458764 CTC524299:CTL524300 CTC589835:CTL589836 CTC655371:CTL655372 CTC720907:CTL720908 CTC786443:CTL786444 CTC851979:CTL851980 CTC917515:CTL917516 CTC983051:CTL983052 CTQ10:CTZ12 CTP65547:CTY65548 CTP131083:CTY131084 CTP196619:CTY196620 CTP262155:CTY262156 CTP327691:CTY327692 CTP393227:CTY393228 CTP458763:CTY458764 CTP524299:CTY524300 CTP589835:CTY589836 CTP655371:CTY655372 CTP720907:CTY720908 CTP786443:CTY786444 CTP851979:CTY851980 CTP917515:CTY917516 CTP983051:CTY983052 DCZ10:DDI12 DCY65547:DDH65548 DCY131083:DDH131084 DCY196619:DDH196620 DCY262155:DDH262156 DCY327691:DDH327692 DCY393227:DDH393228 DCY458763:DDH458764 DCY524299:DDH524300 DCY589835:DDH589836 DCY655371:DDH655372 DCY720907:DDH720908 DCY786443:DDH786444 DCY851979:DDH851980 DCY917515:DDH917516 DCY983051:DDH983052 DDM10:DDV12 DDL65547:DDU65548 DDL131083:DDU131084 DDL196619:DDU196620 DDL262155:DDU262156 DDL327691:DDU327692 DDL393227:DDU393228 DDL458763:DDU458764 DDL524299:DDU524300 DDL589835:DDU589836 DDL655371:DDU655372 DDL720907:DDU720908 DDL786443:DDU786444 DDL851979:DDU851980 DDL917515:DDU917516 DDL983051:DDU983052 DMV10:DNE12 DMU65547:DND65548 DMU131083:DND131084 DMU196619:DND196620 DMU262155:DND262156 DMU327691:DND327692 DMU393227:DND393228 DMU458763:DND458764 DMU524299:DND524300 DMU589835:DND589836 DMU655371:DND655372 DMU720907:DND720908 DMU786443:DND786444 DMU851979:DND851980 DMU917515:DND917516 DMU983051:DND983052 DNI10:DNR12 DNH65547:DNQ65548 DNH131083:DNQ131084 DNH196619:DNQ196620 DNH262155:DNQ262156 DNH327691:DNQ327692 DNH393227:DNQ393228 DNH458763:DNQ458764 DNH524299:DNQ524300 DNH589835:DNQ589836 DNH655371:DNQ655372 DNH720907:DNQ720908 DNH786443:DNQ786444 DNH851979:DNQ851980 DNH917515:DNQ917516 DNH983051:DNQ983052 DWR10:DXA12 DWQ65547:DWZ65548 DWQ131083:DWZ131084 DWQ196619:DWZ196620 DWQ262155:DWZ262156 DWQ327691:DWZ327692 DWQ393227:DWZ393228 DWQ458763:DWZ458764 DWQ524299:DWZ524300 DWQ589835:DWZ589836 DWQ655371:DWZ655372 DWQ720907:DWZ720908 DWQ786443:DWZ786444 DWQ851979:DWZ851980 DWQ917515:DWZ917516 DWQ983051:DWZ983052 DXE10:DXN12 DXD65547:DXM65548 DXD131083:DXM131084 DXD196619:DXM196620 DXD262155:DXM262156 DXD327691:DXM327692 DXD393227:DXM393228 DXD458763:DXM458764 DXD524299:DXM524300 DXD589835:DXM589836 DXD655371:DXM655372 DXD720907:DXM720908 DXD786443:DXM786444 DXD851979:DXM851980 DXD917515:DXM917516 DXD983051:DXM983052 EGN10:EGW12 EGM65547:EGV65548 EGM131083:EGV131084 EGM196619:EGV196620 EGM262155:EGV262156 EGM327691:EGV327692 EGM393227:EGV393228 EGM458763:EGV458764 EGM524299:EGV524300 EGM589835:EGV589836 EGM655371:EGV655372 EGM720907:EGV720908 EGM786443:EGV786444 EGM851979:EGV851980 EGM917515:EGV917516 EGM983051:EGV983052 EHA10:EHJ12 EGZ65547:EHI65548 EGZ131083:EHI131084 EGZ196619:EHI196620 EGZ262155:EHI262156 EGZ327691:EHI327692 EGZ393227:EHI393228 EGZ458763:EHI458764 EGZ524299:EHI524300 EGZ589835:EHI589836 EGZ655371:EHI655372 EGZ720907:EHI720908 EGZ786443:EHI786444 EGZ851979:EHI851980 EGZ917515:EHI917516 EGZ983051:EHI983052 EQJ10:EQS12 EQI65547:EQR65548 EQI131083:EQR131084 EQI196619:EQR196620 EQI262155:EQR262156 EQI327691:EQR327692 EQI393227:EQR393228 EQI458763:EQR458764 EQI524299:EQR524300 EQI589835:EQR589836 EQI655371:EQR655372 EQI720907:EQR720908 EQI786443:EQR786444 EQI851979:EQR851980 EQI917515:EQR917516 EQI983051:EQR983052 EQW10:ERF12 EQV65547:ERE65548 EQV131083:ERE131084 EQV196619:ERE196620 EQV262155:ERE262156 EQV327691:ERE327692 EQV393227:ERE393228 EQV458763:ERE458764 EQV524299:ERE524300 EQV589835:ERE589836 EQV655371:ERE655372 EQV720907:ERE720908 EQV786443:ERE786444 EQV851979:ERE851980 EQV917515:ERE917516 EQV983051:ERE983052 FAF10:FAO12 FAE65547:FAN65548 FAE131083:FAN131084 FAE196619:FAN196620 FAE262155:FAN262156 FAE327691:FAN327692 FAE393227:FAN393228 FAE458763:FAN458764 FAE524299:FAN524300 FAE589835:FAN589836 FAE655371:FAN655372 FAE720907:FAN720908 FAE786443:FAN786444 FAE851979:FAN851980 FAE917515:FAN917516 FAE983051:FAN983052 FAS10:FBB12 FAR65547:FBA65548 FAR131083:FBA131084 FAR196619:FBA196620 FAR262155:FBA262156 FAR327691:FBA327692 FAR393227:FBA393228 FAR458763:FBA458764 FAR524299:FBA524300 FAR589835:FBA589836 FAR655371:FBA655372 FAR720907:FBA720908 FAR786443:FBA786444 FAR851979:FBA851980 FAR917515:FBA917516 FAR983051:FBA983052 FKB10:FKK12 FKA65547:FKJ65548 FKA131083:FKJ131084 FKA196619:FKJ196620 FKA262155:FKJ262156 FKA327691:FKJ327692 FKA393227:FKJ393228 FKA458763:FKJ458764 FKA524299:FKJ524300 FKA589835:FKJ589836 FKA655371:FKJ655372 FKA720907:FKJ720908 FKA786443:FKJ786444 FKA851979:FKJ851980 FKA917515:FKJ917516 FKA983051:FKJ983052 FKO10:FKX12 FKN65547:FKW65548 FKN131083:FKW131084 FKN196619:FKW196620 FKN262155:FKW262156 FKN327691:FKW327692 FKN393227:FKW393228 FKN458763:FKW458764 FKN524299:FKW524300 FKN589835:FKW589836 FKN655371:FKW655372 FKN720907:FKW720908 FKN786443:FKW786444 FKN851979:FKW851980 FKN917515:FKW917516 FKN983051:FKW983052 FTX10:FUG12 FTW65547:FUF65548 FTW131083:FUF131084 FTW196619:FUF196620 FTW262155:FUF262156 FTW327691:FUF327692 FTW393227:FUF393228 FTW458763:FUF458764 FTW524299:FUF524300 FTW589835:FUF589836 FTW655371:FUF655372 FTW720907:FUF720908 FTW786443:FUF786444 FTW851979:FUF851980 FTW917515:FUF917516 FTW983051:FUF983052 FUK10:FUT12 FUJ65547:FUS65548 FUJ131083:FUS131084 FUJ196619:FUS196620 FUJ262155:FUS262156 FUJ327691:FUS327692 FUJ393227:FUS393228 FUJ458763:FUS458764 FUJ524299:FUS524300 FUJ589835:FUS589836 FUJ655371:FUS655372 FUJ720907:FUS720908 FUJ786443:FUS786444 FUJ851979:FUS851980 FUJ917515:FUS917516 FUJ983051:FUS983052 GDT10:GEC12 GDS65547:GEB65548 GDS131083:GEB131084 GDS196619:GEB196620 GDS262155:GEB262156 GDS327691:GEB327692 GDS393227:GEB393228 GDS458763:GEB458764 GDS524299:GEB524300 GDS589835:GEB589836 GDS655371:GEB655372 GDS720907:GEB720908 GDS786443:GEB786444 GDS851979:GEB851980 GDS917515:GEB917516 GDS983051:GEB983052 GEG10:GEP12 GEF65547:GEO65548 GEF131083:GEO131084 GEF196619:GEO196620 GEF262155:GEO262156 GEF327691:GEO327692 GEF393227:GEO393228 GEF458763:GEO458764 GEF524299:GEO524300 GEF589835:GEO589836 GEF655371:GEO655372 GEF720907:GEO720908 GEF786443:GEO786444 GEF851979:GEO851980 GEF917515:GEO917516 GEF983051:GEO983052 GNP10:GNY12 GNO65547:GNX65548 GNO131083:GNX131084 GNO196619:GNX196620 GNO262155:GNX262156 GNO327691:GNX327692 GNO393227:GNX393228 GNO458763:GNX458764 GNO524299:GNX524300 GNO589835:GNX589836 GNO655371:GNX655372 GNO720907:GNX720908 GNO786443:GNX786444 GNO851979:GNX851980 GNO917515:GNX917516 GNO983051:GNX983052 GOC10:GOL12 GOB65547:GOK65548 GOB131083:GOK131084 GOB196619:GOK196620 GOB262155:GOK262156 GOB327691:GOK327692 GOB393227:GOK393228 GOB458763:GOK458764 GOB524299:GOK524300 GOB589835:GOK589836 GOB655371:GOK655372 GOB720907:GOK720908 GOB786443:GOK786444 GOB851979:GOK851980 GOB917515:GOK917516 GOB983051:GOK983052 GXL10:GXU12 GXK65547:GXT65548 GXK131083:GXT131084 GXK196619:GXT196620 GXK262155:GXT262156 GXK327691:GXT327692 GXK393227:GXT393228 GXK458763:GXT458764 GXK524299:GXT524300 GXK589835:GXT589836 GXK655371:GXT655372 GXK720907:GXT720908 GXK786443:GXT786444 GXK851979:GXT851980 GXK917515:GXT917516 GXK983051:GXT983052 GXY10:GYH12 GXX65547:GYG65548 GXX131083:GYG131084 GXX196619:GYG196620 GXX262155:GYG262156 GXX327691:GYG327692 GXX393227:GYG393228 GXX458763:GYG458764 GXX524299:GYG524300 GXX589835:GYG589836 GXX655371:GYG655372 GXX720907:GYG720908 GXX786443:GYG786444 GXX851979:GYG851980 GXX917515:GYG917516 GXX983051:GYG983052 HHH10:HHQ12 HHG65547:HHP65548 HHG131083:HHP131084 HHG196619:HHP196620 HHG262155:HHP262156 HHG327691:HHP327692 HHG393227:HHP393228 HHG458763:HHP458764 HHG524299:HHP524300 HHG589835:HHP589836 HHG655371:HHP655372 HHG720907:HHP720908 HHG786443:HHP786444 HHG851979:HHP851980 HHG917515:HHP917516 HHG983051:HHP983052 HHU10:HID12 HHT65547:HIC65548 HHT131083:HIC131084 HHT196619:HIC196620 HHT262155:HIC262156 HHT327691:HIC327692 HHT393227:HIC393228 HHT458763:HIC458764 HHT524299:HIC524300 HHT589835:HIC589836 HHT655371:HIC655372 HHT720907:HIC720908 HHT786443:HIC786444 HHT851979:HIC851980 HHT917515:HIC917516 HHT983051:HIC983052 HRD10:HRM12 HRC65547:HRL65548 HRC131083:HRL131084 HRC196619:HRL196620 HRC262155:HRL262156 HRC327691:HRL327692 HRC393227:HRL393228 HRC458763:HRL458764 HRC524299:HRL524300 HRC589835:HRL589836 HRC655371:HRL655372 HRC720907:HRL720908 HRC786443:HRL786444 HRC851979:HRL851980 HRC917515:HRL917516 HRC983051:HRL983052 HRQ10:HRZ12 HRP65547:HRY65548 HRP131083:HRY131084 HRP196619:HRY196620 HRP262155:HRY262156 HRP327691:HRY327692 HRP393227:HRY393228 HRP458763:HRY458764 HRP524299:HRY524300 HRP589835:HRY589836 HRP655371:HRY655372 HRP720907:HRY720908 HRP786443:HRY786444 HRP851979:HRY851980 HRP917515:HRY917516 HRP983051:HRY983052 IAZ10:IBI12 IAY65547:IBH65548 IAY131083:IBH131084 IAY196619:IBH196620 IAY262155:IBH262156 IAY327691:IBH327692 IAY393227:IBH393228 IAY458763:IBH458764 IAY524299:IBH524300 IAY589835:IBH589836 IAY655371:IBH655372 IAY720907:IBH720908 IAY786443:IBH786444 IAY851979:IBH851980 IAY917515:IBH917516 IAY983051:IBH983052 IBM10:IBV12 IBL65547:IBU65548 IBL131083:IBU131084 IBL196619:IBU196620 IBL262155:IBU262156 IBL327691:IBU327692 IBL393227:IBU393228 IBL458763:IBU458764 IBL524299:IBU524300 IBL589835:IBU589836 IBL655371:IBU655372 IBL720907:IBU720908 IBL786443:IBU786444 IBL851979:IBU851980 IBL917515:IBU917516 IBL983051:IBU983052 IKV10:ILE12 IKU65547:ILD65548 IKU131083:ILD131084 IKU196619:ILD196620 IKU262155:ILD262156 IKU327691:ILD327692 IKU393227:ILD393228 IKU458763:ILD458764 IKU524299:ILD524300 IKU589835:ILD589836 IKU655371:ILD655372 IKU720907:ILD720908 IKU786443:ILD786444 IKU851979:ILD851980 IKU917515:ILD917516 IKU983051:ILD983052 ILI10:ILR12 ILH65547:ILQ65548 ILH131083:ILQ131084 ILH196619:ILQ196620 ILH262155:ILQ262156 ILH327691:ILQ327692 ILH393227:ILQ393228 ILH458763:ILQ458764 ILH524299:ILQ524300 ILH589835:ILQ589836 ILH655371:ILQ655372 ILH720907:ILQ720908 ILH786443:ILQ786444 ILH851979:ILQ851980 ILH917515:ILQ917516 ILH983051:ILQ983052 IUR10:IVA12 IUQ65547:IUZ65548 IUQ131083:IUZ131084 IUQ196619:IUZ196620 IUQ262155:IUZ262156 IUQ327691:IUZ327692 IUQ393227:IUZ393228 IUQ458763:IUZ458764 IUQ524299:IUZ524300 IUQ589835:IUZ589836 IUQ655371:IUZ655372 IUQ720907:IUZ720908 IUQ786443:IUZ786444 IUQ851979:IUZ851980 IUQ917515:IUZ917516 IUQ983051:IUZ983052 IVE10:IVN12 IVD65547:IVM65548 IVD131083:IVM131084 IVD196619:IVM196620 IVD262155:IVM262156 IVD327691:IVM327692 IVD393227:IVM393228 IVD458763:IVM458764 IVD524299:IVM524300 IVD589835:IVM589836 IVD655371:IVM655372 IVD720907:IVM720908 IVD786443:IVM786444 IVD851979:IVM851980 IVD917515:IVM917516 IVD983051:IVM983052 JEN10:JEW12 JEM65547:JEV65548 JEM131083:JEV131084 JEM196619:JEV196620 JEM262155:JEV262156 JEM327691:JEV327692 JEM393227:JEV393228 JEM458763:JEV458764 JEM524299:JEV524300 JEM589835:JEV589836 JEM655371:JEV655372 JEM720907:JEV720908 JEM786443:JEV786444 JEM851979:JEV851980 JEM917515:JEV917516 JEM983051:JEV983052 JFA10:JFJ12 JEZ65547:JFI65548 JEZ131083:JFI131084 JEZ196619:JFI196620 JEZ262155:JFI262156 JEZ327691:JFI327692 JEZ393227:JFI393228 JEZ458763:JFI458764 JEZ524299:JFI524300 JEZ589835:JFI589836 JEZ655371:JFI655372 JEZ720907:JFI720908 JEZ786443:JFI786444 JEZ851979:JFI851980 JEZ917515:JFI917516 JEZ983051:JFI983052 JOJ10:JOS12 JOI65547:JOR65548 JOI131083:JOR131084 JOI196619:JOR196620 JOI262155:JOR262156 JOI327691:JOR327692 JOI393227:JOR393228 JOI458763:JOR458764 JOI524299:JOR524300 JOI589835:JOR589836 JOI655371:JOR655372 JOI720907:JOR720908 JOI786443:JOR786444 JOI851979:JOR851980 JOI917515:JOR917516 JOI983051:JOR983052 JOW10:JPF12 JOV65547:JPE65548 JOV131083:JPE131084 JOV196619:JPE196620 JOV262155:JPE262156 JOV327691:JPE327692 JOV393227:JPE393228 JOV458763:JPE458764 JOV524299:JPE524300 JOV589835:JPE589836 JOV655371:JPE655372 JOV720907:JPE720908 JOV786443:JPE786444 JOV851979:JPE851980 JOV917515:JPE917516 JOV983051:JPE983052 JYF10:JYO12 JYE65547:JYN65548 JYE131083:JYN131084 JYE196619:JYN196620 JYE262155:JYN262156 JYE327691:JYN327692 JYE393227:JYN393228 JYE458763:JYN458764 JYE524299:JYN524300 JYE589835:JYN589836 JYE655371:JYN655372 JYE720907:JYN720908 JYE786443:JYN786444 JYE851979:JYN851980 JYE917515:JYN917516 JYE983051:JYN983052 JYS10:JZB12 JYR65547:JZA65548 JYR131083:JZA131084 JYR196619:JZA196620 JYR262155:JZA262156 JYR327691:JZA327692 JYR393227:JZA393228 JYR458763:JZA458764 JYR524299:JZA524300 JYR589835:JZA589836 JYR655371:JZA655372 JYR720907:JZA720908 JYR786443:JZA786444 JYR851979:JZA851980 JYR917515:JZA917516 JYR983051:JZA983052 KIB10:KIK12 KIA65547:KIJ65548 KIA131083:KIJ131084 KIA196619:KIJ196620 KIA262155:KIJ262156 KIA327691:KIJ327692 KIA393227:KIJ393228 KIA458763:KIJ458764 KIA524299:KIJ524300 KIA589835:KIJ589836 KIA655371:KIJ655372 KIA720907:KIJ720908 KIA786443:KIJ786444 KIA851979:KIJ851980 KIA917515:KIJ917516 KIA983051:KIJ983052 KIO10:KIX12 KIN65547:KIW65548 KIN131083:KIW131084 KIN196619:KIW196620 KIN262155:KIW262156 KIN327691:KIW327692 KIN393227:KIW393228 KIN458763:KIW458764 KIN524299:KIW524300 KIN589835:KIW589836 KIN655371:KIW655372 KIN720907:KIW720908 KIN786443:KIW786444 KIN851979:KIW851980 KIN917515:KIW917516 KIN983051:KIW983052 KRX10:KSG12 KRW65547:KSF65548 KRW131083:KSF131084 KRW196619:KSF196620 KRW262155:KSF262156 KRW327691:KSF327692 KRW393227:KSF393228 KRW458763:KSF458764 KRW524299:KSF524300 KRW589835:KSF589836 KRW655371:KSF655372 KRW720907:KSF720908 KRW786443:KSF786444 KRW851979:KSF851980 KRW917515:KSF917516 KRW983051:KSF983052 KSK10:KST12 KSJ65547:KSS65548 KSJ131083:KSS131084 KSJ196619:KSS196620 KSJ262155:KSS262156 KSJ327691:KSS327692 KSJ393227:KSS393228 KSJ458763:KSS458764 KSJ524299:KSS524300 KSJ589835:KSS589836 KSJ655371:KSS655372 KSJ720907:KSS720908 KSJ786443:KSS786444 KSJ851979:KSS851980 KSJ917515:KSS917516 KSJ983051:KSS983052 LBT10:LCC12 LBS65547:LCB65548 LBS131083:LCB131084 LBS196619:LCB196620 LBS262155:LCB262156 LBS327691:LCB327692 LBS393227:LCB393228 LBS458763:LCB458764 LBS524299:LCB524300 LBS589835:LCB589836 LBS655371:LCB655372 LBS720907:LCB720908 LBS786443:LCB786444 LBS851979:LCB851980 LBS917515:LCB917516 LBS983051:LCB983052 LCG10:LCP12 LCF65547:LCO65548 LCF131083:LCO131084 LCF196619:LCO196620 LCF262155:LCO262156 LCF327691:LCO327692 LCF393227:LCO393228 LCF458763:LCO458764 LCF524299:LCO524300 LCF589835:LCO589836 LCF655371:LCO655372 LCF720907:LCO720908 LCF786443:LCO786444 LCF851979:LCO851980 LCF917515:LCO917516 LCF983051:LCO983052 LLP10:LLY12 LLO65547:LLX65548 LLO131083:LLX131084 LLO196619:LLX196620 LLO262155:LLX262156 LLO327691:LLX327692 LLO393227:LLX393228 LLO458763:LLX458764 LLO524299:LLX524300 LLO589835:LLX589836 LLO655371:LLX655372 LLO720907:LLX720908 LLO786443:LLX786444 LLO851979:LLX851980 LLO917515:LLX917516 LLO983051:LLX983052 LMC10:LML12 LMB65547:LMK65548 LMB131083:LMK131084 LMB196619:LMK196620 LMB262155:LMK262156 LMB327691:LMK327692 LMB393227:LMK393228 LMB458763:LMK458764 LMB524299:LMK524300 LMB589835:LMK589836 LMB655371:LMK655372 LMB720907:LMK720908 LMB786443:LMK786444 LMB851979:LMK851980 LMB917515:LMK917516 LMB983051:LMK983052 LVL10:LVU12 LVK65547:LVT65548 LVK131083:LVT131084 LVK196619:LVT196620 LVK262155:LVT262156 LVK327691:LVT327692 LVK393227:LVT393228 LVK458763:LVT458764 LVK524299:LVT524300 LVK589835:LVT589836 LVK655371:LVT655372 LVK720907:LVT720908 LVK786443:LVT786444 LVK851979:LVT851980 LVK917515:LVT917516 LVK983051:LVT983052 LVY10:LWH12 LVX65547:LWG65548 LVX131083:LWG131084 LVX196619:LWG196620 LVX262155:LWG262156 LVX327691:LWG327692 LVX393227:LWG393228 LVX458763:LWG458764 LVX524299:LWG524300 LVX589835:LWG589836 LVX655371:LWG655372 LVX720907:LWG720908 LVX786443:LWG786444 LVX851979:LWG851980 LVX917515:LWG917516 LVX983051:LWG983052 MFH10:MFQ12 MFG65547:MFP65548 MFG131083:MFP131084 MFG196619:MFP196620 MFG262155:MFP262156 MFG327691:MFP327692 MFG393227:MFP393228 MFG458763:MFP458764 MFG524299:MFP524300 MFG589835:MFP589836 MFG655371:MFP655372 MFG720907:MFP720908 MFG786443:MFP786444 MFG851979:MFP851980 MFG917515:MFP917516 MFG983051:MFP983052 MFU10:MGD12 MFT65547:MGC65548 MFT131083:MGC131084 MFT196619:MGC196620 MFT262155:MGC262156 MFT327691:MGC327692 MFT393227:MGC393228 MFT458763:MGC458764 MFT524299:MGC524300 MFT589835:MGC589836 MFT655371:MGC655372 MFT720907:MGC720908 MFT786443:MGC786444 MFT851979:MGC851980 MFT917515:MGC917516 MFT983051:MGC983052 MPD10:MPM12 MPC65547:MPL65548 MPC131083:MPL131084 MPC196619:MPL196620 MPC262155:MPL262156 MPC327691:MPL327692 MPC393227:MPL393228 MPC458763:MPL458764 MPC524299:MPL524300 MPC589835:MPL589836 MPC655371:MPL655372 MPC720907:MPL720908 MPC786443:MPL786444 MPC851979:MPL851980 MPC917515:MPL917516 MPC983051:MPL983052 MPQ10:MPZ12 MPP65547:MPY65548 MPP131083:MPY131084 MPP196619:MPY196620 MPP262155:MPY262156 MPP327691:MPY327692 MPP393227:MPY393228 MPP458763:MPY458764 MPP524299:MPY524300 MPP589835:MPY589836 MPP655371:MPY655372 MPP720907:MPY720908 MPP786443:MPY786444 MPP851979:MPY851980 MPP917515:MPY917516 MPP983051:MPY983052 MYZ10:MZI12 MYY65547:MZH65548 MYY131083:MZH131084 MYY196619:MZH196620 MYY262155:MZH262156 MYY327691:MZH327692 MYY393227:MZH393228 MYY458763:MZH458764 MYY524299:MZH524300 MYY589835:MZH589836 MYY655371:MZH655372 MYY720907:MZH720908 MYY786443:MZH786444 MYY851979:MZH851980 MYY917515:MZH917516 MYY983051:MZH983052 MZM10:MZV12 MZL65547:MZU65548 MZL131083:MZU131084 MZL196619:MZU196620 MZL262155:MZU262156 MZL327691:MZU327692 MZL393227:MZU393228 MZL458763:MZU458764 MZL524299:MZU524300 MZL589835:MZU589836 MZL655371:MZU655372 MZL720907:MZU720908 MZL786443:MZU786444 MZL851979:MZU851980 MZL917515:MZU917516 MZL983051:MZU983052 NIV10:NJE12 NIU65547:NJD65548 NIU131083:NJD131084 NIU196619:NJD196620 NIU262155:NJD262156 NIU327691:NJD327692 NIU393227:NJD393228 NIU458763:NJD458764 NIU524299:NJD524300 NIU589835:NJD589836 NIU655371:NJD655372 NIU720907:NJD720908 NIU786443:NJD786444 NIU851979:NJD851980 NIU917515:NJD917516 NIU983051:NJD983052 NJI10:NJR12 NJH65547:NJQ65548 NJH131083:NJQ131084 NJH196619:NJQ196620 NJH262155:NJQ262156 NJH327691:NJQ327692 NJH393227:NJQ393228 NJH458763:NJQ458764 NJH524299:NJQ524300 NJH589835:NJQ589836 NJH655371:NJQ655372 NJH720907:NJQ720908 NJH786443:NJQ786444 NJH851979:NJQ851980 NJH917515:NJQ917516 NJH983051:NJQ983052 NSR10:NTA12 NSQ65547:NSZ65548 NSQ131083:NSZ131084 NSQ196619:NSZ196620 NSQ262155:NSZ262156 NSQ327691:NSZ327692 NSQ393227:NSZ393228 NSQ458763:NSZ458764 NSQ524299:NSZ524300 NSQ589835:NSZ589836 NSQ655371:NSZ655372 NSQ720907:NSZ720908 NSQ786443:NSZ786444 NSQ851979:NSZ851980 NSQ917515:NSZ917516 NSQ983051:NSZ983052 NTE10:NTN12 NTD65547:NTM65548 NTD131083:NTM131084 NTD196619:NTM196620 NTD262155:NTM262156 NTD327691:NTM327692 NTD393227:NTM393228 NTD458763:NTM458764 NTD524299:NTM524300 NTD589835:NTM589836 NTD655371:NTM655372 NTD720907:NTM720908 NTD786443:NTM786444 NTD851979:NTM851980 NTD917515:NTM917516 NTD983051:NTM983052 OCN10:OCW12 OCM65547:OCV65548 OCM131083:OCV131084 OCM196619:OCV196620 OCM262155:OCV262156 OCM327691:OCV327692 OCM393227:OCV393228 OCM458763:OCV458764 OCM524299:OCV524300 OCM589835:OCV589836 OCM655371:OCV655372 OCM720907:OCV720908 OCM786443:OCV786444 OCM851979:OCV851980 OCM917515:OCV917516 OCM983051:OCV983052 ODA10:ODJ12 OCZ65547:ODI65548 OCZ131083:ODI131084 OCZ196619:ODI196620 OCZ262155:ODI262156 OCZ327691:ODI327692 OCZ393227:ODI393228 OCZ458763:ODI458764 OCZ524299:ODI524300 OCZ589835:ODI589836 OCZ655371:ODI655372 OCZ720907:ODI720908 OCZ786443:ODI786444 OCZ851979:ODI851980 OCZ917515:ODI917516 OCZ983051:ODI983052 OMJ10:OMS12 OMI65547:OMR65548 OMI131083:OMR131084 OMI196619:OMR196620 OMI262155:OMR262156 OMI327691:OMR327692 OMI393227:OMR393228 OMI458763:OMR458764 OMI524299:OMR524300 OMI589835:OMR589836 OMI655371:OMR655372 OMI720907:OMR720908 OMI786443:OMR786444 OMI851979:OMR851980 OMI917515:OMR917516 OMI983051:OMR983052 OMW10:ONF12 OMV65547:ONE65548 OMV131083:ONE131084 OMV196619:ONE196620 OMV262155:ONE262156 OMV327691:ONE327692 OMV393227:ONE393228 OMV458763:ONE458764 OMV524299:ONE524300 OMV589835:ONE589836 OMV655371:ONE655372 OMV720907:ONE720908 OMV786443:ONE786444 OMV851979:ONE851980 OMV917515:ONE917516 OMV983051:ONE983052 OWF10:OWO12 OWE65547:OWN65548 OWE131083:OWN131084 OWE196619:OWN196620 OWE262155:OWN262156 OWE327691:OWN327692 OWE393227:OWN393228 OWE458763:OWN458764 OWE524299:OWN524300 OWE589835:OWN589836 OWE655371:OWN655372 OWE720907:OWN720908 OWE786443:OWN786444 OWE851979:OWN851980 OWE917515:OWN917516 OWE983051:OWN983052 OWS10:OXB12 OWR65547:OXA65548 OWR131083:OXA131084 OWR196619:OXA196620 OWR262155:OXA262156 OWR327691:OXA327692 OWR393227:OXA393228 OWR458763:OXA458764 OWR524299:OXA524300 OWR589835:OXA589836 OWR655371:OXA655372 OWR720907:OXA720908 OWR786443:OXA786444 OWR851979:OXA851980 OWR917515:OXA917516 OWR983051:OXA983052 PGB10:PGK12 PGA65547:PGJ65548 PGA131083:PGJ131084 PGA196619:PGJ196620 PGA262155:PGJ262156 PGA327691:PGJ327692 PGA393227:PGJ393228 PGA458763:PGJ458764 PGA524299:PGJ524300 PGA589835:PGJ589836 PGA655371:PGJ655372 PGA720907:PGJ720908 PGA786443:PGJ786444 PGA851979:PGJ851980 PGA917515:PGJ917516 PGA983051:PGJ983052 PGO10:PGX12 PGN65547:PGW65548 PGN131083:PGW131084 PGN196619:PGW196620 PGN262155:PGW262156 PGN327691:PGW327692 PGN393227:PGW393228 PGN458763:PGW458764 PGN524299:PGW524300 PGN589835:PGW589836 PGN655371:PGW655372 PGN720907:PGW720908 PGN786443:PGW786444 PGN851979:PGW851980 PGN917515:PGW917516 PGN983051:PGW983052 PPX10:PQG12 PPW65547:PQF65548 PPW131083:PQF131084 PPW196619:PQF196620 PPW262155:PQF262156 PPW327691:PQF327692 PPW393227:PQF393228 PPW458763:PQF458764 PPW524299:PQF524300 PPW589835:PQF589836 PPW655371:PQF655372 PPW720907:PQF720908 PPW786443:PQF786444 PPW851979:PQF851980 PPW917515:PQF917516 PPW983051:PQF983052 PQK10:PQT12 PQJ65547:PQS65548 PQJ131083:PQS131084 PQJ196619:PQS196620 PQJ262155:PQS262156 PQJ327691:PQS327692 PQJ393227:PQS393228 PQJ458763:PQS458764 PQJ524299:PQS524300 PQJ589835:PQS589836 PQJ655371:PQS655372 PQJ720907:PQS720908 PQJ786443:PQS786444 PQJ851979:PQS851980 PQJ917515:PQS917516 PQJ983051:PQS983052 PZT10:QAC12 PZS65547:QAB65548 PZS131083:QAB131084 PZS196619:QAB196620 PZS262155:QAB262156 PZS327691:QAB327692 PZS393227:QAB393228 PZS458763:QAB458764 PZS524299:QAB524300 PZS589835:QAB589836 PZS655371:QAB655372 PZS720907:QAB720908 PZS786443:QAB786444 PZS851979:QAB851980 PZS917515:QAB917516 PZS983051:QAB983052 QAG10:QAP12 QAF65547:QAO65548 QAF131083:QAO131084 QAF196619:QAO196620 QAF262155:QAO262156 QAF327691:QAO327692 QAF393227:QAO393228 QAF458763:QAO458764 QAF524299:QAO524300 QAF589835:QAO589836 QAF655371:QAO655372 QAF720907:QAO720908 QAF786443:QAO786444 QAF851979:QAO851980 QAF917515:QAO917516 QAF983051:QAO983052 QJP10:QJY12 QJO65547:QJX65548 QJO131083:QJX131084 QJO196619:QJX196620 QJO262155:QJX262156 QJO327691:QJX327692 QJO393227:QJX393228 QJO458763:QJX458764 QJO524299:QJX524300 QJO589835:QJX589836 QJO655371:QJX655372 QJO720907:QJX720908 QJO786443:QJX786444 QJO851979:QJX851980 QJO917515:QJX917516 QJO983051:QJX983052 QKC10:QKL12 QKB65547:QKK65548 QKB131083:QKK131084 QKB196619:QKK196620 QKB262155:QKK262156 QKB327691:QKK327692 QKB393227:QKK393228 QKB458763:QKK458764 QKB524299:QKK524300 QKB589835:QKK589836 QKB655371:QKK655372 QKB720907:QKK720908 QKB786443:QKK786444 QKB851979:QKK851980 QKB917515:QKK917516 QKB983051:QKK983052 QTL10:QTU12 QTK65547:QTT65548 QTK131083:QTT131084 QTK196619:QTT196620 QTK262155:QTT262156 QTK327691:QTT327692 QTK393227:QTT393228 QTK458763:QTT458764 QTK524299:QTT524300 QTK589835:QTT589836 QTK655371:QTT655372 QTK720907:QTT720908 QTK786443:QTT786444 QTK851979:QTT851980 QTK917515:QTT917516 QTK983051:QTT983052 QTY10:QUH12 QTX65547:QUG65548 QTX131083:QUG131084 QTX196619:QUG196620 QTX262155:QUG262156 QTX327691:QUG327692 QTX393227:QUG393228 QTX458763:QUG458764 QTX524299:QUG524300 QTX589835:QUG589836 QTX655371:QUG655372 QTX720907:QUG720908 QTX786443:QUG786444 QTX851979:QUG851980 QTX917515:QUG917516 QTX983051:QUG983052 RDH10:RDQ12 RDG65547:RDP65548 RDG131083:RDP131084 RDG196619:RDP196620 RDG262155:RDP262156 RDG327691:RDP327692 RDG393227:RDP393228 RDG458763:RDP458764 RDG524299:RDP524300 RDG589835:RDP589836 RDG655371:RDP655372 RDG720907:RDP720908 RDG786443:RDP786444 RDG851979:RDP851980 RDG917515:RDP917516 RDG983051:RDP983052 RDU10:RED12 RDT65547:REC65548 RDT131083:REC131084 RDT196619:REC196620 RDT262155:REC262156 RDT327691:REC327692 RDT393227:REC393228 RDT458763:REC458764 RDT524299:REC524300 RDT589835:REC589836 RDT655371:REC655372 RDT720907:REC720908 RDT786443:REC786444 RDT851979:REC851980 RDT917515:REC917516 RDT983051:REC983052 RND10:RNM12 RNC65547:RNL65548 RNC131083:RNL131084 RNC196619:RNL196620 RNC262155:RNL262156 RNC327691:RNL327692 RNC393227:RNL393228 RNC458763:RNL458764 RNC524299:RNL524300 RNC589835:RNL589836 RNC655371:RNL655372 RNC720907:RNL720908 RNC786443:RNL786444 RNC851979:RNL851980 RNC917515:RNL917516 RNC983051:RNL983052 RNQ10:RNZ12 RNP65547:RNY65548 RNP131083:RNY131084 RNP196619:RNY196620 RNP262155:RNY262156 RNP327691:RNY327692 RNP393227:RNY393228 RNP458763:RNY458764 RNP524299:RNY524300 RNP589835:RNY589836 RNP655371:RNY655372 RNP720907:RNY720908 RNP786443:RNY786444 RNP851979:RNY851980 RNP917515:RNY917516 RNP983051:RNY983052 RWZ10:RXI12 RWY65547:RXH65548 RWY131083:RXH131084 RWY196619:RXH196620 RWY262155:RXH262156 RWY327691:RXH327692 RWY393227:RXH393228 RWY458763:RXH458764 RWY524299:RXH524300 RWY589835:RXH589836 RWY655371:RXH655372 RWY720907:RXH720908 RWY786443:RXH786444 RWY851979:RXH851980 RWY917515:RXH917516 RWY983051:RXH983052 RXM10:RXV12 RXL65547:RXU65548 RXL131083:RXU131084 RXL196619:RXU196620 RXL262155:RXU262156 RXL327691:RXU327692 RXL393227:RXU393228 RXL458763:RXU458764 RXL524299:RXU524300 RXL589835:RXU589836 RXL655371:RXU655372 RXL720907:RXU720908 RXL786443:RXU786444 RXL851979:RXU851980 RXL917515:RXU917516 RXL983051:RXU983052 SGV10:SHE12 SGU65547:SHD65548 SGU131083:SHD131084 SGU196619:SHD196620 SGU262155:SHD262156 SGU327691:SHD327692 SGU393227:SHD393228 SGU458763:SHD458764 SGU524299:SHD524300 SGU589835:SHD589836 SGU655371:SHD655372 SGU720907:SHD720908 SGU786443:SHD786444 SGU851979:SHD851980 SGU917515:SHD917516 SGU983051:SHD983052 SHI10:SHR12 SHH65547:SHQ65548 SHH131083:SHQ131084 SHH196619:SHQ196620 SHH262155:SHQ262156 SHH327691:SHQ327692 SHH393227:SHQ393228 SHH458763:SHQ458764 SHH524299:SHQ524300 SHH589835:SHQ589836 SHH655371:SHQ655372 SHH720907:SHQ720908 SHH786443:SHQ786444 SHH851979:SHQ851980 SHH917515:SHQ917516 SHH983051:SHQ983052 SQR10:SRA12 SQQ65547:SQZ65548 SQQ131083:SQZ131084 SQQ196619:SQZ196620 SQQ262155:SQZ262156 SQQ327691:SQZ327692 SQQ393227:SQZ393228 SQQ458763:SQZ458764 SQQ524299:SQZ524300 SQQ589835:SQZ589836 SQQ655371:SQZ655372 SQQ720907:SQZ720908 SQQ786443:SQZ786444 SQQ851979:SQZ851980 SQQ917515:SQZ917516 SQQ983051:SQZ983052 SRE10:SRN12 SRD65547:SRM65548 SRD131083:SRM131084 SRD196619:SRM196620 SRD262155:SRM262156 SRD327691:SRM327692 SRD393227:SRM393228 SRD458763:SRM458764 SRD524299:SRM524300 SRD589835:SRM589836 SRD655371:SRM655372 SRD720907:SRM720908 SRD786443:SRM786444 SRD851979:SRM851980 SRD917515:SRM917516 SRD983051:SRM983052 TAN10:TAW12 TAM65547:TAV65548 TAM131083:TAV131084 TAM196619:TAV196620 TAM262155:TAV262156 TAM327691:TAV327692 TAM393227:TAV393228 TAM458763:TAV458764 TAM524299:TAV524300 TAM589835:TAV589836 TAM655371:TAV655372 TAM720907:TAV720908 TAM786443:TAV786444 TAM851979:TAV851980 TAM917515:TAV917516 TAM983051:TAV983052 TBA10:TBJ12 TAZ65547:TBI65548 TAZ131083:TBI131084 TAZ196619:TBI196620 TAZ262155:TBI262156 TAZ327691:TBI327692 TAZ393227:TBI393228 TAZ458763:TBI458764 TAZ524299:TBI524300 TAZ589835:TBI589836 TAZ655371:TBI655372 TAZ720907:TBI720908 TAZ786443:TBI786444 TAZ851979:TBI851980 TAZ917515:TBI917516 TAZ983051:TBI983052 TKJ10:TKS12 TKI65547:TKR65548 TKI131083:TKR131084 TKI196619:TKR196620 TKI262155:TKR262156 TKI327691:TKR327692 TKI393227:TKR393228 TKI458763:TKR458764 TKI524299:TKR524300 TKI589835:TKR589836 TKI655371:TKR655372 TKI720907:TKR720908 TKI786443:TKR786444 TKI851979:TKR851980 TKI917515:TKR917516 TKI983051:TKR983052 TKW10:TLF12 TKV65547:TLE65548 TKV131083:TLE131084 TKV196619:TLE196620 TKV262155:TLE262156 TKV327691:TLE327692 TKV393227:TLE393228 TKV458763:TLE458764 TKV524299:TLE524300 TKV589835:TLE589836 TKV655371:TLE655372 TKV720907:TLE720908 TKV786443:TLE786444 TKV851979:TLE851980 TKV917515:TLE917516 TKV983051:TLE983052 TUF10:TUO12 TUE65547:TUN65548 TUE131083:TUN131084 TUE196619:TUN196620 TUE262155:TUN262156 TUE327691:TUN327692 TUE393227:TUN393228 TUE458763:TUN458764 TUE524299:TUN524300 TUE589835:TUN589836 TUE655371:TUN655372 TUE720907:TUN720908 TUE786443:TUN786444 TUE851979:TUN851980 TUE917515:TUN917516 TUE983051:TUN983052 TUS10:TVB12 TUR65547:TVA65548 TUR131083:TVA131084 TUR196619:TVA196620 TUR262155:TVA262156 TUR327691:TVA327692 TUR393227:TVA393228 TUR458763:TVA458764 TUR524299:TVA524300 TUR589835:TVA589836 TUR655371:TVA655372 TUR720907:TVA720908 TUR786443:TVA786444 TUR851979:TVA851980 TUR917515:TVA917516 TUR983051:TVA983052 UEB10:UEK12 UEA65547:UEJ65548 UEA131083:UEJ131084 UEA196619:UEJ196620 UEA262155:UEJ262156 UEA327691:UEJ327692 UEA393227:UEJ393228 UEA458763:UEJ458764 UEA524299:UEJ524300 UEA589835:UEJ589836 UEA655371:UEJ655372 UEA720907:UEJ720908 UEA786443:UEJ786444 UEA851979:UEJ851980 UEA917515:UEJ917516 UEA983051:UEJ983052 UEO10:UEX12 UEN65547:UEW65548 UEN131083:UEW131084 UEN196619:UEW196620 UEN262155:UEW262156 UEN327691:UEW327692 UEN393227:UEW393228 UEN458763:UEW458764 UEN524299:UEW524300 UEN589835:UEW589836 UEN655371:UEW655372 UEN720907:UEW720908 UEN786443:UEW786444 UEN851979:UEW851980 UEN917515:UEW917516 UEN983051:UEW983052 UNX10:UOG12 UNW65547:UOF65548 UNW131083:UOF131084 UNW196619:UOF196620 UNW262155:UOF262156 UNW327691:UOF327692 UNW393227:UOF393228 UNW458763:UOF458764 UNW524299:UOF524300 UNW589835:UOF589836 UNW655371:UOF655372 UNW720907:UOF720908 UNW786443:UOF786444 UNW851979:UOF851980 UNW917515:UOF917516 UNW983051:UOF983052 UOK10:UOT12 UOJ65547:UOS65548 UOJ131083:UOS131084 UOJ196619:UOS196620 UOJ262155:UOS262156 UOJ327691:UOS327692 UOJ393227:UOS393228 UOJ458763:UOS458764 UOJ524299:UOS524300 UOJ589835:UOS589836 UOJ655371:UOS655372 UOJ720907:UOS720908 UOJ786443:UOS786444 UOJ851979:UOS851980 UOJ917515:UOS917516 UOJ983051:UOS983052 UXT10:UYC12 UXS65547:UYB65548 UXS131083:UYB131084 UXS196619:UYB196620 UXS262155:UYB262156 UXS327691:UYB327692 UXS393227:UYB393228 UXS458763:UYB458764 UXS524299:UYB524300 UXS589835:UYB589836 UXS655371:UYB655372 UXS720907:UYB720908 UXS786443:UYB786444 UXS851979:UYB851980 UXS917515:UYB917516 UXS983051:UYB983052 UYG10:UYP12 UYF65547:UYO65548 UYF131083:UYO131084 UYF196619:UYO196620 UYF262155:UYO262156 UYF327691:UYO327692 UYF393227:UYO393228 UYF458763:UYO458764 UYF524299:UYO524300 UYF589835:UYO589836 UYF655371:UYO655372 UYF720907:UYO720908 UYF786443:UYO786444 UYF851979:UYO851980 UYF917515:UYO917516 UYF983051:UYO983052 VHP10:VHY12 VHO65547:VHX65548 VHO131083:VHX131084 VHO196619:VHX196620 VHO262155:VHX262156 VHO327691:VHX327692 VHO393227:VHX393228 VHO458763:VHX458764 VHO524299:VHX524300 VHO589835:VHX589836 VHO655371:VHX655372 VHO720907:VHX720908 VHO786443:VHX786444 VHO851979:VHX851980 VHO917515:VHX917516 VHO983051:VHX983052 VIC10:VIL12 VIB65547:VIK65548 VIB131083:VIK131084 VIB196619:VIK196620 VIB262155:VIK262156 VIB327691:VIK327692 VIB393227:VIK393228 VIB458763:VIK458764 VIB524299:VIK524300 VIB589835:VIK589836 VIB655371:VIK655372 VIB720907:VIK720908 VIB786443:VIK786444 VIB851979:VIK851980 VIB917515:VIK917516 VIB983051:VIK983052 VRL10:VRU12 VRK65547:VRT65548 VRK131083:VRT131084 VRK196619:VRT196620 VRK262155:VRT262156 VRK327691:VRT327692 VRK393227:VRT393228 VRK458763:VRT458764 VRK524299:VRT524300 VRK589835:VRT589836 VRK655371:VRT655372 VRK720907:VRT720908 VRK786443:VRT786444 VRK851979:VRT851980 VRK917515:VRT917516 VRK983051:VRT983052 VRY10:VSH12 VRX65547:VSG65548 VRX131083:VSG131084 VRX196619:VSG196620 VRX262155:VSG262156 VRX327691:VSG327692 VRX393227:VSG393228 VRX458763:VSG458764 VRX524299:VSG524300 VRX589835:VSG589836 VRX655371:VSG655372 VRX720907:VSG720908 VRX786443:VSG786444 VRX851979:VSG851980 VRX917515:VSG917516 VRX983051:VSG983052 WBH10:WBQ12 WBG65547:WBP65548 WBG131083:WBP131084 WBG196619:WBP196620 WBG262155:WBP262156 WBG327691:WBP327692 WBG393227:WBP393228 WBG458763:WBP458764 WBG524299:WBP524300 WBG589835:WBP589836 WBG655371:WBP655372 WBG720907:WBP720908 WBG786443:WBP786444 WBG851979:WBP851980 WBG917515:WBP917516 WBG983051:WBP983052 WBU10:WCD12 WBT65547:WCC65548 WBT131083:WCC131084 WBT196619:WCC196620 WBT262155:WCC262156 WBT327691:WCC327692 WBT393227:WCC393228 WBT458763:WCC458764 WBT524299:WCC524300 WBT589835:WCC589836 WBT655371:WCC655372 WBT720907:WCC720908 WBT786443:WCC786444 WBT851979:WCC851980 WBT917515:WCC917516 WBT983051:WCC983052 WLD10:WLM12 WLC65547:WLL65548 WLC131083:WLL131084 WLC196619:WLL196620 WLC262155:WLL262156 WLC327691:WLL327692 WLC393227:WLL393228 WLC458763:WLL458764 WLC524299:WLL524300 WLC589835:WLL589836 WLC655371:WLL655372 WLC720907:WLL720908 WLC786443:WLL786444 WLC851979:WLL851980 WLC917515:WLL917516 WLC983051:WLL983052 WLQ10:WLZ12 WLP65547:WLY65548 WLP131083:WLY131084 WLP196619:WLY196620 WLP262155:WLY262156 WLP327691:WLY327692 WLP393227:WLY393228 WLP458763:WLY458764 WLP524299:WLY524300 WLP589835:WLY589836 WLP655371:WLY655372 WLP720907:WLY720908 WLP786443:WLY786444 WLP851979:WLY851980 WLP917515:WLY917516 WLP983051:WLY983052 WUZ10:WVI12 WUY65547:WVH65548 WUY131083:WVH131084 WUY196619:WVH196620 WUY262155:WVH262156 WUY327691:WVH327692 WUY393227:WVH393228 WUY458763:WVH458764 WUY524299:WVH524300 WUY589835:WVH589836 WUY655371:WVH655372 WUY720907:WVH720908 WUY786443:WVH786444 WUY851979:WVH851980 WUY917515:WVH917516 WUY983051:WVH983052 WVM10:WVV12 WVL65547:WVU65548 WVL131083:WVU131084 WVL196619:WVU196620 WVL262155:WVU262156 WVL327691:WVU327692 WVL393227:WVU393228 WVL458763:WVU458764 WVL524299:WVU524300 WVL589835:WVU589836 WVL655371:WVU655372 WVL720907:WVU720908 WVL786443:WVU786444 WVL851979:WVU851980 WVL917515:WVU917516 WVL983051:WVU983052 D983051:G983052 D917515:G917516 D851979:G851980 D786443:G786444 D720907:G720908 D655371:G655372 D589835:G589836 D524299:G524300 D458763:G458764 D393227:G393228 D327691:G327692 D262155:G262156 D196619:G196620 D131083:G131084 D65547:G65548" xr:uid="{CB042F9E-3B7F-423D-941B-707B07906ABE}"/>
    <dataValidation allowBlank="1" showInputMessage="1" showErrorMessage="1" prompt="Summative Tests' and Term Examination's Total Score" sqref="U13:U63 U66:U114" xr:uid="{9B11C70F-668C-49A0-B445-7FDEB4936325}"/>
    <dataValidation allowBlank="1" showInputMessage="1" prompt="Summative Tests' and Term Examination's Percentage Score" sqref="V13:V63 V66:V114" xr:uid="{24051A79-F770-40C3-AD25-4DD028BD4FAF}"/>
    <dataValidation allowBlank="1" showInputMessage="1" prompt="Summative Tests' and Term Examination's Weighted Score" sqref="W13:W63 W66:W114" xr:uid="{0D4ADC97-2B0D-41C5-A61F-9DE37A8994D8}"/>
  </dataValidations>
  <printOptions horizontalCentered="1"/>
  <pageMargins left="0.7" right="0.7" top="0.75" bottom="0.75" header="0.3" footer="0.3"/>
  <rowBreaks count="1" manualBreakCount="1">
    <brk id="63" max="2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781FA-5DCC-46E0-A273-FDDA1FF935CC}">
  <sheetPr>
    <tabColor rgb="FFFF9933"/>
  </sheetPr>
  <dimension ref="A1:BH120"/>
  <sheetViews>
    <sheetView showGridLines="0" topLeftCell="A88" zoomScale="85" zoomScaleNormal="85" workbookViewId="0">
      <selection activeCell="P24" sqref="P24"/>
    </sheetView>
  </sheetViews>
  <sheetFormatPr defaultColWidth="4.7109375" defaultRowHeight="15"/>
  <cols>
    <col min="1" max="1" width="9.425781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240"/>
      <c r="B1" s="240"/>
      <c r="C1" s="240"/>
      <c r="D1" s="354" t="s">
        <v>0</v>
      </c>
      <c r="E1" s="354"/>
      <c r="F1" s="354"/>
      <c r="G1" s="354"/>
      <c r="H1" s="354"/>
      <c r="I1" s="354"/>
      <c r="J1" s="354"/>
      <c r="K1" s="354"/>
      <c r="L1" s="354"/>
      <c r="M1" s="240"/>
      <c r="N1" s="240"/>
      <c r="O1" s="354" t="e" vm="3">
        <f>INPUT!AH2</f>
        <v>#VALUE!</v>
      </c>
      <c r="P1" s="354"/>
      <c r="Q1" s="354"/>
      <c r="R1" s="354"/>
      <c r="S1" s="354"/>
      <c r="T1" s="354"/>
      <c r="U1" s="240"/>
      <c r="V1" s="240"/>
      <c r="W1" s="240"/>
      <c r="X1" s="240"/>
      <c r="Y1" s="6"/>
    </row>
    <row r="2" spans="1:50" ht="15" customHeight="1">
      <c r="A2" s="240"/>
      <c r="B2" s="354" t="e" vm="3">
        <f>INPUT!AC2</f>
        <v>#VALUE!</v>
      </c>
      <c r="C2" s="240"/>
      <c r="D2" s="354"/>
      <c r="E2" s="354"/>
      <c r="F2" s="354"/>
      <c r="G2" s="354"/>
      <c r="H2" s="354"/>
      <c r="I2" s="354"/>
      <c r="J2" s="354"/>
      <c r="K2" s="354"/>
      <c r="L2" s="354"/>
      <c r="M2" s="240"/>
      <c r="N2" s="240"/>
      <c r="O2" s="354"/>
      <c r="P2" s="354"/>
      <c r="Q2" s="354"/>
      <c r="R2" s="354"/>
      <c r="S2" s="354"/>
      <c r="T2" s="354"/>
      <c r="U2" s="240"/>
      <c r="V2" s="240"/>
      <c r="W2" s="240"/>
      <c r="X2" s="240"/>
      <c r="Y2" s="6"/>
    </row>
    <row r="3" spans="1:50" ht="15" customHeight="1">
      <c r="A3" s="124"/>
      <c r="B3" s="354"/>
      <c r="C3" s="124"/>
      <c r="D3" s="124"/>
      <c r="E3" s="124"/>
      <c r="F3" s="124"/>
      <c r="G3" s="124"/>
      <c r="H3" s="124"/>
      <c r="I3" s="124"/>
      <c r="J3" s="124"/>
      <c r="K3" s="124"/>
      <c r="L3" s="124"/>
      <c r="M3" s="124"/>
      <c r="N3" s="124"/>
      <c r="O3" s="354"/>
      <c r="P3" s="354"/>
      <c r="Q3" s="354"/>
      <c r="R3" s="354"/>
      <c r="S3" s="354"/>
      <c r="T3" s="354"/>
      <c r="U3" s="124"/>
      <c r="V3" s="124"/>
      <c r="W3" s="124"/>
      <c r="X3" s="124"/>
      <c r="Y3" s="6"/>
    </row>
    <row r="4" spans="1:50" ht="21" customHeight="1">
      <c r="A4" s="47"/>
      <c r="B4" s="354"/>
      <c r="C4" s="161" t="s">
        <v>2</v>
      </c>
      <c r="D4" s="332">
        <f>INPUT!H4</f>
        <v>10</v>
      </c>
      <c r="E4" s="334"/>
      <c r="F4" s="351" t="s">
        <v>3</v>
      </c>
      <c r="G4" s="352"/>
      <c r="H4" s="353"/>
      <c r="I4" s="332" t="str">
        <f>INPUT!M4</f>
        <v>CDO</v>
      </c>
      <c r="J4" s="333"/>
      <c r="K4" s="333"/>
      <c r="L4" s="334"/>
      <c r="M4" s="50"/>
      <c r="N4" s="8"/>
      <c r="O4" s="354"/>
      <c r="P4" s="354"/>
      <c r="Q4" s="354"/>
      <c r="R4" s="354"/>
      <c r="S4" s="354"/>
      <c r="T4" s="354"/>
      <c r="U4" s="122"/>
      <c r="V4" s="51"/>
      <c r="W4" s="51"/>
      <c r="X4" s="13"/>
      <c r="Y4" s="13"/>
      <c r="Z4" s="12"/>
      <c r="AA4" s="12"/>
      <c r="AB4" s="12"/>
      <c r="AC4" s="12"/>
    </row>
    <row r="5" spans="1:50" ht="21" customHeight="1">
      <c r="A5" s="47"/>
      <c r="B5" s="354"/>
      <c r="C5" s="161" t="s">
        <v>5</v>
      </c>
      <c r="D5" s="332" t="str">
        <f>INPUT!H5</f>
        <v>{school_name}</v>
      </c>
      <c r="E5" s="333"/>
      <c r="F5" s="333"/>
      <c r="G5" s="333"/>
      <c r="H5" s="333"/>
      <c r="I5" s="333"/>
      <c r="J5" s="333"/>
      <c r="K5" s="333"/>
      <c r="L5" s="334"/>
      <c r="M5" s="50"/>
      <c r="N5" s="271" t="s">
        <v>6</v>
      </c>
      <c r="O5" s="335"/>
      <c r="P5" s="336">
        <f>INPUT!T5</f>
        <v>405198</v>
      </c>
      <c r="Q5" s="337"/>
      <c r="R5" s="338"/>
      <c r="S5" s="339" t="s">
        <v>7</v>
      </c>
      <c r="T5" s="314"/>
      <c r="U5" s="314"/>
      <c r="V5" s="340"/>
      <c r="W5" s="336" t="str">
        <f>INPUT!Z5</f>
        <v>{school_year}</v>
      </c>
      <c r="X5" s="338"/>
      <c r="Y5" s="13"/>
      <c r="Z5" s="12"/>
      <c r="AA5" s="12"/>
      <c r="AB5" s="12"/>
      <c r="AC5" s="12"/>
    </row>
    <row r="6" spans="1:50" ht="14.65" customHeight="1" thickBot="1">
      <c r="B6" s="241"/>
    </row>
    <row r="7" spans="1:50" ht="23.25" customHeight="1" thickBot="1">
      <c r="A7" s="357" t="s">
        <v>36</v>
      </c>
      <c r="B7" s="358"/>
      <c r="C7" s="359"/>
      <c r="D7" s="170" t="s">
        <v>8</v>
      </c>
      <c r="E7" s="171"/>
      <c r="F7" s="170"/>
      <c r="G7" s="169"/>
      <c r="H7" s="169"/>
      <c r="I7" s="341" t="str">
        <f>INPUT!K7</f>
        <v>{class}</v>
      </c>
      <c r="J7" s="341"/>
      <c r="K7" s="342"/>
      <c r="L7" s="343" t="s">
        <v>9</v>
      </c>
      <c r="M7" s="279"/>
      <c r="N7" s="279"/>
      <c r="O7" s="344" t="str">
        <f>INPUT!R7</f>
        <v>{subject_teacher}</v>
      </c>
      <c r="P7" s="344"/>
      <c r="Q7" s="345"/>
      <c r="R7" s="346" t="s">
        <v>10</v>
      </c>
      <c r="S7" s="347"/>
      <c r="T7" s="347"/>
      <c r="U7" s="344" t="str">
        <f>INPUT!Z7</f>
        <v>{subject_name}</v>
      </c>
      <c r="V7" s="344"/>
      <c r="W7" s="345"/>
      <c r="X7" s="172"/>
      <c r="Y7" s="6"/>
    </row>
    <row r="8" spans="1:50" s="4" customFormat="1" ht="46.9" customHeight="1">
      <c r="A8" s="365"/>
      <c r="B8" s="367" t="s">
        <v>70</v>
      </c>
      <c r="C8" s="369" t="s">
        <v>11</v>
      </c>
      <c r="D8" s="371" t="str">
        <f>INPUT!AD7 &amp; " (" &amp; TEXT(INPUT!AL7, "0%") &amp; ")"</f>
        <v>WRITTEN / ORAL WORKS (20%)</v>
      </c>
      <c r="E8" s="372"/>
      <c r="F8" s="372"/>
      <c r="G8" s="372"/>
      <c r="H8" s="372"/>
      <c r="I8" s="372"/>
      <c r="J8" s="372"/>
      <c r="K8" s="373"/>
      <c r="L8" s="348" t="str">
        <f>INPUT!AD8 &amp; " (" &amp; TEXT(INPUT!AL8, "0%") &amp; ")"</f>
        <v>PRODUCT / PERFORMANCE TASKS (80%)</v>
      </c>
      <c r="M8" s="349"/>
      <c r="N8" s="349"/>
      <c r="O8" s="349"/>
      <c r="P8" s="349"/>
      <c r="Q8" s="350"/>
      <c r="R8" s="348" t="str">
        <f>INPUT!AD9 &amp; " (" &amp; TEXT(INPUT!AL9, "0%") &amp; ")"</f>
        <v>PLACEHOLDER (20%)</v>
      </c>
      <c r="S8" s="349"/>
      <c r="T8" s="349"/>
      <c r="U8" s="349"/>
      <c r="V8" s="349"/>
      <c r="W8" s="350"/>
      <c r="X8" s="329" t="s">
        <v>16</v>
      </c>
      <c r="Y8" s="329" t="s">
        <v>37</v>
      </c>
      <c r="Z8" s="329" t="s">
        <v>17</v>
      </c>
      <c r="AA8" s="18"/>
      <c r="AS8" s="19"/>
      <c r="AT8" s="19"/>
      <c r="AU8" s="19"/>
      <c r="AV8" s="19"/>
      <c r="AW8" s="19"/>
      <c r="AX8" s="19"/>
    </row>
    <row r="9" spans="1:50" s="20" customFormat="1" ht="18" customHeight="1">
      <c r="A9" s="366"/>
      <c r="B9" s="368"/>
      <c r="C9" s="370"/>
      <c r="D9" s="53">
        <v>1</v>
      </c>
      <c r="E9" s="52">
        <v>2</v>
      </c>
      <c r="F9" s="52">
        <v>3</v>
      </c>
      <c r="G9" s="52">
        <v>4</v>
      </c>
      <c r="H9" s="52">
        <v>5</v>
      </c>
      <c r="I9" s="54" t="s">
        <v>18</v>
      </c>
      <c r="J9" s="55" t="s">
        <v>19</v>
      </c>
      <c r="K9" s="56" t="s">
        <v>20</v>
      </c>
      <c r="L9" s="53">
        <v>1</v>
      </c>
      <c r="M9" s="52">
        <v>2</v>
      </c>
      <c r="N9" s="52">
        <v>3</v>
      </c>
      <c r="O9" s="54" t="s">
        <v>18</v>
      </c>
      <c r="P9" s="55" t="s">
        <v>19</v>
      </c>
      <c r="Q9" s="56" t="s">
        <v>20</v>
      </c>
      <c r="R9" s="57" t="s">
        <v>67</v>
      </c>
      <c r="S9" s="58" t="s">
        <v>65</v>
      </c>
      <c r="T9" s="52" t="s">
        <v>66</v>
      </c>
      <c r="U9" s="54" t="s">
        <v>18</v>
      </c>
      <c r="V9" s="55" t="s">
        <v>19</v>
      </c>
      <c r="W9" s="56" t="s">
        <v>20</v>
      </c>
      <c r="X9" s="330"/>
      <c r="Y9" s="330"/>
      <c r="Z9" s="330"/>
      <c r="AA9" s="18"/>
      <c r="AD9" s="59"/>
      <c r="AE9" s="59"/>
      <c r="AF9" s="59"/>
      <c r="AG9" s="59"/>
      <c r="AH9" s="59"/>
      <c r="AI9" s="59"/>
      <c r="AJ9" s="59"/>
      <c r="AK9" s="59"/>
      <c r="AL9" s="59"/>
      <c r="AM9" s="59"/>
      <c r="AN9" s="59"/>
      <c r="AO9" s="59"/>
      <c r="AP9" s="59"/>
      <c r="AQ9" s="59"/>
      <c r="AR9" s="59"/>
      <c r="AS9" s="22"/>
      <c r="AT9" s="22"/>
      <c r="AU9" s="22"/>
      <c r="AV9" s="22"/>
      <c r="AW9" s="27"/>
      <c r="AX9" s="27"/>
    </row>
    <row r="10" spans="1:50" s="23" customFormat="1" ht="18" customHeight="1" thickBot="1">
      <c r="A10" s="360" t="s">
        <v>12</v>
      </c>
      <c r="B10" s="361"/>
      <c r="C10" s="362"/>
      <c r="D10" s="60"/>
      <c r="E10" s="61"/>
      <c r="F10" s="61"/>
      <c r="G10" s="61"/>
      <c r="H10" s="61"/>
      <c r="I10" s="54" t="str">
        <f>IF(COUNT($D10:$H10)=0,"",SUM($D10:$H10))</f>
        <v/>
      </c>
      <c r="J10" s="55">
        <v>100</v>
      </c>
      <c r="K10" s="62">
        <f>INPUT!AL7</f>
        <v>0.2</v>
      </c>
      <c r="L10" s="60"/>
      <c r="M10" s="61"/>
      <c r="N10" s="61"/>
      <c r="O10" s="54" t="str">
        <f>IF(COUNT($L10:$N10)=0,"",SUM($L10:$N10))</f>
        <v/>
      </c>
      <c r="P10" s="55">
        <v>100</v>
      </c>
      <c r="Q10" s="62">
        <f>INPUT!AL8</f>
        <v>0.8</v>
      </c>
      <c r="R10" s="63"/>
      <c r="S10" s="64"/>
      <c r="T10" s="61"/>
      <c r="U10" s="65">
        <f t="array" ref="U10">IF(COUNT($R10:$T10=0),"",SUM($R10:$T10))</f>
        <v>0</v>
      </c>
      <c r="V10" s="55">
        <v>100</v>
      </c>
      <c r="W10" s="62">
        <f>INPUT!AL9</f>
        <v>0.2</v>
      </c>
      <c r="X10" s="331"/>
      <c r="Y10" s="331"/>
      <c r="Z10" s="331"/>
      <c r="AA10" s="18"/>
      <c r="AB10" s="66"/>
      <c r="AC10" s="67"/>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237"/>
      <c r="B11" s="363" t="s">
        <v>13</v>
      </c>
      <c r="C11" s="364"/>
      <c r="D11" s="68"/>
      <c r="E11" s="69"/>
      <c r="F11" s="69"/>
      <c r="G11" s="69"/>
      <c r="H11" s="69"/>
      <c r="I11" s="70"/>
      <c r="J11" s="71"/>
      <c r="K11" s="72"/>
      <c r="L11" s="68"/>
      <c r="M11" s="69"/>
      <c r="N11" s="69"/>
      <c r="O11" s="70"/>
      <c r="P11" s="71"/>
      <c r="Q11" s="72"/>
      <c r="R11" s="73"/>
      <c r="S11" s="70"/>
      <c r="T11" s="69"/>
      <c r="U11" s="69"/>
      <c r="V11" s="71"/>
      <c r="W11" s="72"/>
      <c r="X11" s="74"/>
      <c r="Y11" s="75"/>
      <c r="Z11" s="76"/>
      <c r="AA11" s="18"/>
      <c r="AB11" s="66"/>
      <c r="AC11" s="67"/>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211" t="s">
        <v>71</v>
      </c>
      <c r="B12" s="210" t="s">
        <v>72</v>
      </c>
      <c r="C12" s="173" t="s">
        <v>73</v>
      </c>
      <c r="D12" s="175" t="s">
        <v>74</v>
      </c>
      <c r="E12" s="175" t="s">
        <v>74</v>
      </c>
      <c r="F12" s="175" t="s">
        <v>74</v>
      </c>
      <c r="G12" s="175" t="s">
        <v>74</v>
      </c>
      <c r="H12" s="175" t="s">
        <v>74</v>
      </c>
      <c r="I12" s="176" t="s">
        <v>75</v>
      </c>
      <c r="J12" s="177" t="s">
        <v>76</v>
      </c>
      <c r="K12" s="177" t="s">
        <v>77</v>
      </c>
      <c r="L12" s="175" t="s">
        <v>78</v>
      </c>
      <c r="M12" s="175" t="s">
        <v>78</v>
      </c>
      <c r="N12" s="175" t="s">
        <v>78</v>
      </c>
      <c r="O12" s="176" t="s">
        <v>79</v>
      </c>
      <c r="P12" s="177" t="s">
        <v>80</v>
      </c>
      <c r="Q12" s="177" t="s">
        <v>81</v>
      </c>
      <c r="R12" s="179" t="s">
        <v>88</v>
      </c>
      <c r="S12" s="180" t="s">
        <v>89</v>
      </c>
      <c r="T12" s="181" t="s">
        <v>90</v>
      </c>
      <c r="U12" s="175" t="s">
        <v>82</v>
      </c>
      <c r="V12" s="177" t="s">
        <v>83</v>
      </c>
      <c r="W12" s="177" t="s">
        <v>84</v>
      </c>
      <c r="X12" s="182" t="s">
        <v>85</v>
      </c>
      <c r="Y12" s="183" t="s">
        <v>86</v>
      </c>
      <c r="Z12" s="178" t="s">
        <v>87</v>
      </c>
      <c r="AA12" s="18"/>
      <c r="AB12" s="66"/>
      <c r="AC12" s="67"/>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68">
        <f>INPUT!A12</f>
        <v>0</v>
      </c>
      <c r="B13" s="168">
        <f>INPUT!B12</f>
        <v>0</v>
      </c>
      <c r="C13" s="168">
        <f>INPUT!C12</f>
        <v>0</v>
      </c>
      <c r="D13" s="77"/>
      <c r="E13" s="78"/>
      <c r="F13" s="78"/>
      <c r="G13" s="78"/>
      <c r="H13" s="78"/>
      <c r="I13" s="79" t="str">
        <f t="shared" ref="I13:I78" si="0">IF(COUNT($D13:$H13)=0,"",SUM($D13:$H13))</f>
        <v/>
      </c>
      <c r="J13" s="80" t="str">
        <f t="shared" ref="J13:J78" si="1">IF(ISERROR(IF($I13="","",ROUND(($I13/$I$10)*$J$10,2))),"",IF($I13="","",ROUND(($I13/$I$10)*$J$10,2)))</f>
        <v/>
      </c>
      <c r="K13" s="81" t="str">
        <f t="shared" ref="K13:K78" si="2">IF($J13="","",ROUND($J13*$K$10,2))</f>
        <v/>
      </c>
      <c r="L13" s="77"/>
      <c r="M13" s="78"/>
      <c r="N13" s="78"/>
      <c r="O13" s="79" t="str">
        <f t="shared" ref="O13:O78" si="3">IF(COUNT($L13:$N13)=0,"",SUM($L13:$N13))</f>
        <v/>
      </c>
      <c r="P13" s="80" t="str">
        <f t="shared" ref="P13:P78" si="4">IF(ISERROR(IF($O13="","",ROUND(($O13/$O$10)*$P$10,2))),"",IF($O13="","",ROUND(($O13/$O$10)*$P$10,2)))</f>
        <v/>
      </c>
      <c r="Q13" s="81" t="str">
        <f t="shared" ref="Q13:Q78" si="5">IF($P13="","",ROUND($P13*$Q$10,2))</f>
        <v/>
      </c>
      <c r="R13" s="77"/>
      <c r="S13" s="78"/>
      <c r="T13" s="78"/>
      <c r="U13" s="79" t="str">
        <f t="shared" ref="U13:U78" si="6">IF(COUNT($R13:$T13)=0,"",SUM($R13:$T13))</f>
        <v/>
      </c>
      <c r="V13" s="80" t="str">
        <f t="shared" ref="V13:V78" si="7">IF(ISERROR(IF($U13="","",ROUND(($U13/$U$10)*$V$10,2))),"",IF($U13="","",ROUND(($U13/$U$10)*$V$10,2)))</f>
        <v/>
      </c>
      <c r="W13" s="81" t="str">
        <f t="shared" ref="W13:W78" si="8">IF($V13="","",ROUND($V13*$W$10,2))</f>
        <v/>
      </c>
      <c r="X13" s="82" t="str">
        <f>IF(ISERROR(IF($U13="","",ROUND(SUM($K13,$Q13,$W13),2))),"",IF($U13="","",ROUND(SUM($K13,$Q13,$W13),2)))</f>
        <v/>
      </c>
      <c r="Y13" s="83" t="str">
        <f>IF(ISERROR(IF($U13="","",VLOOKUP(X13,NewTransmu,4,TRUE))),"",IF($U13="","",VLOOKUP(X13,NewTransmu,4,TRUE)))</f>
        <v/>
      </c>
      <c r="Z13" s="84" t="str">
        <f t="shared" ref="Z13:Z78" si="9">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 t="shared" ref="AT13:AT78" si="10">(R13/$R$10)*100</f>
        <v>#DIV/0!</v>
      </c>
      <c r="AU13" s="41" t="e">
        <f t="shared" ref="AU13:AU78" si="11">(S13/$S$10)*100</f>
        <v>#DIV/0!</v>
      </c>
      <c r="AV13" s="41" t="e">
        <f t="shared" ref="AV13:AV78" si="12">(T13/$T$10)*100</f>
        <v>#DIV/0!</v>
      </c>
      <c r="AX13" s="6"/>
    </row>
    <row r="14" spans="1:50" ht="18" customHeight="1">
      <c r="A14" s="168">
        <f>INPUT!A13</f>
        <v>0</v>
      </c>
      <c r="B14" s="168">
        <f>INPUT!B13</f>
        <v>0</v>
      </c>
      <c r="C14" s="168">
        <f>INPUT!C13</f>
        <v>0</v>
      </c>
      <c r="D14" s="85"/>
      <c r="E14" s="86"/>
      <c r="F14" s="86"/>
      <c r="G14" s="86"/>
      <c r="H14" s="86"/>
      <c r="I14" s="87" t="str">
        <f t="shared" si="0"/>
        <v/>
      </c>
      <c r="J14" s="55" t="str">
        <f t="shared" si="1"/>
        <v/>
      </c>
      <c r="K14" s="88" t="str">
        <f t="shared" si="2"/>
        <v/>
      </c>
      <c r="L14" s="85"/>
      <c r="M14" s="86"/>
      <c r="N14" s="86"/>
      <c r="O14" s="87" t="str">
        <f t="shared" si="3"/>
        <v/>
      </c>
      <c r="P14" s="55" t="str">
        <f t="shared" si="4"/>
        <v/>
      </c>
      <c r="Q14" s="88" t="str">
        <f t="shared" si="5"/>
        <v/>
      </c>
      <c r="R14" s="85"/>
      <c r="S14" s="86"/>
      <c r="T14" s="86"/>
      <c r="U14" s="87" t="str">
        <f t="shared" si="6"/>
        <v/>
      </c>
      <c r="V14" s="55" t="str">
        <f t="shared" si="7"/>
        <v/>
      </c>
      <c r="W14" s="88" t="str">
        <f t="shared" si="8"/>
        <v/>
      </c>
      <c r="X14" s="89" t="str">
        <f t="shared" ref="X14:X79" si="13">IF(ISERROR(IF($T14="","",ROUND(SUM($K14,$Q14,$W14),2))),"",IF($T14="","",ROUND(SUM($K14,$Q14,$W14),2)))</f>
        <v/>
      </c>
      <c r="Y14" s="90" t="str">
        <f t="shared" ref="Y14:Y79" si="14">IF(ISERROR(IF($T14="","",VLOOKUP(X14,NewTransmu,4,TRUE))),"",IF($T14="","",VLOOKUP(X14,NewTransmu,4,TRUE)))</f>
        <v/>
      </c>
      <c r="Z14" s="91" t="str">
        <f t="shared" si="9"/>
        <v/>
      </c>
      <c r="AB14" s="92"/>
      <c r="AC14" s="92" t="s">
        <v>67</v>
      </c>
      <c r="AD14" s="92" t="s">
        <v>65</v>
      </c>
      <c r="AE14" s="92" t="s">
        <v>66</v>
      </c>
      <c r="AF14" s="23"/>
      <c r="AG14" s="23"/>
      <c r="AH14" s="23"/>
      <c r="AI14" s="23"/>
      <c r="AJ14" s="23"/>
      <c r="AK14" s="23"/>
      <c r="AL14" s="23"/>
      <c r="AM14" s="23"/>
      <c r="AN14" s="23"/>
      <c r="AO14" s="23"/>
      <c r="AP14" s="23"/>
      <c r="AQ14" s="23"/>
      <c r="AR14" s="23"/>
      <c r="AS14" s="41"/>
      <c r="AT14" s="41" t="e">
        <f t="shared" si="10"/>
        <v>#DIV/0!</v>
      </c>
      <c r="AU14" s="41" t="e">
        <f t="shared" si="11"/>
        <v>#DIV/0!</v>
      </c>
      <c r="AV14" s="41" t="e">
        <f t="shared" si="12"/>
        <v>#DIV/0!</v>
      </c>
      <c r="AX14" s="6"/>
    </row>
    <row r="15" spans="1:50" ht="18" customHeight="1">
      <c r="A15" s="168">
        <f>INPUT!A14</f>
        <v>0</v>
      </c>
      <c r="B15" s="168">
        <f>INPUT!B14</f>
        <v>0</v>
      </c>
      <c r="C15" s="168">
        <f>INPUT!C14</f>
        <v>0</v>
      </c>
      <c r="D15" s="85"/>
      <c r="E15" s="86"/>
      <c r="F15" s="86"/>
      <c r="G15" s="86"/>
      <c r="H15" s="86"/>
      <c r="I15" s="87" t="str">
        <f t="shared" si="0"/>
        <v/>
      </c>
      <c r="J15" s="55" t="str">
        <f t="shared" si="1"/>
        <v/>
      </c>
      <c r="K15" s="88" t="str">
        <f t="shared" si="2"/>
        <v/>
      </c>
      <c r="L15" s="85"/>
      <c r="M15" s="86"/>
      <c r="N15" s="86"/>
      <c r="O15" s="87" t="str">
        <f t="shared" si="3"/>
        <v/>
      </c>
      <c r="P15" s="55" t="str">
        <f t="shared" si="4"/>
        <v/>
      </c>
      <c r="Q15" s="88" t="str">
        <f t="shared" si="5"/>
        <v/>
      </c>
      <c r="R15" s="162"/>
      <c r="S15" s="86"/>
      <c r="T15" s="163"/>
      <c r="U15" s="87" t="str">
        <f t="shared" si="6"/>
        <v/>
      </c>
      <c r="V15" s="55" t="str">
        <f t="shared" si="7"/>
        <v/>
      </c>
      <c r="W15" s="88" t="str">
        <f t="shared" si="8"/>
        <v/>
      </c>
      <c r="X15" s="89" t="str">
        <f t="shared" si="13"/>
        <v/>
      </c>
      <c r="Y15" s="90" t="str">
        <f t="shared" si="14"/>
        <v/>
      </c>
      <c r="Z15" s="91" t="str">
        <f t="shared" si="9"/>
        <v/>
      </c>
      <c r="AB15" s="93" t="s">
        <v>21</v>
      </c>
      <c r="AC15" s="94">
        <f>COUNTA(R13:R113)</f>
        <v>0</v>
      </c>
      <c r="AD15" s="94">
        <f>COUNTA(S13:S113)</f>
        <v>0</v>
      </c>
      <c r="AE15" s="94">
        <f>COUNTA(T13:T113)</f>
        <v>0</v>
      </c>
      <c r="AF15" s="23"/>
      <c r="AG15" s="23"/>
      <c r="AH15" s="23"/>
      <c r="AI15" s="23"/>
      <c r="AJ15" s="23"/>
      <c r="AK15" s="23"/>
      <c r="AL15" s="23"/>
      <c r="AM15" s="23"/>
      <c r="AN15" s="23"/>
      <c r="AO15" s="23"/>
      <c r="AP15" s="23"/>
      <c r="AQ15" s="23"/>
      <c r="AR15" s="23"/>
      <c r="AS15" s="41"/>
      <c r="AT15" s="41" t="e">
        <f t="shared" si="10"/>
        <v>#DIV/0!</v>
      </c>
      <c r="AU15" s="41" t="e">
        <f t="shared" si="11"/>
        <v>#DIV/0!</v>
      </c>
      <c r="AV15" s="41" t="e">
        <f t="shared" si="12"/>
        <v>#DIV/0!</v>
      </c>
      <c r="AX15" s="6"/>
    </row>
    <row r="16" spans="1:50" ht="18" customHeight="1">
      <c r="A16" s="168">
        <f>INPUT!A15</f>
        <v>0</v>
      </c>
      <c r="B16" s="168">
        <f>INPUT!B15</f>
        <v>0</v>
      </c>
      <c r="C16" s="168">
        <f>INPUT!C15</f>
        <v>0</v>
      </c>
      <c r="D16" s="85"/>
      <c r="E16" s="86"/>
      <c r="F16" s="86"/>
      <c r="G16" s="86"/>
      <c r="H16" s="86"/>
      <c r="I16" s="87" t="str">
        <f t="shared" si="0"/>
        <v/>
      </c>
      <c r="J16" s="55" t="str">
        <f t="shared" si="1"/>
        <v/>
      </c>
      <c r="K16" s="88" t="str">
        <f t="shared" si="2"/>
        <v/>
      </c>
      <c r="L16" s="85"/>
      <c r="M16" s="86"/>
      <c r="N16" s="86"/>
      <c r="O16" s="87" t="str">
        <f t="shared" si="3"/>
        <v/>
      </c>
      <c r="P16" s="55" t="str">
        <f t="shared" si="4"/>
        <v/>
      </c>
      <c r="Q16" s="88" t="str">
        <f t="shared" si="5"/>
        <v/>
      </c>
      <c r="R16" s="85"/>
      <c r="S16" s="86"/>
      <c r="T16" s="86"/>
      <c r="U16" s="87" t="str">
        <f t="shared" si="6"/>
        <v/>
      </c>
      <c r="V16" s="55" t="str">
        <f t="shared" si="7"/>
        <v/>
      </c>
      <c r="W16" s="88" t="str">
        <f t="shared" si="8"/>
        <v/>
      </c>
      <c r="X16" s="89" t="str">
        <f t="shared" si="13"/>
        <v/>
      </c>
      <c r="Y16" s="90" t="str">
        <f t="shared" si="14"/>
        <v/>
      </c>
      <c r="Z16" s="91" t="str">
        <f t="shared" si="9"/>
        <v/>
      </c>
      <c r="AB16" s="95" t="s">
        <v>22</v>
      </c>
      <c r="AC16" s="94">
        <f>R10</f>
        <v>0</v>
      </c>
      <c r="AD16" s="94">
        <f>S10</f>
        <v>0</v>
      </c>
      <c r="AE16" s="94">
        <f>T10</f>
        <v>0</v>
      </c>
      <c r="AF16" s="23"/>
      <c r="AG16" s="23"/>
      <c r="AH16" s="23"/>
      <c r="AI16" s="23"/>
      <c r="AJ16" s="23"/>
      <c r="AK16" s="23"/>
      <c r="AL16" s="23"/>
      <c r="AM16" s="23"/>
      <c r="AN16" s="23"/>
      <c r="AO16" s="23"/>
      <c r="AP16" s="23"/>
      <c r="AQ16" s="23"/>
      <c r="AR16" s="23"/>
      <c r="AS16" s="41"/>
      <c r="AT16" s="41" t="e">
        <f t="shared" si="10"/>
        <v>#DIV/0!</v>
      </c>
      <c r="AU16" s="41" t="e">
        <f t="shared" si="11"/>
        <v>#DIV/0!</v>
      </c>
      <c r="AV16" s="41" t="e">
        <f t="shared" si="12"/>
        <v>#DIV/0!</v>
      </c>
      <c r="AX16" s="6"/>
    </row>
    <row r="17" spans="1:50" ht="18" customHeight="1">
      <c r="A17" s="168">
        <f>INPUT!A16</f>
        <v>0</v>
      </c>
      <c r="B17" s="168">
        <f>INPUT!B16</f>
        <v>0</v>
      </c>
      <c r="C17" s="168">
        <f>INPUT!C16</f>
        <v>0</v>
      </c>
      <c r="D17" s="85"/>
      <c r="E17" s="86"/>
      <c r="F17" s="86"/>
      <c r="G17" s="86"/>
      <c r="H17" s="86"/>
      <c r="I17" s="87" t="str">
        <f t="shared" si="0"/>
        <v/>
      </c>
      <c r="J17" s="55" t="str">
        <f t="shared" si="1"/>
        <v/>
      </c>
      <c r="K17" s="88" t="str">
        <f t="shared" si="2"/>
        <v/>
      </c>
      <c r="L17" s="85"/>
      <c r="M17" s="86"/>
      <c r="N17" s="86"/>
      <c r="O17" s="87" t="str">
        <f t="shared" si="3"/>
        <v/>
      </c>
      <c r="P17" s="55" t="str">
        <f t="shared" si="4"/>
        <v/>
      </c>
      <c r="Q17" s="88" t="str">
        <f t="shared" si="5"/>
        <v/>
      </c>
      <c r="R17" s="85"/>
      <c r="S17" s="86"/>
      <c r="T17" s="86"/>
      <c r="U17" s="87" t="str">
        <f t="shared" si="6"/>
        <v/>
      </c>
      <c r="V17" s="55" t="str">
        <f t="shared" si="7"/>
        <v/>
      </c>
      <c r="W17" s="88" t="str">
        <f t="shared" si="8"/>
        <v/>
      </c>
      <c r="X17" s="89" t="str">
        <f t="shared" si="13"/>
        <v/>
      </c>
      <c r="Y17" s="90" t="str">
        <f t="shared" si="14"/>
        <v/>
      </c>
      <c r="Z17" s="91" t="str">
        <f t="shared" si="9"/>
        <v/>
      </c>
      <c r="AB17" s="96"/>
      <c r="AC17" s="96"/>
      <c r="AD17" s="96"/>
      <c r="AE17" s="96"/>
      <c r="AF17" s="23"/>
      <c r="AG17" s="23"/>
      <c r="AH17" s="23"/>
      <c r="AI17" s="23"/>
      <c r="AJ17" s="23"/>
      <c r="AK17" s="23"/>
      <c r="AL17" s="23"/>
      <c r="AM17" s="23"/>
      <c r="AN17" s="23"/>
      <c r="AO17" s="23"/>
      <c r="AP17" s="23"/>
      <c r="AQ17" s="23"/>
      <c r="AR17" s="23"/>
      <c r="AS17" s="41"/>
      <c r="AT17" s="41" t="e">
        <f t="shared" si="10"/>
        <v>#DIV/0!</v>
      </c>
      <c r="AU17" s="41" t="e">
        <f t="shared" si="11"/>
        <v>#DIV/0!</v>
      </c>
      <c r="AV17" s="41" t="e">
        <f t="shared" si="12"/>
        <v>#DIV/0!</v>
      </c>
      <c r="AX17" s="6"/>
    </row>
    <row r="18" spans="1:50" ht="18" customHeight="1">
      <c r="A18" s="168">
        <f>INPUT!A17</f>
        <v>0</v>
      </c>
      <c r="B18" s="168">
        <f>INPUT!B17</f>
        <v>0</v>
      </c>
      <c r="C18" s="168">
        <f>INPUT!C17</f>
        <v>0</v>
      </c>
      <c r="D18" s="85"/>
      <c r="E18" s="86"/>
      <c r="F18" s="86"/>
      <c r="G18" s="86"/>
      <c r="H18" s="86"/>
      <c r="I18" s="87" t="str">
        <f t="shared" si="0"/>
        <v/>
      </c>
      <c r="J18" s="55" t="str">
        <f t="shared" si="1"/>
        <v/>
      </c>
      <c r="K18" s="88" t="str">
        <f t="shared" si="2"/>
        <v/>
      </c>
      <c r="L18" s="85"/>
      <c r="M18" s="86"/>
      <c r="N18" s="86"/>
      <c r="O18" s="87" t="str">
        <f t="shared" si="3"/>
        <v/>
      </c>
      <c r="P18" s="55" t="str">
        <f t="shared" si="4"/>
        <v/>
      </c>
      <c r="Q18" s="88" t="str">
        <f t="shared" si="5"/>
        <v/>
      </c>
      <c r="R18" s="85"/>
      <c r="S18" s="86"/>
      <c r="T18" s="86"/>
      <c r="U18" s="87" t="str">
        <f t="shared" si="6"/>
        <v/>
      </c>
      <c r="V18" s="55" t="str">
        <f t="shared" si="7"/>
        <v/>
      </c>
      <c r="W18" s="88" t="str">
        <f t="shared" si="8"/>
        <v/>
      </c>
      <c r="X18" s="89" t="str">
        <f t="shared" si="13"/>
        <v/>
      </c>
      <c r="Y18" s="90" t="str">
        <f t="shared" si="14"/>
        <v/>
      </c>
      <c r="Z18" s="91" t="str">
        <f t="shared" si="9"/>
        <v/>
      </c>
      <c r="AB18" s="97" t="s">
        <v>23</v>
      </c>
      <c r="AC18" s="92" t="s">
        <v>67</v>
      </c>
      <c r="AD18" s="92" t="s">
        <v>65</v>
      </c>
      <c r="AE18" s="92" t="s">
        <v>66</v>
      </c>
      <c r="AF18" s="23"/>
      <c r="AG18" s="23"/>
      <c r="AH18" s="23"/>
      <c r="AI18" s="23"/>
      <c r="AJ18" s="23"/>
      <c r="AK18" s="23"/>
      <c r="AL18" s="23"/>
      <c r="AM18" s="23"/>
      <c r="AN18" s="23"/>
      <c r="AO18" s="23"/>
      <c r="AP18" s="23"/>
      <c r="AQ18" s="23"/>
      <c r="AR18" s="23"/>
      <c r="AS18" s="41"/>
      <c r="AT18" s="41" t="e">
        <f t="shared" si="10"/>
        <v>#DIV/0!</v>
      </c>
      <c r="AU18" s="41" t="e">
        <f t="shared" si="11"/>
        <v>#DIV/0!</v>
      </c>
      <c r="AV18" s="41" t="e">
        <f t="shared" si="12"/>
        <v>#DIV/0!</v>
      </c>
      <c r="AX18" s="6"/>
    </row>
    <row r="19" spans="1:50" ht="18" customHeight="1">
      <c r="A19" s="168">
        <f>INPUT!A18</f>
        <v>0</v>
      </c>
      <c r="B19" s="168">
        <f>INPUT!B18</f>
        <v>0</v>
      </c>
      <c r="C19" s="168">
        <f>INPUT!C18</f>
        <v>0</v>
      </c>
      <c r="D19" s="85"/>
      <c r="E19" s="86"/>
      <c r="F19" s="86"/>
      <c r="G19" s="86"/>
      <c r="H19" s="86"/>
      <c r="I19" s="87" t="str">
        <f t="shared" si="0"/>
        <v/>
      </c>
      <c r="J19" s="55" t="str">
        <f t="shared" si="1"/>
        <v/>
      </c>
      <c r="K19" s="88" t="str">
        <f t="shared" si="2"/>
        <v/>
      </c>
      <c r="L19" s="85"/>
      <c r="M19" s="86"/>
      <c r="N19" s="86"/>
      <c r="O19" s="87" t="str">
        <f t="shared" si="3"/>
        <v/>
      </c>
      <c r="P19" s="55" t="str">
        <f t="shared" si="4"/>
        <v/>
      </c>
      <c r="Q19" s="88" t="str">
        <f t="shared" si="5"/>
        <v/>
      </c>
      <c r="R19" s="85"/>
      <c r="S19" s="86"/>
      <c r="T19" s="86"/>
      <c r="U19" s="87" t="str">
        <f t="shared" si="6"/>
        <v/>
      </c>
      <c r="V19" s="55" t="str">
        <f t="shared" si="7"/>
        <v/>
      </c>
      <c r="W19" s="88" t="str">
        <f t="shared" si="8"/>
        <v/>
      </c>
      <c r="X19" s="89" t="str">
        <f t="shared" si="13"/>
        <v/>
      </c>
      <c r="Y19" s="90" t="str">
        <f t="shared" si="14"/>
        <v/>
      </c>
      <c r="Z19" s="91" t="str">
        <f t="shared" si="9"/>
        <v/>
      </c>
      <c r="AB19" s="98" t="s">
        <v>24</v>
      </c>
      <c r="AC19" s="99">
        <f>COUNTIF(AT13:AT113,"&gt;=75")</f>
        <v>0</v>
      </c>
      <c r="AD19" s="99">
        <f>COUNTIF(AU13:AU113,"&gt;=75")</f>
        <v>0</v>
      </c>
      <c r="AE19" s="99">
        <f>COUNTIF(AV13:AV113,"&gt;=75")</f>
        <v>0</v>
      </c>
      <c r="AF19" s="23"/>
      <c r="AG19" s="23"/>
      <c r="AH19" s="23"/>
      <c r="AI19" s="23"/>
      <c r="AJ19" s="23"/>
      <c r="AK19" s="23"/>
      <c r="AL19" s="23"/>
      <c r="AM19" s="23"/>
      <c r="AN19" s="23"/>
      <c r="AO19" s="23"/>
      <c r="AP19" s="23"/>
      <c r="AQ19" s="23"/>
      <c r="AR19" s="23"/>
      <c r="AS19" s="41"/>
      <c r="AT19" s="41" t="e">
        <f t="shared" si="10"/>
        <v>#DIV/0!</v>
      </c>
      <c r="AU19" s="41" t="e">
        <f t="shared" si="11"/>
        <v>#DIV/0!</v>
      </c>
      <c r="AV19" s="41" t="e">
        <f t="shared" si="12"/>
        <v>#DIV/0!</v>
      </c>
      <c r="AX19" s="6"/>
    </row>
    <row r="20" spans="1:50" ht="18" customHeight="1">
      <c r="A20" s="168">
        <f>INPUT!A19</f>
        <v>0</v>
      </c>
      <c r="B20" s="168">
        <f>INPUT!B19</f>
        <v>0</v>
      </c>
      <c r="C20" s="168">
        <f>INPUT!C19</f>
        <v>0</v>
      </c>
      <c r="D20" s="85"/>
      <c r="E20" s="86"/>
      <c r="F20" s="86"/>
      <c r="G20" s="86"/>
      <c r="H20" s="86"/>
      <c r="I20" s="87" t="str">
        <f t="shared" si="0"/>
        <v/>
      </c>
      <c r="J20" s="55" t="str">
        <f t="shared" si="1"/>
        <v/>
      </c>
      <c r="K20" s="88" t="str">
        <f t="shared" si="2"/>
        <v/>
      </c>
      <c r="L20" s="85"/>
      <c r="M20" s="86"/>
      <c r="N20" s="86"/>
      <c r="O20" s="87" t="str">
        <f t="shared" si="3"/>
        <v/>
      </c>
      <c r="P20" s="55" t="str">
        <f t="shared" si="4"/>
        <v/>
      </c>
      <c r="Q20" s="88" t="str">
        <f t="shared" si="5"/>
        <v/>
      </c>
      <c r="R20" s="85"/>
      <c r="S20" s="86"/>
      <c r="T20" s="86"/>
      <c r="U20" s="87" t="str">
        <f t="shared" si="6"/>
        <v/>
      </c>
      <c r="V20" s="55" t="str">
        <f t="shared" si="7"/>
        <v/>
      </c>
      <c r="W20" s="88" t="str">
        <f t="shared" si="8"/>
        <v/>
      </c>
      <c r="X20" s="89" t="str">
        <f t="shared" si="13"/>
        <v/>
      </c>
      <c r="Y20" s="90" t="str">
        <f t="shared" si="14"/>
        <v/>
      </c>
      <c r="Z20" s="91" t="str">
        <f t="shared" si="9"/>
        <v/>
      </c>
      <c r="AB20" s="98" t="s">
        <v>25</v>
      </c>
      <c r="AC20" s="100" t="str">
        <f>IFERROR(AC19/AC15,"")</f>
        <v/>
      </c>
      <c r="AD20" s="100" t="str">
        <f>IFERROR(AD19/AD15,"")</f>
        <v/>
      </c>
      <c r="AE20" s="100" t="str">
        <f>IFERROR(AE19/AE15,"")</f>
        <v/>
      </c>
      <c r="AF20" s="23"/>
      <c r="AG20" s="23"/>
      <c r="AH20" s="23"/>
      <c r="AI20" s="23"/>
      <c r="AJ20" s="23"/>
      <c r="AK20" s="23"/>
      <c r="AL20" s="23"/>
      <c r="AM20" s="23"/>
      <c r="AN20" s="23"/>
      <c r="AO20" s="23"/>
      <c r="AP20" s="23"/>
      <c r="AQ20" s="23"/>
      <c r="AR20" s="23"/>
      <c r="AS20" s="41"/>
      <c r="AT20" s="41" t="e">
        <f t="shared" si="10"/>
        <v>#DIV/0!</v>
      </c>
      <c r="AU20" s="41" t="e">
        <f t="shared" si="11"/>
        <v>#DIV/0!</v>
      </c>
      <c r="AV20" s="41" t="e">
        <f t="shared" si="12"/>
        <v>#DIV/0!</v>
      </c>
      <c r="AX20" s="6"/>
    </row>
    <row r="21" spans="1:50" ht="18" customHeight="1">
      <c r="A21" s="168">
        <f>INPUT!A20</f>
        <v>0</v>
      </c>
      <c r="B21" s="168">
        <f>INPUT!B20</f>
        <v>0</v>
      </c>
      <c r="C21" s="168">
        <f>INPUT!C20</f>
        <v>0</v>
      </c>
      <c r="D21" s="85"/>
      <c r="E21" s="86"/>
      <c r="F21" s="86"/>
      <c r="G21" s="86"/>
      <c r="H21" s="86"/>
      <c r="I21" s="87" t="str">
        <f t="shared" si="0"/>
        <v/>
      </c>
      <c r="J21" s="55" t="str">
        <f t="shared" si="1"/>
        <v/>
      </c>
      <c r="K21" s="88" t="str">
        <f t="shared" si="2"/>
        <v/>
      </c>
      <c r="L21" s="85"/>
      <c r="M21" s="86"/>
      <c r="N21" s="86"/>
      <c r="O21" s="87" t="str">
        <f t="shared" si="3"/>
        <v/>
      </c>
      <c r="P21" s="55" t="str">
        <f t="shared" si="4"/>
        <v/>
      </c>
      <c r="Q21" s="88" t="str">
        <f t="shared" si="5"/>
        <v/>
      </c>
      <c r="R21" s="85"/>
      <c r="S21" s="86"/>
      <c r="T21" s="86"/>
      <c r="U21" s="87" t="str">
        <f t="shared" si="6"/>
        <v/>
      </c>
      <c r="V21" s="55" t="str">
        <f t="shared" si="7"/>
        <v/>
      </c>
      <c r="W21" s="88" t="str">
        <f t="shared" si="8"/>
        <v/>
      </c>
      <c r="X21" s="89" t="str">
        <f t="shared" si="13"/>
        <v/>
      </c>
      <c r="Y21" s="90" t="str">
        <f t="shared" si="14"/>
        <v/>
      </c>
      <c r="Z21" s="91" t="str">
        <f t="shared" si="9"/>
        <v/>
      </c>
      <c r="AB21" s="98" t="s">
        <v>26</v>
      </c>
      <c r="AC21" s="99">
        <f>AC15-AC19</f>
        <v>0</v>
      </c>
      <c r="AD21" s="99">
        <f>AD15-AD19</f>
        <v>0</v>
      </c>
      <c r="AE21" s="99">
        <f>AE15-AE19</f>
        <v>0</v>
      </c>
      <c r="AF21" s="23"/>
      <c r="AG21" s="23"/>
      <c r="AH21" s="23"/>
      <c r="AI21" s="23"/>
      <c r="AJ21" s="23"/>
      <c r="AK21" s="23"/>
      <c r="AL21" s="23"/>
      <c r="AM21" s="23"/>
      <c r="AN21" s="23"/>
      <c r="AO21" s="23"/>
      <c r="AP21" s="23"/>
      <c r="AQ21" s="23"/>
      <c r="AR21" s="23"/>
      <c r="AS21" s="41"/>
      <c r="AT21" s="41" t="e">
        <f t="shared" si="10"/>
        <v>#DIV/0!</v>
      </c>
      <c r="AU21" s="41" t="e">
        <f t="shared" si="11"/>
        <v>#DIV/0!</v>
      </c>
      <c r="AV21" s="41" t="e">
        <f t="shared" si="12"/>
        <v>#DIV/0!</v>
      </c>
      <c r="AX21" s="6"/>
    </row>
    <row r="22" spans="1:50" ht="18" customHeight="1">
      <c r="A22" s="168">
        <f>INPUT!A21</f>
        <v>0</v>
      </c>
      <c r="B22" s="168">
        <f>INPUT!B21</f>
        <v>0</v>
      </c>
      <c r="C22" s="168">
        <f>INPUT!C21</f>
        <v>0</v>
      </c>
      <c r="D22" s="85"/>
      <c r="E22" s="86"/>
      <c r="F22" s="86"/>
      <c r="G22" s="86"/>
      <c r="H22" s="86"/>
      <c r="I22" s="87" t="str">
        <f t="shared" si="0"/>
        <v/>
      </c>
      <c r="J22" s="55" t="str">
        <f t="shared" si="1"/>
        <v/>
      </c>
      <c r="K22" s="88" t="str">
        <f t="shared" si="2"/>
        <v/>
      </c>
      <c r="L22" s="85"/>
      <c r="M22" s="86"/>
      <c r="N22" s="86"/>
      <c r="O22" s="87" t="str">
        <f t="shared" si="3"/>
        <v/>
      </c>
      <c r="P22" s="55" t="str">
        <f t="shared" si="4"/>
        <v/>
      </c>
      <c r="Q22" s="88" t="str">
        <f t="shared" si="5"/>
        <v/>
      </c>
      <c r="R22" s="85"/>
      <c r="S22" s="86"/>
      <c r="T22" s="86"/>
      <c r="U22" s="87" t="str">
        <f t="shared" si="6"/>
        <v/>
      </c>
      <c r="V22" s="55" t="str">
        <f t="shared" si="7"/>
        <v/>
      </c>
      <c r="W22" s="88" t="str">
        <f t="shared" si="8"/>
        <v/>
      </c>
      <c r="X22" s="89" t="str">
        <f t="shared" si="13"/>
        <v/>
      </c>
      <c r="Y22" s="90" t="str">
        <f t="shared" si="14"/>
        <v/>
      </c>
      <c r="Z22" s="91" t="str">
        <f t="shared" si="9"/>
        <v/>
      </c>
      <c r="AB22" s="98" t="s">
        <v>25</v>
      </c>
      <c r="AC22" s="100" t="str">
        <f>IFERROR(1-AC20,"")</f>
        <v/>
      </c>
      <c r="AD22" s="100" t="str">
        <f>IFERROR(1-AD20,"")</f>
        <v/>
      </c>
      <c r="AE22" s="100" t="str">
        <f>IFERROR(1-AE20,"")</f>
        <v/>
      </c>
      <c r="AF22" s="23"/>
      <c r="AG22" s="23"/>
      <c r="AH22" s="23"/>
      <c r="AI22" s="23"/>
      <c r="AJ22" s="23"/>
      <c r="AK22" s="23"/>
      <c r="AL22" s="23"/>
      <c r="AM22" s="23"/>
      <c r="AN22" s="23"/>
      <c r="AO22" s="23"/>
      <c r="AP22" s="23"/>
      <c r="AQ22" s="23"/>
      <c r="AR22" s="23"/>
      <c r="AS22" s="41"/>
      <c r="AT22" s="41" t="e">
        <f t="shared" si="10"/>
        <v>#DIV/0!</v>
      </c>
      <c r="AU22" s="41" t="e">
        <f t="shared" si="11"/>
        <v>#DIV/0!</v>
      </c>
      <c r="AV22" s="41" t="e">
        <f t="shared" si="12"/>
        <v>#DIV/0!</v>
      </c>
      <c r="AX22" s="6"/>
    </row>
    <row r="23" spans="1:50" ht="18" customHeight="1">
      <c r="A23" s="168">
        <f>INPUT!A22</f>
        <v>0</v>
      </c>
      <c r="B23" s="168">
        <f>INPUT!B22</f>
        <v>0</v>
      </c>
      <c r="C23" s="168">
        <f>INPUT!C22</f>
        <v>0</v>
      </c>
      <c r="D23" s="85"/>
      <c r="E23" s="86"/>
      <c r="F23" s="86"/>
      <c r="G23" s="86"/>
      <c r="H23" s="86"/>
      <c r="I23" s="87" t="str">
        <f t="shared" si="0"/>
        <v/>
      </c>
      <c r="J23" s="55" t="str">
        <f t="shared" si="1"/>
        <v/>
      </c>
      <c r="K23" s="88" t="str">
        <f t="shared" si="2"/>
        <v/>
      </c>
      <c r="L23" s="85"/>
      <c r="M23" s="86"/>
      <c r="N23" s="86"/>
      <c r="O23" s="87" t="str">
        <f t="shared" si="3"/>
        <v/>
      </c>
      <c r="P23" s="55" t="str">
        <f t="shared" si="4"/>
        <v/>
      </c>
      <c r="Q23" s="88" t="str">
        <f t="shared" si="5"/>
        <v/>
      </c>
      <c r="R23" s="85"/>
      <c r="S23" s="86"/>
      <c r="T23" s="86"/>
      <c r="U23" s="87" t="str">
        <f t="shared" si="6"/>
        <v/>
      </c>
      <c r="V23" s="55" t="str">
        <f t="shared" si="7"/>
        <v/>
      </c>
      <c r="W23" s="88" t="str">
        <f t="shared" si="8"/>
        <v/>
      </c>
      <c r="X23" s="89" t="str">
        <f t="shared" si="13"/>
        <v/>
      </c>
      <c r="Y23" s="90" t="str">
        <f t="shared" si="14"/>
        <v/>
      </c>
      <c r="Z23" s="91" t="str">
        <f t="shared" si="9"/>
        <v/>
      </c>
      <c r="AB23" s="96"/>
      <c r="AC23" s="96"/>
      <c r="AD23" s="96"/>
      <c r="AE23" s="96"/>
      <c r="AR23" s="48"/>
      <c r="AT23" s="41" t="e">
        <f t="shared" si="10"/>
        <v>#DIV/0!</v>
      </c>
      <c r="AU23" s="41" t="e">
        <f t="shared" si="11"/>
        <v>#DIV/0!</v>
      </c>
      <c r="AV23" s="41" t="e">
        <f t="shared" si="12"/>
        <v>#DIV/0!</v>
      </c>
      <c r="AX23" s="6"/>
    </row>
    <row r="24" spans="1:50" ht="18" customHeight="1">
      <c r="A24" s="168">
        <f>INPUT!A23</f>
        <v>0</v>
      </c>
      <c r="B24" s="168">
        <f>INPUT!B23</f>
        <v>0</v>
      </c>
      <c r="C24" s="168">
        <f>INPUT!C23</f>
        <v>0</v>
      </c>
      <c r="D24" s="85"/>
      <c r="E24" s="86"/>
      <c r="F24" s="86"/>
      <c r="G24" s="86"/>
      <c r="H24" s="86"/>
      <c r="I24" s="87" t="str">
        <f t="shared" si="0"/>
        <v/>
      </c>
      <c r="J24" s="55" t="str">
        <f t="shared" si="1"/>
        <v/>
      </c>
      <c r="K24" s="88" t="str">
        <f t="shared" si="2"/>
        <v/>
      </c>
      <c r="L24" s="85"/>
      <c r="M24" s="86"/>
      <c r="N24" s="86"/>
      <c r="O24" s="87" t="str">
        <f t="shared" si="3"/>
        <v/>
      </c>
      <c r="P24" s="55" t="str">
        <f t="shared" si="4"/>
        <v/>
      </c>
      <c r="Q24" s="88" t="str">
        <f t="shared" si="5"/>
        <v/>
      </c>
      <c r="R24" s="85"/>
      <c r="S24" s="86"/>
      <c r="T24" s="86"/>
      <c r="U24" s="87" t="str">
        <f t="shared" si="6"/>
        <v/>
      </c>
      <c r="V24" s="55" t="str">
        <f t="shared" si="7"/>
        <v/>
      </c>
      <c r="W24" s="88" t="str">
        <f t="shared" si="8"/>
        <v/>
      </c>
      <c r="X24" s="89" t="str">
        <f t="shared" si="13"/>
        <v/>
      </c>
      <c r="Y24" s="90" t="str">
        <f t="shared" si="14"/>
        <v/>
      </c>
      <c r="Z24" s="91" t="str">
        <f t="shared" si="9"/>
        <v/>
      </c>
      <c r="AB24" s="97" t="s">
        <v>27</v>
      </c>
      <c r="AC24" s="92" t="s">
        <v>67</v>
      </c>
      <c r="AD24" s="92" t="s">
        <v>65</v>
      </c>
      <c r="AE24" s="92" t="s">
        <v>66</v>
      </c>
      <c r="AF24" s="101"/>
      <c r="AG24" s="101"/>
      <c r="AH24" s="101"/>
      <c r="AI24" s="101"/>
      <c r="AJ24" s="101"/>
      <c r="AK24" s="101"/>
      <c r="AL24" s="101"/>
      <c r="AM24" s="101"/>
      <c r="AN24" s="101"/>
      <c r="AO24" s="101"/>
      <c r="AP24" s="101"/>
      <c r="AQ24" s="101"/>
      <c r="AR24" s="101"/>
      <c r="AS24" s="42"/>
      <c r="AT24" s="41" t="e">
        <f t="shared" si="10"/>
        <v>#DIV/0!</v>
      </c>
      <c r="AU24" s="41" t="e">
        <f t="shared" si="11"/>
        <v>#DIV/0!</v>
      </c>
      <c r="AV24" s="41" t="e">
        <f t="shared" si="12"/>
        <v>#DIV/0!</v>
      </c>
      <c r="AX24" s="6"/>
    </row>
    <row r="25" spans="1:50" ht="18" customHeight="1">
      <c r="A25" s="168">
        <f>INPUT!A24</f>
        <v>0</v>
      </c>
      <c r="B25" s="168">
        <f>INPUT!B24</f>
        <v>0</v>
      </c>
      <c r="C25" s="168">
        <f>INPUT!C24</f>
        <v>0</v>
      </c>
      <c r="D25" s="85"/>
      <c r="E25" s="86"/>
      <c r="F25" s="86"/>
      <c r="G25" s="86"/>
      <c r="H25" s="86"/>
      <c r="I25" s="87" t="str">
        <f t="shared" si="0"/>
        <v/>
      </c>
      <c r="J25" s="55" t="str">
        <f t="shared" si="1"/>
        <v/>
      </c>
      <c r="K25" s="88" t="str">
        <f t="shared" si="2"/>
        <v/>
      </c>
      <c r="L25" s="85"/>
      <c r="M25" s="86"/>
      <c r="N25" s="86"/>
      <c r="O25" s="87" t="str">
        <f t="shared" si="3"/>
        <v/>
      </c>
      <c r="P25" s="55" t="str">
        <f t="shared" si="4"/>
        <v/>
      </c>
      <c r="Q25" s="88" t="str">
        <f t="shared" si="5"/>
        <v/>
      </c>
      <c r="R25" s="85"/>
      <c r="S25" s="86"/>
      <c r="T25" s="86"/>
      <c r="U25" s="87" t="str">
        <f t="shared" si="6"/>
        <v/>
      </c>
      <c r="V25" s="55" t="str">
        <f t="shared" si="7"/>
        <v/>
      </c>
      <c r="W25" s="88" t="str">
        <f t="shared" si="8"/>
        <v/>
      </c>
      <c r="X25" s="89" t="str">
        <f t="shared" si="13"/>
        <v/>
      </c>
      <c r="Y25" s="90" t="str">
        <f t="shared" si="14"/>
        <v/>
      </c>
      <c r="Z25" s="91" t="str">
        <f t="shared" si="9"/>
        <v/>
      </c>
      <c r="AB25" s="98" t="s">
        <v>28</v>
      </c>
      <c r="AC25" s="102" t="str">
        <f>IFERROR(AVERAGE(R13:R113),"")</f>
        <v/>
      </c>
      <c r="AD25" s="102" t="str">
        <f>IFERROR(AVERAGE(S13:S113),"")</f>
        <v/>
      </c>
      <c r="AE25" s="102" t="str">
        <f>IFERROR(AVERAGE(T13:T113),"")</f>
        <v/>
      </c>
      <c r="AF25" s="101"/>
      <c r="AG25" s="101"/>
      <c r="AH25" s="101"/>
      <c r="AI25" s="101"/>
      <c r="AJ25" s="101"/>
      <c r="AK25" s="101"/>
      <c r="AL25" s="101"/>
      <c r="AM25" s="101"/>
      <c r="AN25" s="101"/>
      <c r="AO25" s="101"/>
      <c r="AP25" s="101"/>
      <c r="AQ25" s="101"/>
      <c r="AR25" s="101"/>
      <c r="AS25" s="42"/>
      <c r="AT25" s="41" t="e">
        <f t="shared" si="10"/>
        <v>#DIV/0!</v>
      </c>
      <c r="AU25" s="41" t="e">
        <f t="shared" si="11"/>
        <v>#DIV/0!</v>
      </c>
      <c r="AV25" s="41" t="e">
        <f t="shared" si="12"/>
        <v>#DIV/0!</v>
      </c>
      <c r="AX25" s="6"/>
    </row>
    <row r="26" spans="1:50" ht="18" customHeight="1">
      <c r="A26" s="168">
        <f>INPUT!A25</f>
        <v>0</v>
      </c>
      <c r="B26" s="168">
        <f>INPUT!B25</f>
        <v>0</v>
      </c>
      <c r="C26" s="168">
        <f>INPUT!C25</f>
        <v>0</v>
      </c>
      <c r="D26" s="85"/>
      <c r="E26" s="86"/>
      <c r="F26" s="86"/>
      <c r="G26" s="86"/>
      <c r="H26" s="86"/>
      <c r="I26" s="87" t="str">
        <f t="shared" si="0"/>
        <v/>
      </c>
      <c r="J26" s="55" t="str">
        <f t="shared" si="1"/>
        <v/>
      </c>
      <c r="K26" s="88" t="str">
        <f t="shared" si="2"/>
        <v/>
      </c>
      <c r="L26" s="85"/>
      <c r="M26" s="86"/>
      <c r="N26" s="86"/>
      <c r="O26" s="87" t="str">
        <f t="shared" si="3"/>
        <v/>
      </c>
      <c r="P26" s="55" t="str">
        <f t="shared" si="4"/>
        <v/>
      </c>
      <c r="Q26" s="88" t="str">
        <f t="shared" si="5"/>
        <v/>
      </c>
      <c r="R26" s="85"/>
      <c r="S26" s="86"/>
      <c r="T26" s="86"/>
      <c r="U26" s="87" t="str">
        <f t="shared" si="6"/>
        <v/>
      </c>
      <c r="V26" s="55" t="str">
        <f t="shared" si="7"/>
        <v/>
      </c>
      <c r="W26" s="88" t="str">
        <f t="shared" si="8"/>
        <v/>
      </c>
      <c r="X26" s="89" t="str">
        <f t="shared" si="13"/>
        <v/>
      </c>
      <c r="Y26" s="90" t="str">
        <f t="shared" si="14"/>
        <v/>
      </c>
      <c r="Z26" s="91" t="str">
        <f t="shared" si="9"/>
        <v/>
      </c>
      <c r="AB26" s="98" t="s">
        <v>29</v>
      </c>
      <c r="AC26" s="102" t="str">
        <f>IFERROR(MEDIAN(R13:R113),"")</f>
        <v/>
      </c>
      <c r="AD26" s="102" t="str">
        <f>IFERROR(MEDIAN(S13:S113),"")</f>
        <v/>
      </c>
      <c r="AE26" s="102" t="str">
        <f>IFERROR(MEDIAN(T13:T113),"")</f>
        <v/>
      </c>
      <c r="AF26" s="101"/>
      <c r="AG26" s="101"/>
      <c r="AH26" s="101"/>
      <c r="AI26" s="101"/>
      <c r="AJ26" s="101"/>
      <c r="AK26" s="101"/>
      <c r="AL26" s="101"/>
      <c r="AM26" s="101"/>
      <c r="AN26" s="101"/>
      <c r="AO26" s="101"/>
      <c r="AP26" s="101"/>
      <c r="AQ26" s="101"/>
      <c r="AR26" s="101"/>
      <c r="AS26" s="42"/>
      <c r="AT26" s="41" t="e">
        <f t="shared" si="10"/>
        <v>#DIV/0!</v>
      </c>
      <c r="AU26" s="41" t="e">
        <f t="shared" si="11"/>
        <v>#DIV/0!</v>
      </c>
      <c r="AV26" s="41" t="e">
        <f t="shared" si="12"/>
        <v>#DIV/0!</v>
      </c>
      <c r="AX26" s="6"/>
    </row>
    <row r="27" spans="1:50" ht="18" customHeight="1">
      <c r="A27" s="168">
        <f>INPUT!A26</f>
        <v>0</v>
      </c>
      <c r="B27" s="168">
        <f>INPUT!B26</f>
        <v>0</v>
      </c>
      <c r="C27" s="168">
        <f>INPUT!C26</f>
        <v>0</v>
      </c>
      <c r="D27" s="85"/>
      <c r="E27" s="86"/>
      <c r="F27" s="86"/>
      <c r="G27" s="86"/>
      <c r="H27" s="86"/>
      <c r="I27" s="87" t="str">
        <f t="shared" si="0"/>
        <v/>
      </c>
      <c r="J27" s="55" t="str">
        <f t="shared" si="1"/>
        <v/>
      </c>
      <c r="K27" s="88" t="str">
        <f t="shared" si="2"/>
        <v/>
      </c>
      <c r="L27" s="85"/>
      <c r="M27" s="86"/>
      <c r="N27" s="86"/>
      <c r="O27" s="87" t="str">
        <f t="shared" si="3"/>
        <v/>
      </c>
      <c r="P27" s="55" t="str">
        <f t="shared" si="4"/>
        <v/>
      </c>
      <c r="Q27" s="88" t="str">
        <f t="shared" si="5"/>
        <v/>
      </c>
      <c r="R27" s="85"/>
      <c r="S27" s="86"/>
      <c r="T27" s="86"/>
      <c r="U27" s="87" t="str">
        <f t="shared" si="6"/>
        <v/>
      </c>
      <c r="V27" s="55" t="str">
        <f t="shared" si="7"/>
        <v/>
      </c>
      <c r="W27" s="88" t="str">
        <f t="shared" si="8"/>
        <v/>
      </c>
      <c r="X27" s="89" t="str">
        <f t="shared" si="13"/>
        <v/>
      </c>
      <c r="Y27" s="90" t="str">
        <f t="shared" si="14"/>
        <v/>
      </c>
      <c r="Z27" s="91" t="str">
        <f t="shared" si="9"/>
        <v/>
      </c>
      <c r="AB27" s="98" t="s">
        <v>30</v>
      </c>
      <c r="AC27" s="102" t="str">
        <f>IFERROR(_xlfn.STDEV.S(R13:R113),"")</f>
        <v/>
      </c>
      <c r="AD27" s="102" t="e">
        <f>_xlfn.STDEV.S(S13:S113)</f>
        <v>#DIV/0!</v>
      </c>
      <c r="AE27" s="102" t="e">
        <f>_xlfn.STDEV.S(T13:T113)</f>
        <v>#DIV/0!</v>
      </c>
      <c r="AR27" s="48"/>
      <c r="AT27" s="41" t="e">
        <f t="shared" si="10"/>
        <v>#DIV/0!</v>
      </c>
      <c r="AU27" s="41" t="e">
        <f t="shared" si="11"/>
        <v>#DIV/0!</v>
      </c>
      <c r="AV27" s="41" t="e">
        <f t="shared" si="12"/>
        <v>#DIV/0!</v>
      </c>
      <c r="AX27" s="6"/>
    </row>
    <row r="28" spans="1:50" ht="18" customHeight="1">
      <c r="A28" s="168">
        <f>INPUT!A27</f>
        <v>0</v>
      </c>
      <c r="B28" s="168">
        <f>INPUT!B27</f>
        <v>0</v>
      </c>
      <c r="C28" s="168">
        <f>INPUT!C27</f>
        <v>0</v>
      </c>
      <c r="D28" s="85"/>
      <c r="E28" s="86"/>
      <c r="F28" s="86"/>
      <c r="G28" s="86"/>
      <c r="H28" s="86"/>
      <c r="I28" s="87" t="str">
        <f t="shared" si="0"/>
        <v/>
      </c>
      <c r="J28" s="55" t="str">
        <f t="shared" si="1"/>
        <v/>
      </c>
      <c r="K28" s="88" t="str">
        <f t="shared" si="2"/>
        <v/>
      </c>
      <c r="L28" s="85"/>
      <c r="M28" s="86"/>
      <c r="N28" s="86"/>
      <c r="O28" s="87" t="str">
        <f t="shared" si="3"/>
        <v/>
      </c>
      <c r="P28" s="55" t="str">
        <f t="shared" si="4"/>
        <v/>
      </c>
      <c r="Q28" s="88" t="str">
        <f t="shared" si="5"/>
        <v/>
      </c>
      <c r="R28" s="85"/>
      <c r="S28" s="86"/>
      <c r="T28" s="86"/>
      <c r="U28" s="87" t="str">
        <f t="shared" si="6"/>
        <v/>
      </c>
      <c r="V28" s="55" t="str">
        <f t="shared" si="7"/>
        <v/>
      </c>
      <c r="W28" s="88" t="str">
        <f t="shared" si="8"/>
        <v/>
      </c>
      <c r="X28" s="89" t="str">
        <f t="shared" si="13"/>
        <v/>
      </c>
      <c r="Y28" s="90" t="str">
        <f t="shared" si="14"/>
        <v/>
      </c>
      <c r="Z28" s="91" t="str">
        <f t="shared" si="9"/>
        <v/>
      </c>
      <c r="AB28" s="98" t="s">
        <v>31</v>
      </c>
      <c r="AC28" s="103" t="str">
        <f>IFERROR(AC25/AC16,"")</f>
        <v/>
      </c>
      <c r="AD28" s="103" t="str">
        <f>IFERROR(AD25/AD16,"")</f>
        <v/>
      </c>
      <c r="AE28" s="103" t="str">
        <f>IFERROR(AE25/AE16,"")</f>
        <v/>
      </c>
      <c r="AR28" s="48"/>
      <c r="AT28" s="41" t="e">
        <f t="shared" si="10"/>
        <v>#DIV/0!</v>
      </c>
      <c r="AU28" s="41" t="e">
        <f t="shared" si="11"/>
        <v>#DIV/0!</v>
      </c>
      <c r="AV28" s="41" t="e">
        <f t="shared" si="12"/>
        <v>#DIV/0!</v>
      </c>
      <c r="AX28" s="6"/>
    </row>
    <row r="29" spans="1:50" ht="18" customHeight="1">
      <c r="A29" s="168">
        <f>INPUT!A28</f>
        <v>0</v>
      </c>
      <c r="B29" s="168">
        <f>INPUT!B28</f>
        <v>0</v>
      </c>
      <c r="C29" s="168">
        <f>INPUT!C28</f>
        <v>0</v>
      </c>
      <c r="D29" s="85"/>
      <c r="E29" s="86"/>
      <c r="F29" s="86"/>
      <c r="G29" s="86"/>
      <c r="H29" s="86"/>
      <c r="I29" s="87" t="str">
        <f t="shared" si="0"/>
        <v/>
      </c>
      <c r="J29" s="55" t="str">
        <f t="shared" si="1"/>
        <v/>
      </c>
      <c r="K29" s="88" t="str">
        <f t="shared" si="2"/>
        <v/>
      </c>
      <c r="L29" s="85"/>
      <c r="M29" s="86"/>
      <c r="N29" s="86"/>
      <c r="O29" s="87" t="str">
        <f t="shared" si="3"/>
        <v/>
      </c>
      <c r="P29" s="55" t="str">
        <f t="shared" si="4"/>
        <v/>
      </c>
      <c r="Q29" s="88" t="str">
        <f t="shared" si="5"/>
        <v/>
      </c>
      <c r="R29" s="85"/>
      <c r="S29" s="86"/>
      <c r="T29" s="86"/>
      <c r="U29" s="87" t="str">
        <f t="shared" si="6"/>
        <v/>
      </c>
      <c r="V29" s="55" t="str">
        <f t="shared" si="7"/>
        <v/>
      </c>
      <c r="W29" s="88" t="str">
        <f t="shared" si="8"/>
        <v/>
      </c>
      <c r="X29" s="89" t="str">
        <f t="shared" si="13"/>
        <v/>
      </c>
      <c r="Y29" s="90" t="str">
        <f t="shared" si="14"/>
        <v/>
      </c>
      <c r="Z29" s="91" t="str">
        <f t="shared" si="9"/>
        <v/>
      </c>
      <c r="AB29" s="6"/>
      <c r="AC29" s="6"/>
      <c r="AD29" s="6"/>
      <c r="AE29" s="6"/>
      <c r="AR29" s="48"/>
      <c r="AT29" s="41" t="e">
        <f t="shared" si="10"/>
        <v>#DIV/0!</v>
      </c>
      <c r="AU29" s="41" t="e">
        <f t="shared" si="11"/>
        <v>#DIV/0!</v>
      </c>
      <c r="AV29" s="41" t="e">
        <f t="shared" si="12"/>
        <v>#DIV/0!</v>
      </c>
      <c r="AX29" s="6"/>
    </row>
    <row r="30" spans="1:50" ht="18" customHeight="1">
      <c r="A30" s="168">
        <f>INPUT!A29</f>
        <v>0</v>
      </c>
      <c r="B30" s="168">
        <f>INPUT!B29</f>
        <v>0</v>
      </c>
      <c r="C30" s="168">
        <f>INPUT!C29</f>
        <v>0</v>
      </c>
      <c r="D30" s="85"/>
      <c r="E30" s="86"/>
      <c r="F30" s="86"/>
      <c r="G30" s="86"/>
      <c r="H30" s="86"/>
      <c r="I30" s="87" t="str">
        <f t="shared" si="0"/>
        <v/>
      </c>
      <c r="J30" s="55" t="str">
        <f t="shared" si="1"/>
        <v/>
      </c>
      <c r="K30" s="88" t="str">
        <f t="shared" si="2"/>
        <v/>
      </c>
      <c r="L30" s="85"/>
      <c r="M30" s="86"/>
      <c r="N30" s="86"/>
      <c r="O30" s="87" t="str">
        <f t="shared" si="3"/>
        <v/>
      </c>
      <c r="P30" s="55" t="str">
        <f t="shared" si="4"/>
        <v/>
      </c>
      <c r="Q30" s="88" t="str">
        <f t="shared" si="5"/>
        <v/>
      </c>
      <c r="R30" s="85"/>
      <c r="S30" s="86"/>
      <c r="T30" s="86"/>
      <c r="U30" s="87" t="str">
        <f t="shared" si="6"/>
        <v/>
      </c>
      <c r="V30" s="55" t="str">
        <f t="shared" si="7"/>
        <v/>
      </c>
      <c r="W30" s="88" t="str">
        <f t="shared" si="8"/>
        <v/>
      </c>
      <c r="X30" s="89" t="str">
        <f t="shared" si="13"/>
        <v/>
      </c>
      <c r="Y30" s="90" t="str">
        <f t="shared" si="14"/>
        <v/>
      </c>
      <c r="Z30" s="91" t="str">
        <f t="shared" si="9"/>
        <v/>
      </c>
      <c r="AB30" s="97" t="s">
        <v>32</v>
      </c>
      <c r="AC30" s="92" t="s">
        <v>67</v>
      </c>
      <c r="AD30" s="92" t="s">
        <v>65</v>
      </c>
      <c r="AE30" s="92" t="s">
        <v>66</v>
      </c>
      <c r="AR30" s="48"/>
      <c r="AT30" s="41" t="e">
        <f t="shared" si="10"/>
        <v>#DIV/0!</v>
      </c>
      <c r="AU30" s="41" t="e">
        <f t="shared" si="11"/>
        <v>#DIV/0!</v>
      </c>
      <c r="AV30" s="41" t="e">
        <f t="shared" si="12"/>
        <v>#DIV/0!</v>
      </c>
      <c r="AX30" s="6"/>
    </row>
    <row r="31" spans="1:50" ht="18" customHeight="1">
      <c r="A31" s="168">
        <f>INPUT!A30</f>
        <v>0</v>
      </c>
      <c r="B31" s="168">
        <f>INPUT!B30</f>
        <v>0</v>
      </c>
      <c r="C31" s="168">
        <f>INPUT!C30</f>
        <v>0</v>
      </c>
      <c r="D31" s="85"/>
      <c r="E31" s="86"/>
      <c r="F31" s="86"/>
      <c r="G31" s="86"/>
      <c r="H31" s="86"/>
      <c r="I31" s="87" t="str">
        <f t="shared" si="0"/>
        <v/>
      </c>
      <c r="J31" s="55" t="str">
        <f t="shared" si="1"/>
        <v/>
      </c>
      <c r="K31" s="88" t="str">
        <f t="shared" si="2"/>
        <v/>
      </c>
      <c r="L31" s="85"/>
      <c r="M31" s="86"/>
      <c r="N31" s="86"/>
      <c r="O31" s="87" t="str">
        <f t="shared" si="3"/>
        <v/>
      </c>
      <c r="P31" s="55" t="str">
        <f t="shared" si="4"/>
        <v/>
      </c>
      <c r="Q31" s="88" t="str">
        <f t="shared" si="5"/>
        <v/>
      </c>
      <c r="R31" s="85"/>
      <c r="S31" s="86"/>
      <c r="T31" s="86"/>
      <c r="U31" s="87" t="str">
        <f t="shared" si="6"/>
        <v/>
      </c>
      <c r="V31" s="55" t="str">
        <f t="shared" si="7"/>
        <v/>
      </c>
      <c r="W31" s="88" t="str">
        <f t="shared" si="8"/>
        <v/>
      </c>
      <c r="X31" s="89" t="str">
        <f t="shared" si="13"/>
        <v/>
      </c>
      <c r="Y31" s="90" t="str">
        <f t="shared" si="14"/>
        <v/>
      </c>
      <c r="Z31" s="91" t="str">
        <f t="shared" si="9"/>
        <v/>
      </c>
      <c r="AB31" s="98" t="s">
        <v>33</v>
      </c>
      <c r="AC31" s="104" t="str">
        <f>IF(COUNTA(R13:R113)=0,"",MAX(R13:R113))</f>
        <v/>
      </c>
      <c r="AD31" s="104" t="str">
        <f>IF(COUNTA(S13:S113)=0,"",MAX(S13:S113))</f>
        <v/>
      </c>
      <c r="AE31" s="104" t="str">
        <f>IF(COUNTA(T13:T113)=0,"",MAX(T13:T113))</f>
        <v/>
      </c>
      <c r="AR31" s="48"/>
      <c r="AT31" s="41" t="e">
        <f t="shared" si="10"/>
        <v>#DIV/0!</v>
      </c>
      <c r="AU31" s="41" t="e">
        <f t="shared" si="11"/>
        <v>#DIV/0!</v>
      </c>
      <c r="AV31" s="41" t="e">
        <f t="shared" si="12"/>
        <v>#DIV/0!</v>
      </c>
      <c r="AX31" s="6"/>
    </row>
    <row r="32" spans="1:50" ht="18" customHeight="1">
      <c r="A32" s="168">
        <f>INPUT!A31</f>
        <v>0</v>
      </c>
      <c r="B32" s="168">
        <f>INPUT!B31</f>
        <v>0</v>
      </c>
      <c r="C32" s="168">
        <f>INPUT!C31</f>
        <v>0</v>
      </c>
      <c r="D32" s="85"/>
      <c r="E32" s="86"/>
      <c r="F32" s="86"/>
      <c r="G32" s="86"/>
      <c r="H32" s="86"/>
      <c r="I32" s="87" t="str">
        <f t="shared" si="0"/>
        <v/>
      </c>
      <c r="J32" s="55" t="str">
        <f t="shared" si="1"/>
        <v/>
      </c>
      <c r="K32" s="88" t="str">
        <f t="shared" si="2"/>
        <v/>
      </c>
      <c r="L32" s="85"/>
      <c r="M32" s="86"/>
      <c r="N32" s="86"/>
      <c r="O32" s="87" t="str">
        <f t="shared" si="3"/>
        <v/>
      </c>
      <c r="P32" s="55" t="str">
        <f t="shared" si="4"/>
        <v/>
      </c>
      <c r="Q32" s="88" t="str">
        <f t="shared" si="5"/>
        <v/>
      </c>
      <c r="R32" s="85"/>
      <c r="S32" s="86"/>
      <c r="T32" s="86"/>
      <c r="U32" s="87" t="str">
        <f t="shared" si="6"/>
        <v/>
      </c>
      <c r="V32" s="55" t="str">
        <f t="shared" si="7"/>
        <v/>
      </c>
      <c r="W32" s="88" t="str">
        <f t="shared" si="8"/>
        <v/>
      </c>
      <c r="X32" s="89" t="str">
        <f t="shared" si="13"/>
        <v/>
      </c>
      <c r="Y32" s="90" t="str">
        <f t="shared" si="14"/>
        <v/>
      </c>
      <c r="Z32" s="91" t="str">
        <f t="shared" si="9"/>
        <v/>
      </c>
      <c r="AB32" s="98" t="s">
        <v>34</v>
      </c>
      <c r="AC32" s="104" t="str">
        <f>IF(COUNTA(R13:R113)=0,"",MIN(R13:R113))</f>
        <v/>
      </c>
      <c r="AD32" s="104" t="str">
        <f>IF(COUNTA(S13:S113)=0,"",MIN(S13:S113))</f>
        <v/>
      </c>
      <c r="AE32" s="104" t="str">
        <f>IF(COUNTA(T13:T113)=0,"",MIN(T13:T113))</f>
        <v/>
      </c>
      <c r="AR32" s="48"/>
      <c r="AT32" s="41" t="e">
        <f t="shared" si="10"/>
        <v>#DIV/0!</v>
      </c>
      <c r="AU32" s="41" t="e">
        <f t="shared" si="11"/>
        <v>#DIV/0!</v>
      </c>
      <c r="AV32" s="41" t="e">
        <f t="shared" si="12"/>
        <v>#DIV/0!</v>
      </c>
      <c r="AX32" s="6"/>
    </row>
    <row r="33" spans="1:50" ht="18" customHeight="1">
      <c r="A33" s="168">
        <f>INPUT!A32</f>
        <v>0</v>
      </c>
      <c r="B33" s="168">
        <f>INPUT!B32</f>
        <v>0</v>
      </c>
      <c r="C33" s="168">
        <f>INPUT!C32</f>
        <v>0</v>
      </c>
      <c r="D33" s="85"/>
      <c r="E33" s="86"/>
      <c r="F33" s="86"/>
      <c r="G33" s="86"/>
      <c r="H33" s="86"/>
      <c r="I33" s="87" t="str">
        <f t="shared" si="0"/>
        <v/>
      </c>
      <c r="J33" s="55" t="str">
        <f t="shared" si="1"/>
        <v/>
      </c>
      <c r="K33" s="88" t="str">
        <f t="shared" si="2"/>
        <v/>
      </c>
      <c r="L33" s="85"/>
      <c r="M33" s="86"/>
      <c r="N33" s="86"/>
      <c r="O33" s="87" t="str">
        <f t="shared" si="3"/>
        <v/>
      </c>
      <c r="P33" s="55" t="str">
        <f t="shared" si="4"/>
        <v/>
      </c>
      <c r="Q33" s="88" t="str">
        <f t="shared" si="5"/>
        <v/>
      </c>
      <c r="R33" s="85"/>
      <c r="S33" s="86"/>
      <c r="T33" s="86"/>
      <c r="U33" s="87" t="str">
        <f t="shared" si="6"/>
        <v/>
      </c>
      <c r="V33" s="55" t="str">
        <f t="shared" si="7"/>
        <v/>
      </c>
      <c r="W33" s="88" t="str">
        <f t="shared" si="8"/>
        <v/>
      </c>
      <c r="X33" s="89" t="str">
        <f t="shared" si="13"/>
        <v/>
      </c>
      <c r="Y33" s="90" t="str">
        <f t="shared" si="14"/>
        <v/>
      </c>
      <c r="Z33" s="91" t="str">
        <f t="shared" si="9"/>
        <v/>
      </c>
      <c r="AB33" s="98" t="s">
        <v>35</v>
      </c>
      <c r="AC33" s="104" t="str">
        <f>IF(COUNTA(R13:R113)=0,"",SUM(R13:R113))</f>
        <v/>
      </c>
      <c r="AD33" s="104" t="str">
        <f>IF(COUNTA(S13:S113)=0,"",SUM(S13:S113))</f>
        <v/>
      </c>
      <c r="AE33" s="104" t="str">
        <f>IF(COUNTA(T13:T113)=0,"",SUM(T13:T113))</f>
        <v/>
      </c>
      <c r="AR33" s="48"/>
      <c r="AT33" s="41" t="e">
        <f t="shared" si="10"/>
        <v>#DIV/0!</v>
      </c>
      <c r="AU33" s="41" t="e">
        <f t="shared" si="11"/>
        <v>#DIV/0!</v>
      </c>
      <c r="AV33" s="41" t="e">
        <f t="shared" si="12"/>
        <v>#DIV/0!</v>
      </c>
      <c r="AX33" s="6"/>
    </row>
    <row r="34" spans="1:50" ht="18" customHeight="1">
      <c r="A34" s="168">
        <f>INPUT!A33</f>
        <v>0</v>
      </c>
      <c r="B34" s="168">
        <f>INPUT!B33</f>
        <v>0</v>
      </c>
      <c r="C34" s="168">
        <f>INPUT!C33</f>
        <v>0</v>
      </c>
      <c r="D34" s="85"/>
      <c r="E34" s="86"/>
      <c r="F34" s="86"/>
      <c r="G34" s="86"/>
      <c r="H34" s="86"/>
      <c r="I34" s="87" t="str">
        <f t="shared" si="0"/>
        <v/>
      </c>
      <c r="J34" s="55" t="str">
        <f t="shared" si="1"/>
        <v/>
      </c>
      <c r="K34" s="88" t="str">
        <f t="shared" si="2"/>
        <v/>
      </c>
      <c r="L34" s="85"/>
      <c r="M34" s="86"/>
      <c r="N34" s="86"/>
      <c r="O34" s="87" t="str">
        <f t="shared" si="3"/>
        <v/>
      </c>
      <c r="P34" s="55" t="str">
        <f t="shared" si="4"/>
        <v/>
      </c>
      <c r="Q34" s="88" t="str">
        <f t="shared" si="5"/>
        <v/>
      </c>
      <c r="R34" s="85"/>
      <c r="S34" s="86"/>
      <c r="T34" s="86"/>
      <c r="U34" s="87" t="str">
        <f t="shared" si="6"/>
        <v/>
      </c>
      <c r="V34" s="55" t="str">
        <f t="shared" si="7"/>
        <v/>
      </c>
      <c r="W34" s="88" t="str">
        <f t="shared" si="8"/>
        <v/>
      </c>
      <c r="X34" s="89" t="str">
        <f t="shared" si="13"/>
        <v/>
      </c>
      <c r="Y34" s="90" t="str">
        <f t="shared" si="14"/>
        <v/>
      </c>
      <c r="Z34" s="91" t="str">
        <f t="shared" si="9"/>
        <v/>
      </c>
      <c r="AB34" s="2"/>
      <c r="AC34" s="1"/>
      <c r="AE34" s="1"/>
      <c r="AF34" s="1"/>
      <c r="AG34" s="1"/>
      <c r="AH34" s="1"/>
      <c r="AI34" s="1"/>
      <c r="AJ34" s="1"/>
      <c r="AK34" s="1"/>
      <c r="AL34" s="1"/>
      <c r="AM34" s="1"/>
      <c r="AN34" s="1"/>
      <c r="AO34" s="1"/>
      <c r="AP34" s="1"/>
      <c r="AQ34" s="1"/>
      <c r="AR34" s="1"/>
      <c r="AS34" s="6"/>
      <c r="AT34" s="41" t="e">
        <f t="shared" si="10"/>
        <v>#DIV/0!</v>
      </c>
      <c r="AU34" s="41" t="e">
        <f t="shared" si="11"/>
        <v>#DIV/0!</v>
      </c>
      <c r="AV34" s="41" t="e">
        <f t="shared" si="12"/>
        <v>#DIV/0!</v>
      </c>
      <c r="AX34" s="6"/>
    </row>
    <row r="35" spans="1:50" ht="18" customHeight="1">
      <c r="A35" s="168">
        <f>INPUT!A34</f>
        <v>0</v>
      </c>
      <c r="B35" s="168">
        <f>INPUT!B34</f>
        <v>0</v>
      </c>
      <c r="C35" s="168">
        <f>INPUT!C34</f>
        <v>0</v>
      </c>
      <c r="D35" s="85"/>
      <c r="E35" s="86"/>
      <c r="F35" s="86"/>
      <c r="G35" s="86"/>
      <c r="H35" s="86"/>
      <c r="I35" s="87" t="str">
        <f t="shared" si="0"/>
        <v/>
      </c>
      <c r="J35" s="55" t="str">
        <f t="shared" si="1"/>
        <v/>
      </c>
      <c r="K35" s="88" t="str">
        <f t="shared" si="2"/>
        <v/>
      </c>
      <c r="L35" s="85"/>
      <c r="M35" s="86"/>
      <c r="N35" s="86"/>
      <c r="O35" s="87" t="str">
        <f t="shared" si="3"/>
        <v/>
      </c>
      <c r="P35" s="55" t="str">
        <f t="shared" si="4"/>
        <v/>
      </c>
      <c r="Q35" s="88" t="str">
        <f t="shared" si="5"/>
        <v/>
      </c>
      <c r="R35" s="85"/>
      <c r="S35" s="86"/>
      <c r="T35" s="86"/>
      <c r="U35" s="87" t="str">
        <f t="shared" si="6"/>
        <v/>
      </c>
      <c r="V35" s="55" t="str">
        <f t="shared" si="7"/>
        <v/>
      </c>
      <c r="W35" s="88" t="str">
        <f t="shared" si="8"/>
        <v/>
      </c>
      <c r="X35" s="89" t="str">
        <f t="shared" si="13"/>
        <v/>
      </c>
      <c r="Y35" s="90" t="str">
        <f t="shared" si="14"/>
        <v/>
      </c>
      <c r="Z35" s="91" t="str">
        <f t="shared" si="9"/>
        <v/>
      </c>
      <c r="AB35" s="2"/>
      <c r="AC35" s="1"/>
      <c r="AE35" s="1"/>
      <c r="AF35" s="1"/>
      <c r="AG35" s="1"/>
      <c r="AH35" s="1"/>
      <c r="AI35" s="1"/>
      <c r="AJ35" s="1"/>
      <c r="AK35" s="1"/>
      <c r="AL35" s="1"/>
      <c r="AM35" s="1"/>
      <c r="AN35" s="1"/>
      <c r="AO35" s="1"/>
      <c r="AP35" s="1"/>
      <c r="AQ35" s="1"/>
      <c r="AR35" s="1"/>
      <c r="AS35" s="6"/>
      <c r="AT35" s="41" t="e">
        <f t="shared" si="10"/>
        <v>#DIV/0!</v>
      </c>
      <c r="AU35" s="41" t="e">
        <f t="shared" si="11"/>
        <v>#DIV/0!</v>
      </c>
      <c r="AV35" s="41" t="e">
        <f t="shared" si="12"/>
        <v>#DIV/0!</v>
      </c>
      <c r="AX35" s="6"/>
    </row>
    <row r="36" spans="1:50" ht="18" customHeight="1">
      <c r="A36" s="168">
        <f>INPUT!A35</f>
        <v>0</v>
      </c>
      <c r="B36" s="168">
        <f>INPUT!B35</f>
        <v>0</v>
      </c>
      <c r="C36" s="168">
        <f>INPUT!C35</f>
        <v>0</v>
      </c>
      <c r="D36" s="85"/>
      <c r="E36" s="86"/>
      <c r="F36" s="86"/>
      <c r="G36" s="86"/>
      <c r="H36" s="86"/>
      <c r="I36" s="87" t="str">
        <f t="shared" si="0"/>
        <v/>
      </c>
      <c r="J36" s="55" t="str">
        <f t="shared" si="1"/>
        <v/>
      </c>
      <c r="K36" s="88" t="str">
        <f t="shared" si="2"/>
        <v/>
      </c>
      <c r="L36" s="85"/>
      <c r="M36" s="86"/>
      <c r="N36" s="86"/>
      <c r="O36" s="87" t="str">
        <f t="shared" si="3"/>
        <v/>
      </c>
      <c r="P36" s="55" t="str">
        <f t="shared" si="4"/>
        <v/>
      </c>
      <c r="Q36" s="88" t="str">
        <f t="shared" si="5"/>
        <v/>
      </c>
      <c r="R36" s="85"/>
      <c r="S36" s="86"/>
      <c r="T36" s="86"/>
      <c r="U36" s="87" t="str">
        <f t="shared" si="6"/>
        <v/>
      </c>
      <c r="V36" s="55" t="str">
        <f t="shared" si="7"/>
        <v/>
      </c>
      <c r="W36" s="88" t="str">
        <f t="shared" si="8"/>
        <v/>
      </c>
      <c r="X36" s="89" t="str">
        <f t="shared" si="13"/>
        <v/>
      </c>
      <c r="Y36" s="90" t="str">
        <f t="shared" si="14"/>
        <v/>
      </c>
      <c r="Z36" s="91" t="str">
        <f t="shared" si="9"/>
        <v/>
      </c>
      <c r="AB36" s="2"/>
      <c r="AC36" s="1"/>
      <c r="AE36" s="1"/>
      <c r="AF36" s="1"/>
      <c r="AG36" s="1"/>
      <c r="AH36" s="1"/>
      <c r="AI36" s="1"/>
      <c r="AJ36" s="1"/>
      <c r="AK36" s="1"/>
      <c r="AL36" s="1"/>
      <c r="AM36" s="1"/>
      <c r="AN36" s="1"/>
      <c r="AO36" s="1"/>
      <c r="AP36" s="1"/>
      <c r="AQ36" s="1"/>
      <c r="AR36" s="1"/>
      <c r="AS36" s="6"/>
      <c r="AT36" s="41" t="e">
        <f t="shared" si="10"/>
        <v>#DIV/0!</v>
      </c>
      <c r="AU36" s="41" t="e">
        <f t="shared" si="11"/>
        <v>#DIV/0!</v>
      </c>
      <c r="AV36" s="41" t="e">
        <f t="shared" si="12"/>
        <v>#DIV/0!</v>
      </c>
      <c r="AX36" s="6"/>
    </row>
    <row r="37" spans="1:50" ht="18" customHeight="1">
      <c r="A37" s="168">
        <f>INPUT!A36</f>
        <v>0</v>
      </c>
      <c r="B37" s="168">
        <f>INPUT!B36</f>
        <v>0</v>
      </c>
      <c r="C37" s="168">
        <f>INPUT!C36</f>
        <v>0</v>
      </c>
      <c r="D37" s="85"/>
      <c r="E37" s="86"/>
      <c r="F37" s="86"/>
      <c r="G37" s="86"/>
      <c r="H37" s="86"/>
      <c r="I37" s="87" t="str">
        <f t="shared" si="0"/>
        <v/>
      </c>
      <c r="J37" s="55" t="str">
        <f t="shared" si="1"/>
        <v/>
      </c>
      <c r="K37" s="88" t="str">
        <f t="shared" si="2"/>
        <v/>
      </c>
      <c r="L37" s="85"/>
      <c r="M37" s="86"/>
      <c r="N37" s="86"/>
      <c r="O37" s="87" t="str">
        <f t="shared" si="3"/>
        <v/>
      </c>
      <c r="P37" s="55" t="str">
        <f t="shared" si="4"/>
        <v/>
      </c>
      <c r="Q37" s="88" t="str">
        <f t="shared" si="5"/>
        <v/>
      </c>
      <c r="R37" s="85"/>
      <c r="S37" s="86"/>
      <c r="T37" s="86"/>
      <c r="U37" s="87" t="str">
        <f t="shared" si="6"/>
        <v/>
      </c>
      <c r="V37" s="55" t="str">
        <f t="shared" si="7"/>
        <v/>
      </c>
      <c r="W37" s="88" t="str">
        <f t="shared" si="8"/>
        <v/>
      </c>
      <c r="X37" s="89" t="str">
        <f t="shared" si="13"/>
        <v/>
      </c>
      <c r="Y37" s="90" t="str">
        <f t="shared" si="14"/>
        <v/>
      </c>
      <c r="Z37" s="91" t="str">
        <f t="shared" si="9"/>
        <v/>
      </c>
      <c r="AB37" s="2"/>
      <c r="AC37" s="1"/>
      <c r="AE37" s="1"/>
      <c r="AF37" s="1"/>
      <c r="AG37" s="1"/>
      <c r="AH37" s="1"/>
      <c r="AI37" s="1"/>
      <c r="AJ37" s="1"/>
      <c r="AK37" s="1"/>
      <c r="AL37" s="1"/>
      <c r="AM37" s="1"/>
      <c r="AN37" s="1"/>
      <c r="AO37" s="1"/>
      <c r="AP37" s="1"/>
      <c r="AQ37" s="1"/>
      <c r="AR37" s="1"/>
      <c r="AS37" s="6"/>
      <c r="AT37" s="41" t="e">
        <f t="shared" si="10"/>
        <v>#DIV/0!</v>
      </c>
      <c r="AU37" s="41" t="e">
        <f t="shared" si="11"/>
        <v>#DIV/0!</v>
      </c>
      <c r="AV37" s="41" t="e">
        <f t="shared" si="12"/>
        <v>#DIV/0!</v>
      </c>
      <c r="AX37" s="6"/>
    </row>
    <row r="38" spans="1:50" ht="18" customHeight="1">
      <c r="A38" s="168">
        <f>INPUT!A37</f>
        <v>0</v>
      </c>
      <c r="B38" s="168">
        <f>INPUT!B37</f>
        <v>0</v>
      </c>
      <c r="C38" s="168">
        <f>INPUT!C37</f>
        <v>0</v>
      </c>
      <c r="D38" s="85"/>
      <c r="E38" s="86"/>
      <c r="F38" s="86"/>
      <c r="G38" s="86"/>
      <c r="H38" s="86"/>
      <c r="I38" s="87" t="str">
        <f t="shared" si="0"/>
        <v/>
      </c>
      <c r="J38" s="55" t="str">
        <f t="shared" si="1"/>
        <v/>
      </c>
      <c r="K38" s="88" t="str">
        <f t="shared" si="2"/>
        <v/>
      </c>
      <c r="L38" s="85"/>
      <c r="M38" s="86"/>
      <c r="N38" s="86"/>
      <c r="O38" s="87" t="str">
        <f t="shared" si="3"/>
        <v/>
      </c>
      <c r="P38" s="55" t="str">
        <f t="shared" si="4"/>
        <v/>
      </c>
      <c r="Q38" s="88" t="str">
        <f t="shared" si="5"/>
        <v/>
      </c>
      <c r="R38" s="85"/>
      <c r="S38" s="86"/>
      <c r="T38" s="86"/>
      <c r="U38" s="87" t="str">
        <f t="shared" si="6"/>
        <v/>
      </c>
      <c r="V38" s="55" t="str">
        <f t="shared" si="7"/>
        <v/>
      </c>
      <c r="W38" s="88" t="str">
        <f t="shared" si="8"/>
        <v/>
      </c>
      <c r="X38" s="89" t="str">
        <f t="shared" si="13"/>
        <v/>
      </c>
      <c r="Y38" s="90" t="str">
        <f t="shared" si="14"/>
        <v/>
      </c>
      <c r="Z38" s="91" t="str">
        <f t="shared" si="9"/>
        <v/>
      </c>
      <c r="AB38" s="2"/>
      <c r="AC38" s="1"/>
      <c r="AE38" s="1"/>
      <c r="AF38" s="1"/>
      <c r="AG38" s="1"/>
      <c r="AH38" s="1"/>
      <c r="AI38" s="1"/>
      <c r="AJ38" s="1"/>
      <c r="AK38" s="1"/>
      <c r="AL38" s="1"/>
      <c r="AM38" s="1"/>
      <c r="AN38" s="1"/>
      <c r="AO38" s="1"/>
      <c r="AP38" s="1"/>
      <c r="AQ38" s="1"/>
      <c r="AR38" s="1"/>
      <c r="AS38" s="6"/>
      <c r="AT38" s="41" t="e">
        <f t="shared" si="10"/>
        <v>#DIV/0!</v>
      </c>
      <c r="AU38" s="41" t="e">
        <f t="shared" si="11"/>
        <v>#DIV/0!</v>
      </c>
      <c r="AV38" s="41" t="e">
        <f t="shared" si="12"/>
        <v>#DIV/0!</v>
      </c>
      <c r="AX38" s="6"/>
    </row>
    <row r="39" spans="1:50" ht="18" customHeight="1">
      <c r="A39" s="168">
        <f>INPUT!A38</f>
        <v>0</v>
      </c>
      <c r="B39" s="168">
        <f>INPUT!B38</f>
        <v>0</v>
      </c>
      <c r="C39" s="168">
        <f>INPUT!C38</f>
        <v>0</v>
      </c>
      <c r="D39" s="85"/>
      <c r="E39" s="86"/>
      <c r="F39" s="86"/>
      <c r="G39" s="86"/>
      <c r="H39" s="86"/>
      <c r="I39" s="87" t="str">
        <f t="shared" si="0"/>
        <v/>
      </c>
      <c r="J39" s="55" t="str">
        <f t="shared" si="1"/>
        <v/>
      </c>
      <c r="K39" s="88" t="str">
        <f t="shared" si="2"/>
        <v/>
      </c>
      <c r="L39" s="85"/>
      <c r="M39" s="86"/>
      <c r="N39" s="86"/>
      <c r="O39" s="87" t="str">
        <f t="shared" si="3"/>
        <v/>
      </c>
      <c r="P39" s="55" t="str">
        <f t="shared" si="4"/>
        <v/>
      </c>
      <c r="Q39" s="88" t="str">
        <f t="shared" si="5"/>
        <v/>
      </c>
      <c r="R39" s="85"/>
      <c r="S39" s="86"/>
      <c r="T39" s="86"/>
      <c r="U39" s="87" t="str">
        <f t="shared" si="6"/>
        <v/>
      </c>
      <c r="V39" s="55" t="str">
        <f t="shared" si="7"/>
        <v/>
      </c>
      <c r="W39" s="88" t="str">
        <f t="shared" si="8"/>
        <v/>
      </c>
      <c r="X39" s="89" t="str">
        <f t="shared" si="13"/>
        <v/>
      </c>
      <c r="Y39" s="90" t="str">
        <f t="shared" si="14"/>
        <v/>
      </c>
      <c r="Z39" s="91" t="str">
        <f t="shared" si="9"/>
        <v/>
      </c>
      <c r="AB39" s="2"/>
      <c r="AC39" s="1"/>
      <c r="AE39" s="1"/>
      <c r="AF39" s="1"/>
      <c r="AG39" s="1"/>
      <c r="AH39" s="1"/>
      <c r="AI39" s="1"/>
      <c r="AJ39" s="1"/>
      <c r="AK39" s="1"/>
      <c r="AL39" s="1"/>
      <c r="AM39" s="1"/>
      <c r="AN39" s="1"/>
      <c r="AO39" s="1"/>
      <c r="AP39" s="1"/>
      <c r="AQ39" s="1"/>
      <c r="AR39" s="1"/>
      <c r="AS39" s="6"/>
      <c r="AT39" s="41" t="e">
        <f t="shared" si="10"/>
        <v>#DIV/0!</v>
      </c>
      <c r="AU39" s="41" t="e">
        <f t="shared" si="11"/>
        <v>#DIV/0!</v>
      </c>
      <c r="AV39" s="41" t="e">
        <f t="shared" si="12"/>
        <v>#DIV/0!</v>
      </c>
      <c r="AX39" s="6"/>
    </row>
    <row r="40" spans="1:50" ht="18" customHeight="1">
      <c r="A40" s="168">
        <f>INPUT!A39</f>
        <v>0</v>
      </c>
      <c r="B40" s="168">
        <f>INPUT!B39</f>
        <v>0</v>
      </c>
      <c r="C40" s="168">
        <f>INPUT!C39</f>
        <v>0</v>
      </c>
      <c r="D40" s="85"/>
      <c r="E40" s="86"/>
      <c r="F40" s="86"/>
      <c r="G40" s="86"/>
      <c r="H40" s="86"/>
      <c r="I40" s="87" t="str">
        <f t="shared" si="0"/>
        <v/>
      </c>
      <c r="J40" s="55" t="str">
        <f t="shared" si="1"/>
        <v/>
      </c>
      <c r="K40" s="88" t="str">
        <f t="shared" si="2"/>
        <v/>
      </c>
      <c r="L40" s="85"/>
      <c r="M40" s="86"/>
      <c r="N40" s="86"/>
      <c r="O40" s="87" t="str">
        <f t="shared" si="3"/>
        <v/>
      </c>
      <c r="P40" s="55" t="str">
        <f t="shared" si="4"/>
        <v/>
      </c>
      <c r="Q40" s="88" t="str">
        <f t="shared" si="5"/>
        <v/>
      </c>
      <c r="R40" s="85"/>
      <c r="S40" s="86"/>
      <c r="T40" s="86"/>
      <c r="U40" s="87" t="str">
        <f t="shared" si="6"/>
        <v/>
      </c>
      <c r="V40" s="55" t="str">
        <f t="shared" si="7"/>
        <v/>
      </c>
      <c r="W40" s="88" t="str">
        <f t="shared" si="8"/>
        <v/>
      </c>
      <c r="X40" s="89" t="str">
        <f t="shared" si="13"/>
        <v/>
      </c>
      <c r="Y40" s="90" t="str">
        <f t="shared" si="14"/>
        <v/>
      </c>
      <c r="Z40" s="91" t="str">
        <f t="shared" si="9"/>
        <v/>
      </c>
      <c r="AB40" s="2"/>
      <c r="AC40" s="1"/>
      <c r="AE40" s="1"/>
      <c r="AF40" s="1"/>
      <c r="AG40" s="1"/>
      <c r="AH40" s="1"/>
      <c r="AI40" s="1"/>
      <c r="AJ40" s="1"/>
      <c r="AK40" s="1"/>
      <c r="AL40" s="1"/>
      <c r="AM40" s="1"/>
      <c r="AN40" s="1"/>
      <c r="AO40" s="1"/>
      <c r="AP40" s="1"/>
      <c r="AQ40" s="1"/>
      <c r="AR40" s="1"/>
      <c r="AS40" s="6"/>
      <c r="AT40" s="41" t="e">
        <f t="shared" si="10"/>
        <v>#DIV/0!</v>
      </c>
      <c r="AU40" s="41" t="e">
        <f t="shared" si="11"/>
        <v>#DIV/0!</v>
      </c>
      <c r="AV40" s="41" t="e">
        <f t="shared" si="12"/>
        <v>#DIV/0!</v>
      </c>
      <c r="AX40" s="6"/>
    </row>
    <row r="41" spans="1:50" ht="18" customHeight="1">
      <c r="A41" s="168">
        <f>INPUT!A40</f>
        <v>0</v>
      </c>
      <c r="B41" s="168">
        <f>INPUT!B40</f>
        <v>0</v>
      </c>
      <c r="C41" s="168">
        <f>INPUT!C40</f>
        <v>0</v>
      </c>
      <c r="D41" s="85"/>
      <c r="E41" s="86"/>
      <c r="F41" s="86"/>
      <c r="G41" s="86"/>
      <c r="H41" s="86"/>
      <c r="I41" s="87" t="str">
        <f t="shared" si="0"/>
        <v/>
      </c>
      <c r="J41" s="55" t="str">
        <f t="shared" si="1"/>
        <v/>
      </c>
      <c r="K41" s="88" t="str">
        <f t="shared" si="2"/>
        <v/>
      </c>
      <c r="L41" s="85"/>
      <c r="M41" s="86"/>
      <c r="N41" s="86"/>
      <c r="O41" s="87" t="str">
        <f t="shared" si="3"/>
        <v/>
      </c>
      <c r="P41" s="55" t="str">
        <f t="shared" si="4"/>
        <v/>
      </c>
      <c r="Q41" s="88" t="str">
        <f t="shared" si="5"/>
        <v/>
      </c>
      <c r="R41" s="85"/>
      <c r="S41" s="86"/>
      <c r="T41" s="86"/>
      <c r="U41" s="87" t="str">
        <f t="shared" si="6"/>
        <v/>
      </c>
      <c r="V41" s="55" t="str">
        <f t="shared" si="7"/>
        <v/>
      </c>
      <c r="W41" s="88" t="str">
        <f t="shared" si="8"/>
        <v/>
      </c>
      <c r="X41" s="89" t="str">
        <f t="shared" si="13"/>
        <v/>
      </c>
      <c r="Y41" s="90" t="str">
        <f t="shared" si="14"/>
        <v/>
      </c>
      <c r="Z41" s="91" t="str">
        <f t="shared" si="9"/>
        <v/>
      </c>
      <c r="AB41" s="2"/>
      <c r="AC41" s="1"/>
      <c r="AE41" s="1"/>
      <c r="AF41" s="1"/>
      <c r="AG41" s="1"/>
      <c r="AH41" s="1"/>
      <c r="AI41" s="1"/>
      <c r="AJ41" s="1"/>
      <c r="AK41" s="1"/>
      <c r="AL41" s="1"/>
      <c r="AM41" s="1"/>
      <c r="AN41" s="1"/>
      <c r="AO41" s="1"/>
      <c r="AP41" s="1"/>
      <c r="AQ41" s="1"/>
      <c r="AR41" s="1"/>
      <c r="AS41" s="6"/>
      <c r="AT41" s="41" t="e">
        <f t="shared" si="10"/>
        <v>#DIV/0!</v>
      </c>
      <c r="AU41" s="41" t="e">
        <f t="shared" si="11"/>
        <v>#DIV/0!</v>
      </c>
      <c r="AV41" s="41" t="e">
        <f t="shared" si="12"/>
        <v>#DIV/0!</v>
      </c>
      <c r="AX41" s="6"/>
    </row>
    <row r="42" spans="1:50" ht="18" customHeight="1">
      <c r="A42" s="168">
        <f>INPUT!A41</f>
        <v>0</v>
      </c>
      <c r="B42" s="168">
        <f>INPUT!B41</f>
        <v>0</v>
      </c>
      <c r="C42" s="168">
        <f>INPUT!C41</f>
        <v>0</v>
      </c>
      <c r="D42" s="85"/>
      <c r="E42" s="86"/>
      <c r="F42" s="86"/>
      <c r="G42" s="86"/>
      <c r="H42" s="86"/>
      <c r="I42" s="87" t="str">
        <f t="shared" si="0"/>
        <v/>
      </c>
      <c r="J42" s="55" t="str">
        <f t="shared" si="1"/>
        <v/>
      </c>
      <c r="K42" s="88" t="str">
        <f t="shared" si="2"/>
        <v/>
      </c>
      <c r="L42" s="85"/>
      <c r="M42" s="86"/>
      <c r="N42" s="86"/>
      <c r="O42" s="87" t="str">
        <f t="shared" si="3"/>
        <v/>
      </c>
      <c r="P42" s="55" t="str">
        <f t="shared" si="4"/>
        <v/>
      </c>
      <c r="Q42" s="88" t="str">
        <f t="shared" si="5"/>
        <v/>
      </c>
      <c r="R42" s="85"/>
      <c r="S42" s="86"/>
      <c r="T42" s="86"/>
      <c r="U42" s="87" t="str">
        <f t="shared" si="6"/>
        <v/>
      </c>
      <c r="V42" s="55" t="str">
        <f t="shared" si="7"/>
        <v/>
      </c>
      <c r="W42" s="88" t="str">
        <f t="shared" si="8"/>
        <v/>
      </c>
      <c r="X42" s="89" t="str">
        <f t="shared" si="13"/>
        <v/>
      </c>
      <c r="Y42" s="90" t="str">
        <f t="shared" si="14"/>
        <v/>
      </c>
      <c r="Z42" s="91" t="str">
        <f t="shared" si="9"/>
        <v/>
      </c>
      <c r="AB42" s="2"/>
      <c r="AC42" s="1"/>
      <c r="AE42" s="1"/>
      <c r="AF42" s="1"/>
      <c r="AG42" s="1"/>
      <c r="AH42" s="1"/>
      <c r="AI42" s="1"/>
      <c r="AJ42" s="1"/>
      <c r="AK42" s="1"/>
      <c r="AL42" s="1"/>
      <c r="AM42" s="1"/>
      <c r="AN42" s="1"/>
      <c r="AO42" s="1"/>
      <c r="AP42" s="1"/>
      <c r="AQ42" s="1"/>
      <c r="AR42" s="1"/>
      <c r="AS42" s="6"/>
      <c r="AT42" s="41" t="e">
        <f t="shared" si="10"/>
        <v>#DIV/0!</v>
      </c>
      <c r="AU42" s="41" t="e">
        <f t="shared" si="11"/>
        <v>#DIV/0!</v>
      </c>
      <c r="AV42" s="41" t="e">
        <f t="shared" si="12"/>
        <v>#DIV/0!</v>
      </c>
      <c r="AX42" s="6"/>
    </row>
    <row r="43" spans="1:50" ht="18" customHeight="1">
      <c r="A43" s="168">
        <f>INPUT!A42</f>
        <v>0</v>
      </c>
      <c r="B43" s="168">
        <f>INPUT!B42</f>
        <v>0</v>
      </c>
      <c r="C43" s="168">
        <f>INPUT!C42</f>
        <v>0</v>
      </c>
      <c r="D43" s="85"/>
      <c r="E43" s="86"/>
      <c r="F43" s="86"/>
      <c r="G43" s="86"/>
      <c r="H43" s="86"/>
      <c r="I43" s="87" t="str">
        <f t="shared" si="0"/>
        <v/>
      </c>
      <c r="J43" s="55" t="str">
        <f t="shared" si="1"/>
        <v/>
      </c>
      <c r="K43" s="88" t="str">
        <f t="shared" si="2"/>
        <v/>
      </c>
      <c r="L43" s="85"/>
      <c r="M43" s="86"/>
      <c r="N43" s="86"/>
      <c r="O43" s="87" t="str">
        <f t="shared" si="3"/>
        <v/>
      </c>
      <c r="P43" s="55" t="str">
        <f t="shared" si="4"/>
        <v/>
      </c>
      <c r="Q43" s="88" t="str">
        <f t="shared" si="5"/>
        <v/>
      </c>
      <c r="R43" s="85"/>
      <c r="S43" s="86"/>
      <c r="T43" s="86"/>
      <c r="U43" s="87" t="str">
        <f t="shared" si="6"/>
        <v/>
      </c>
      <c r="V43" s="55" t="str">
        <f t="shared" si="7"/>
        <v/>
      </c>
      <c r="W43" s="88" t="str">
        <f t="shared" si="8"/>
        <v/>
      </c>
      <c r="X43" s="89" t="str">
        <f t="shared" si="13"/>
        <v/>
      </c>
      <c r="Y43" s="90" t="str">
        <f t="shared" si="14"/>
        <v/>
      </c>
      <c r="Z43" s="91" t="str">
        <f t="shared" si="9"/>
        <v/>
      </c>
      <c r="AB43" s="2"/>
      <c r="AC43" s="1"/>
      <c r="AE43" s="1"/>
      <c r="AF43" s="1"/>
      <c r="AG43" s="1"/>
      <c r="AH43" s="1"/>
      <c r="AI43" s="1"/>
      <c r="AJ43" s="1"/>
      <c r="AK43" s="1"/>
      <c r="AL43" s="1"/>
      <c r="AM43" s="1"/>
      <c r="AN43" s="1"/>
      <c r="AO43" s="1"/>
      <c r="AP43" s="1"/>
      <c r="AQ43" s="1"/>
      <c r="AR43" s="1"/>
      <c r="AS43" s="6"/>
      <c r="AT43" s="41" t="e">
        <f t="shared" si="10"/>
        <v>#DIV/0!</v>
      </c>
      <c r="AU43" s="41" t="e">
        <f t="shared" si="11"/>
        <v>#DIV/0!</v>
      </c>
      <c r="AV43" s="41" t="e">
        <f t="shared" si="12"/>
        <v>#DIV/0!</v>
      </c>
      <c r="AX43" s="6"/>
    </row>
    <row r="44" spans="1:50" ht="18" customHeight="1">
      <c r="A44" s="168">
        <f>INPUT!A43</f>
        <v>0</v>
      </c>
      <c r="B44" s="168">
        <f>INPUT!B43</f>
        <v>0</v>
      </c>
      <c r="C44" s="168">
        <f>INPUT!C43</f>
        <v>0</v>
      </c>
      <c r="D44" s="85"/>
      <c r="E44" s="86"/>
      <c r="F44" s="86"/>
      <c r="G44" s="86"/>
      <c r="H44" s="86"/>
      <c r="I44" s="87" t="str">
        <f t="shared" si="0"/>
        <v/>
      </c>
      <c r="J44" s="55" t="str">
        <f t="shared" si="1"/>
        <v/>
      </c>
      <c r="K44" s="88" t="str">
        <f t="shared" si="2"/>
        <v/>
      </c>
      <c r="L44" s="85"/>
      <c r="M44" s="86"/>
      <c r="N44" s="86"/>
      <c r="O44" s="87" t="str">
        <f t="shared" si="3"/>
        <v/>
      </c>
      <c r="P44" s="55" t="str">
        <f t="shared" si="4"/>
        <v/>
      </c>
      <c r="Q44" s="88" t="str">
        <f t="shared" si="5"/>
        <v/>
      </c>
      <c r="R44" s="85"/>
      <c r="S44" s="86"/>
      <c r="T44" s="86"/>
      <c r="U44" s="87" t="str">
        <f t="shared" si="6"/>
        <v/>
      </c>
      <c r="V44" s="55" t="str">
        <f t="shared" si="7"/>
        <v/>
      </c>
      <c r="W44" s="88" t="str">
        <f t="shared" si="8"/>
        <v/>
      </c>
      <c r="X44" s="89" t="str">
        <f t="shared" si="13"/>
        <v/>
      </c>
      <c r="Y44" s="90" t="str">
        <f t="shared" si="14"/>
        <v/>
      </c>
      <c r="Z44" s="91" t="str">
        <f t="shared" si="9"/>
        <v/>
      </c>
      <c r="AB44" s="2"/>
      <c r="AC44" s="1"/>
      <c r="AE44" s="1"/>
      <c r="AF44" s="1"/>
      <c r="AG44" s="1"/>
      <c r="AH44" s="1"/>
      <c r="AI44" s="1"/>
      <c r="AJ44" s="1"/>
      <c r="AK44" s="1"/>
      <c r="AL44" s="1"/>
      <c r="AM44" s="1"/>
      <c r="AN44" s="1"/>
      <c r="AO44" s="1"/>
      <c r="AP44" s="1"/>
      <c r="AQ44" s="1"/>
      <c r="AR44" s="1"/>
      <c r="AS44" s="6"/>
      <c r="AT44" s="41" t="e">
        <f t="shared" si="10"/>
        <v>#DIV/0!</v>
      </c>
      <c r="AU44" s="41" t="e">
        <f t="shared" si="11"/>
        <v>#DIV/0!</v>
      </c>
      <c r="AV44" s="41" t="e">
        <f t="shared" si="12"/>
        <v>#DIV/0!</v>
      </c>
      <c r="AX44" s="6"/>
    </row>
    <row r="45" spans="1:50" ht="18" customHeight="1">
      <c r="A45" s="168">
        <f>INPUT!A44</f>
        <v>0</v>
      </c>
      <c r="B45" s="168">
        <f>INPUT!B44</f>
        <v>0</v>
      </c>
      <c r="C45" s="168">
        <f>INPUT!C44</f>
        <v>0</v>
      </c>
      <c r="D45" s="85"/>
      <c r="E45" s="86"/>
      <c r="F45" s="86"/>
      <c r="G45" s="86"/>
      <c r="H45" s="86"/>
      <c r="I45" s="87" t="str">
        <f t="shared" si="0"/>
        <v/>
      </c>
      <c r="J45" s="55" t="str">
        <f t="shared" si="1"/>
        <v/>
      </c>
      <c r="K45" s="88" t="str">
        <f t="shared" si="2"/>
        <v/>
      </c>
      <c r="L45" s="85"/>
      <c r="M45" s="86"/>
      <c r="N45" s="86"/>
      <c r="O45" s="87" t="str">
        <f t="shared" si="3"/>
        <v/>
      </c>
      <c r="P45" s="55" t="str">
        <f t="shared" si="4"/>
        <v/>
      </c>
      <c r="Q45" s="88" t="str">
        <f t="shared" si="5"/>
        <v/>
      </c>
      <c r="R45" s="85"/>
      <c r="S45" s="86"/>
      <c r="T45" s="86"/>
      <c r="U45" s="87" t="str">
        <f t="shared" si="6"/>
        <v/>
      </c>
      <c r="V45" s="55" t="str">
        <f t="shared" si="7"/>
        <v/>
      </c>
      <c r="W45" s="88" t="str">
        <f t="shared" si="8"/>
        <v/>
      </c>
      <c r="X45" s="89" t="str">
        <f t="shared" si="13"/>
        <v/>
      </c>
      <c r="Y45" s="90" t="str">
        <f t="shared" si="14"/>
        <v/>
      </c>
      <c r="Z45" s="91" t="str">
        <f t="shared" si="9"/>
        <v/>
      </c>
      <c r="AB45" s="2"/>
      <c r="AC45" s="1"/>
      <c r="AE45" s="1"/>
      <c r="AF45" s="1"/>
      <c r="AG45" s="1"/>
      <c r="AH45" s="1"/>
      <c r="AI45" s="1"/>
      <c r="AJ45" s="1"/>
      <c r="AK45" s="1"/>
      <c r="AL45" s="1"/>
      <c r="AM45" s="1"/>
      <c r="AN45" s="1"/>
      <c r="AO45" s="1"/>
      <c r="AP45" s="1"/>
      <c r="AQ45" s="1"/>
      <c r="AR45" s="1"/>
      <c r="AS45" s="6"/>
      <c r="AT45" s="41" t="e">
        <f t="shared" si="10"/>
        <v>#DIV/0!</v>
      </c>
      <c r="AU45" s="41" t="e">
        <f t="shared" si="11"/>
        <v>#DIV/0!</v>
      </c>
      <c r="AV45" s="41" t="e">
        <f t="shared" si="12"/>
        <v>#DIV/0!</v>
      </c>
      <c r="AX45" s="6"/>
    </row>
    <row r="46" spans="1:50" ht="18" customHeight="1">
      <c r="A46" s="168">
        <f>INPUT!A45</f>
        <v>0</v>
      </c>
      <c r="B46" s="168">
        <f>INPUT!B45</f>
        <v>0</v>
      </c>
      <c r="C46" s="168">
        <f>INPUT!C45</f>
        <v>0</v>
      </c>
      <c r="D46" s="85"/>
      <c r="E46" s="86"/>
      <c r="F46" s="86"/>
      <c r="G46" s="86"/>
      <c r="H46" s="86"/>
      <c r="I46" s="87" t="str">
        <f t="shared" si="0"/>
        <v/>
      </c>
      <c r="J46" s="55" t="str">
        <f t="shared" si="1"/>
        <v/>
      </c>
      <c r="K46" s="88" t="str">
        <f t="shared" si="2"/>
        <v/>
      </c>
      <c r="L46" s="85"/>
      <c r="M46" s="86"/>
      <c r="N46" s="86"/>
      <c r="O46" s="87" t="str">
        <f t="shared" si="3"/>
        <v/>
      </c>
      <c r="P46" s="55" t="str">
        <f t="shared" si="4"/>
        <v/>
      </c>
      <c r="Q46" s="88" t="str">
        <f t="shared" si="5"/>
        <v/>
      </c>
      <c r="R46" s="85"/>
      <c r="S46" s="86"/>
      <c r="T46" s="86"/>
      <c r="U46" s="87" t="str">
        <f t="shared" si="6"/>
        <v/>
      </c>
      <c r="V46" s="55" t="str">
        <f t="shared" si="7"/>
        <v/>
      </c>
      <c r="W46" s="88" t="str">
        <f t="shared" si="8"/>
        <v/>
      </c>
      <c r="X46" s="89" t="str">
        <f t="shared" si="13"/>
        <v/>
      </c>
      <c r="Y46" s="90" t="str">
        <f t="shared" si="14"/>
        <v/>
      </c>
      <c r="Z46" s="91" t="str">
        <f t="shared" si="9"/>
        <v/>
      </c>
      <c r="AB46" s="2"/>
      <c r="AC46" s="1"/>
      <c r="AE46" s="1"/>
      <c r="AF46" s="1"/>
      <c r="AG46" s="1"/>
      <c r="AH46" s="1"/>
      <c r="AI46" s="1"/>
      <c r="AJ46" s="1"/>
      <c r="AK46" s="1"/>
      <c r="AL46" s="1"/>
      <c r="AM46" s="1"/>
      <c r="AN46" s="1"/>
      <c r="AO46" s="1"/>
      <c r="AP46" s="1"/>
      <c r="AQ46" s="1"/>
      <c r="AR46" s="1"/>
      <c r="AS46" s="6"/>
      <c r="AT46" s="41" t="e">
        <f t="shared" si="10"/>
        <v>#DIV/0!</v>
      </c>
      <c r="AU46" s="41" t="e">
        <f t="shared" si="11"/>
        <v>#DIV/0!</v>
      </c>
      <c r="AV46" s="41" t="e">
        <f t="shared" si="12"/>
        <v>#DIV/0!</v>
      </c>
      <c r="AX46" s="6"/>
    </row>
    <row r="47" spans="1:50" ht="18" customHeight="1">
      <c r="A47" s="168">
        <f>INPUT!A46</f>
        <v>0</v>
      </c>
      <c r="B47" s="168">
        <f>INPUT!B46</f>
        <v>0</v>
      </c>
      <c r="C47" s="168">
        <f>INPUT!C46</f>
        <v>0</v>
      </c>
      <c r="D47" s="85"/>
      <c r="E47" s="86"/>
      <c r="F47" s="86"/>
      <c r="G47" s="86"/>
      <c r="H47" s="86"/>
      <c r="I47" s="87" t="str">
        <f t="shared" si="0"/>
        <v/>
      </c>
      <c r="J47" s="55" t="str">
        <f t="shared" si="1"/>
        <v/>
      </c>
      <c r="K47" s="88" t="str">
        <f t="shared" si="2"/>
        <v/>
      </c>
      <c r="L47" s="85"/>
      <c r="M47" s="86"/>
      <c r="N47" s="86"/>
      <c r="O47" s="87" t="str">
        <f t="shared" si="3"/>
        <v/>
      </c>
      <c r="P47" s="55" t="str">
        <f t="shared" si="4"/>
        <v/>
      </c>
      <c r="Q47" s="88" t="str">
        <f t="shared" si="5"/>
        <v/>
      </c>
      <c r="R47" s="85"/>
      <c r="S47" s="86"/>
      <c r="T47" s="86"/>
      <c r="U47" s="87" t="str">
        <f t="shared" si="6"/>
        <v/>
      </c>
      <c r="V47" s="55" t="str">
        <f t="shared" si="7"/>
        <v/>
      </c>
      <c r="W47" s="88" t="str">
        <f t="shared" si="8"/>
        <v/>
      </c>
      <c r="X47" s="89" t="str">
        <f t="shared" si="13"/>
        <v/>
      </c>
      <c r="Y47" s="90" t="str">
        <f t="shared" si="14"/>
        <v/>
      </c>
      <c r="Z47" s="91" t="str">
        <f t="shared" si="9"/>
        <v/>
      </c>
      <c r="AB47" s="2"/>
      <c r="AC47" s="1"/>
      <c r="AE47" s="1"/>
      <c r="AF47" s="1"/>
      <c r="AG47" s="1"/>
      <c r="AH47" s="1"/>
      <c r="AI47" s="1"/>
      <c r="AJ47" s="1"/>
      <c r="AK47" s="1"/>
      <c r="AL47" s="1"/>
      <c r="AM47" s="1"/>
      <c r="AN47" s="1"/>
      <c r="AO47" s="1"/>
      <c r="AP47" s="1"/>
      <c r="AQ47" s="1"/>
      <c r="AR47" s="1"/>
      <c r="AS47" s="6"/>
      <c r="AT47" s="41" t="e">
        <f t="shared" si="10"/>
        <v>#DIV/0!</v>
      </c>
      <c r="AU47" s="41" t="e">
        <f t="shared" si="11"/>
        <v>#DIV/0!</v>
      </c>
      <c r="AV47" s="41" t="e">
        <f t="shared" si="12"/>
        <v>#DIV/0!</v>
      </c>
      <c r="AX47" s="6"/>
    </row>
    <row r="48" spans="1:50" ht="18" customHeight="1">
      <c r="A48" s="168">
        <f>INPUT!A47</f>
        <v>0</v>
      </c>
      <c r="B48" s="168">
        <f>INPUT!B47</f>
        <v>0</v>
      </c>
      <c r="C48" s="168">
        <f>INPUT!C47</f>
        <v>0</v>
      </c>
      <c r="D48" s="85"/>
      <c r="E48" s="86"/>
      <c r="F48" s="86"/>
      <c r="G48" s="86"/>
      <c r="H48" s="86"/>
      <c r="I48" s="87" t="str">
        <f t="shared" si="0"/>
        <v/>
      </c>
      <c r="J48" s="55" t="str">
        <f t="shared" si="1"/>
        <v/>
      </c>
      <c r="K48" s="88" t="str">
        <f t="shared" si="2"/>
        <v/>
      </c>
      <c r="L48" s="85"/>
      <c r="M48" s="86"/>
      <c r="N48" s="86"/>
      <c r="O48" s="87" t="str">
        <f t="shared" si="3"/>
        <v/>
      </c>
      <c r="P48" s="55" t="str">
        <f t="shared" si="4"/>
        <v/>
      </c>
      <c r="Q48" s="88" t="str">
        <f t="shared" si="5"/>
        <v/>
      </c>
      <c r="R48" s="85"/>
      <c r="S48" s="86"/>
      <c r="T48" s="86"/>
      <c r="U48" s="87" t="str">
        <f t="shared" si="6"/>
        <v/>
      </c>
      <c r="V48" s="55" t="str">
        <f t="shared" si="7"/>
        <v/>
      </c>
      <c r="W48" s="88" t="str">
        <f t="shared" si="8"/>
        <v/>
      </c>
      <c r="X48" s="89" t="str">
        <f t="shared" si="13"/>
        <v/>
      </c>
      <c r="Y48" s="90" t="str">
        <f t="shared" si="14"/>
        <v/>
      </c>
      <c r="Z48" s="91" t="str">
        <f t="shared" si="9"/>
        <v/>
      </c>
      <c r="AB48" s="2"/>
      <c r="AC48" s="1"/>
      <c r="AE48" s="1"/>
      <c r="AF48" s="1"/>
      <c r="AG48" s="1"/>
      <c r="AH48" s="1"/>
      <c r="AI48" s="1"/>
      <c r="AJ48" s="1"/>
      <c r="AK48" s="1"/>
      <c r="AL48" s="1"/>
      <c r="AM48" s="1"/>
      <c r="AN48" s="1"/>
      <c r="AO48" s="1"/>
      <c r="AP48" s="1"/>
      <c r="AQ48" s="1"/>
      <c r="AR48" s="1"/>
      <c r="AS48" s="6"/>
      <c r="AT48" s="41" t="e">
        <f t="shared" si="10"/>
        <v>#DIV/0!</v>
      </c>
      <c r="AU48" s="41" t="e">
        <f t="shared" si="11"/>
        <v>#DIV/0!</v>
      </c>
      <c r="AV48" s="41" t="e">
        <f t="shared" si="12"/>
        <v>#DIV/0!</v>
      </c>
      <c r="AX48" s="6"/>
    </row>
    <row r="49" spans="1:50" ht="18" customHeight="1">
      <c r="A49" s="168">
        <f>INPUT!A48</f>
        <v>0</v>
      </c>
      <c r="B49" s="168">
        <f>INPUT!B48</f>
        <v>0</v>
      </c>
      <c r="C49" s="168">
        <f>INPUT!C48</f>
        <v>0</v>
      </c>
      <c r="D49" s="85"/>
      <c r="E49" s="86"/>
      <c r="F49" s="86"/>
      <c r="G49" s="86"/>
      <c r="H49" s="86"/>
      <c r="I49" s="87" t="str">
        <f t="shared" si="0"/>
        <v/>
      </c>
      <c r="J49" s="55" t="str">
        <f t="shared" si="1"/>
        <v/>
      </c>
      <c r="K49" s="88" t="str">
        <f t="shared" si="2"/>
        <v/>
      </c>
      <c r="L49" s="85"/>
      <c r="M49" s="86"/>
      <c r="N49" s="86"/>
      <c r="O49" s="87" t="str">
        <f t="shared" si="3"/>
        <v/>
      </c>
      <c r="P49" s="55" t="str">
        <f t="shared" si="4"/>
        <v/>
      </c>
      <c r="Q49" s="88" t="str">
        <f t="shared" si="5"/>
        <v/>
      </c>
      <c r="R49" s="85"/>
      <c r="S49" s="86"/>
      <c r="T49" s="86"/>
      <c r="U49" s="87" t="str">
        <f t="shared" si="6"/>
        <v/>
      </c>
      <c r="V49" s="55" t="str">
        <f t="shared" si="7"/>
        <v/>
      </c>
      <c r="W49" s="88" t="str">
        <f t="shared" si="8"/>
        <v/>
      </c>
      <c r="X49" s="89" t="str">
        <f t="shared" si="13"/>
        <v/>
      </c>
      <c r="Y49" s="90" t="str">
        <f t="shared" si="14"/>
        <v/>
      </c>
      <c r="Z49" s="91" t="str">
        <f t="shared" si="9"/>
        <v/>
      </c>
      <c r="AB49" s="2"/>
      <c r="AC49" s="1"/>
      <c r="AE49" s="1"/>
      <c r="AF49" s="1"/>
      <c r="AG49" s="1"/>
      <c r="AH49" s="1"/>
      <c r="AI49" s="1"/>
      <c r="AJ49" s="1"/>
      <c r="AK49" s="1"/>
      <c r="AL49" s="1"/>
      <c r="AM49" s="1"/>
      <c r="AN49" s="1"/>
      <c r="AO49" s="1"/>
      <c r="AP49" s="1"/>
      <c r="AQ49" s="1"/>
      <c r="AR49" s="1"/>
      <c r="AS49" s="6"/>
      <c r="AT49" s="41" t="e">
        <f t="shared" si="10"/>
        <v>#DIV/0!</v>
      </c>
      <c r="AU49" s="41" t="e">
        <f t="shared" si="11"/>
        <v>#DIV/0!</v>
      </c>
      <c r="AV49" s="41" t="e">
        <f t="shared" si="12"/>
        <v>#DIV/0!</v>
      </c>
      <c r="AX49" s="6"/>
    </row>
    <row r="50" spans="1:50" ht="18" customHeight="1">
      <c r="A50" s="168">
        <f>INPUT!A49</f>
        <v>0</v>
      </c>
      <c r="B50" s="168">
        <f>INPUT!B49</f>
        <v>0</v>
      </c>
      <c r="C50" s="168">
        <f>INPUT!C49</f>
        <v>0</v>
      </c>
      <c r="D50" s="85"/>
      <c r="E50" s="86"/>
      <c r="F50" s="86"/>
      <c r="G50" s="86"/>
      <c r="H50" s="86"/>
      <c r="I50" s="87" t="str">
        <f t="shared" si="0"/>
        <v/>
      </c>
      <c r="J50" s="55" t="str">
        <f t="shared" si="1"/>
        <v/>
      </c>
      <c r="K50" s="88" t="str">
        <f t="shared" si="2"/>
        <v/>
      </c>
      <c r="L50" s="85"/>
      <c r="M50" s="86"/>
      <c r="N50" s="86"/>
      <c r="O50" s="87" t="str">
        <f t="shared" si="3"/>
        <v/>
      </c>
      <c r="P50" s="55" t="str">
        <f t="shared" si="4"/>
        <v/>
      </c>
      <c r="Q50" s="88" t="str">
        <f t="shared" si="5"/>
        <v/>
      </c>
      <c r="R50" s="85"/>
      <c r="S50" s="86"/>
      <c r="T50" s="86"/>
      <c r="U50" s="87" t="str">
        <f t="shared" si="6"/>
        <v/>
      </c>
      <c r="V50" s="55" t="str">
        <f t="shared" si="7"/>
        <v/>
      </c>
      <c r="W50" s="88" t="str">
        <f t="shared" si="8"/>
        <v/>
      </c>
      <c r="X50" s="89" t="str">
        <f t="shared" si="13"/>
        <v/>
      </c>
      <c r="Y50" s="90" t="str">
        <f t="shared" si="14"/>
        <v/>
      </c>
      <c r="Z50" s="91" t="str">
        <f t="shared" si="9"/>
        <v/>
      </c>
      <c r="AB50" s="2"/>
      <c r="AC50" s="1"/>
      <c r="AE50" s="1"/>
      <c r="AF50" s="1"/>
      <c r="AG50" s="1"/>
      <c r="AH50" s="1"/>
      <c r="AI50" s="1"/>
      <c r="AJ50" s="1"/>
      <c r="AK50" s="1"/>
      <c r="AL50" s="1"/>
      <c r="AM50" s="1"/>
      <c r="AN50" s="1"/>
      <c r="AO50" s="1"/>
      <c r="AP50" s="1"/>
      <c r="AQ50" s="1"/>
      <c r="AR50" s="1"/>
      <c r="AS50" s="6"/>
      <c r="AT50" s="41" t="e">
        <f t="shared" si="10"/>
        <v>#DIV/0!</v>
      </c>
      <c r="AU50" s="41" t="e">
        <f t="shared" si="11"/>
        <v>#DIV/0!</v>
      </c>
      <c r="AV50" s="41" t="e">
        <f t="shared" si="12"/>
        <v>#DIV/0!</v>
      </c>
      <c r="AX50" s="6"/>
    </row>
    <row r="51" spans="1:50" ht="18" customHeight="1">
      <c r="A51" s="168">
        <f>INPUT!A50</f>
        <v>0</v>
      </c>
      <c r="B51" s="168">
        <f>INPUT!B50</f>
        <v>0</v>
      </c>
      <c r="C51" s="168">
        <f>INPUT!C50</f>
        <v>0</v>
      </c>
      <c r="D51" s="85"/>
      <c r="E51" s="86"/>
      <c r="F51" s="86"/>
      <c r="G51" s="86"/>
      <c r="H51" s="86"/>
      <c r="I51" s="87" t="str">
        <f t="shared" si="0"/>
        <v/>
      </c>
      <c r="J51" s="55" t="str">
        <f t="shared" si="1"/>
        <v/>
      </c>
      <c r="K51" s="88" t="str">
        <f t="shared" si="2"/>
        <v/>
      </c>
      <c r="L51" s="85"/>
      <c r="M51" s="86"/>
      <c r="N51" s="86"/>
      <c r="O51" s="87" t="str">
        <f t="shared" si="3"/>
        <v/>
      </c>
      <c r="P51" s="55" t="str">
        <f t="shared" si="4"/>
        <v/>
      </c>
      <c r="Q51" s="88" t="str">
        <f t="shared" si="5"/>
        <v/>
      </c>
      <c r="R51" s="85"/>
      <c r="S51" s="86"/>
      <c r="T51" s="86"/>
      <c r="U51" s="87" t="str">
        <f t="shared" si="6"/>
        <v/>
      </c>
      <c r="V51" s="55" t="str">
        <f t="shared" si="7"/>
        <v/>
      </c>
      <c r="W51" s="88" t="str">
        <f t="shared" si="8"/>
        <v/>
      </c>
      <c r="X51" s="89" t="str">
        <f t="shared" si="13"/>
        <v/>
      </c>
      <c r="Y51" s="90" t="str">
        <f t="shared" si="14"/>
        <v/>
      </c>
      <c r="Z51" s="91" t="str">
        <f t="shared" si="9"/>
        <v/>
      </c>
      <c r="AB51" s="2"/>
      <c r="AC51" s="1"/>
      <c r="AE51" s="1"/>
      <c r="AF51" s="1"/>
      <c r="AG51" s="1"/>
      <c r="AH51" s="1"/>
      <c r="AI51" s="1"/>
      <c r="AJ51" s="1"/>
      <c r="AK51" s="1"/>
      <c r="AL51" s="1"/>
      <c r="AM51" s="1"/>
      <c r="AN51" s="1"/>
      <c r="AO51" s="1"/>
      <c r="AP51" s="1"/>
      <c r="AQ51" s="1"/>
      <c r="AR51" s="1"/>
      <c r="AS51" s="6"/>
      <c r="AT51" s="41" t="e">
        <f t="shared" si="10"/>
        <v>#DIV/0!</v>
      </c>
      <c r="AU51" s="41" t="e">
        <f t="shared" si="11"/>
        <v>#DIV/0!</v>
      </c>
      <c r="AV51" s="41" t="e">
        <f t="shared" si="12"/>
        <v>#DIV/0!</v>
      </c>
      <c r="AX51" s="6"/>
    </row>
    <row r="52" spans="1:50" ht="18" customHeight="1">
      <c r="A52" s="168">
        <f>INPUT!A51</f>
        <v>0</v>
      </c>
      <c r="B52" s="168">
        <f>INPUT!B51</f>
        <v>0</v>
      </c>
      <c r="C52" s="168">
        <f>INPUT!C51</f>
        <v>0</v>
      </c>
      <c r="D52" s="85"/>
      <c r="E52" s="86"/>
      <c r="F52" s="86"/>
      <c r="G52" s="86"/>
      <c r="H52" s="86"/>
      <c r="I52" s="87" t="str">
        <f t="shared" si="0"/>
        <v/>
      </c>
      <c r="J52" s="55" t="str">
        <f t="shared" si="1"/>
        <v/>
      </c>
      <c r="K52" s="88" t="str">
        <f t="shared" si="2"/>
        <v/>
      </c>
      <c r="L52" s="85"/>
      <c r="M52" s="86"/>
      <c r="N52" s="86"/>
      <c r="O52" s="87" t="str">
        <f t="shared" si="3"/>
        <v/>
      </c>
      <c r="P52" s="55" t="str">
        <f t="shared" si="4"/>
        <v/>
      </c>
      <c r="Q52" s="88" t="str">
        <f t="shared" si="5"/>
        <v/>
      </c>
      <c r="R52" s="85"/>
      <c r="S52" s="86"/>
      <c r="T52" s="86"/>
      <c r="U52" s="87" t="str">
        <f t="shared" si="6"/>
        <v/>
      </c>
      <c r="V52" s="55" t="str">
        <f t="shared" si="7"/>
        <v/>
      </c>
      <c r="W52" s="88" t="str">
        <f t="shared" si="8"/>
        <v/>
      </c>
      <c r="X52" s="89" t="str">
        <f t="shared" si="13"/>
        <v/>
      </c>
      <c r="Y52" s="90" t="str">
        <f t="shared" si="14"/>
        <v/>
      </c>
      <c r="Z52" s="91" t="str">
        <f t="shared" si="9"/>
        <v/>
      </c>
      <c r="AB52" s="2"/>
      <c r="AC52" s="1"/>
      <c r="AE52" s="1"/>
      <c r="AF52" s="1"/>
      <c r="AG52" s="1"/>
      <c r="AH52" s="1"/>
      <c r="AI52" s="1"/>
      <c r="AJ52" s="1"/>
      <c r="AK52" s="1"/>
      <c r="AL52" s="1"/>
      <c r="AM52" s="1"/>
      <c r="AN52" s="1"/>
      <c r="AO52" s="1"/>
      <c r="AP52" s="1"/>
      <c r="AQ52" s="1"/>
      <c r="AR52" s="1"/>
      <c r="AS52" s="6"/>
      <c r="AT52" s="41" t="e">
        <f t="shared" si="10"/>
        <v>#DIV/0!</v>
      </c>
      <c r="AU52" s="41" t="e">
        <f t="shared" si="11"/>
        <v>#DIV/0!</v>
      </c>
      <c r="AV52" s="41" t="e">
        <f t="shared" si="12"/>
        <v>#DIV/0!</v>
      </c>
      <c r="AX52" s="6"/>
    </row>
    <row r="53" spans="1:50" ht="18" customHeight="1">
      <c r="A53" s="168">
        <f>INPUT!A52</f>
        <v>0</v>
      </c>
      <c r="B53" s="168">
        <f>INPUT!B52</f>
        <v>0</v>
      </c>
      <c r="C53" s="168">
        <f>INPUT!C52</f>
        <v>0</v>
      </c>
      <c r="D53" s="85"/>
      <c r="E53" s="86"/>
      <c r="F53" s="86"/>
      <c r="G53" s="86"/>
      <c r="H53" s="86"/>
      <c r="I53" s="87" t="str">
        <f t="shared" si="0"/>
        <v/>
      </c>
      <c r="J53" s="55" t="str">
        <f t="shared" si="1"/>
        <v/>
      </c>
      <c r="K53" s="88" t="str">
        <f t="shared" si="2"/>
        <v/>
      </c>
      <c r="L53" s="85"/>
      <c r="M53" s="86"/>
      <c r="N53" s="86"/>
      <c r="O53" s="87" t="str">
        <f t="shared" si="3"/>
        <v/>
      </c>
      <c r="P53" s="55" t="str">
        <f t="shared" si="4"/>
        <v/>
      </c>
      <c r="Q53" s="88" t="str">
        <f t="shared" si="5"/>
        <v/>
      </c>
      <c r="R53" s="85"/>
      <c r="S53" s="86"/>
      <c r="T53" s="86"/>
      <c r="U53" s="87" t="str">
        <f t="shared" si="6"/>
        <v/>
      </c>
      <c r="V53" s="55" t="str">
        <f t="shared" si="7"/>
        <v/>
      </c>
      <c r="W53" s="88" t="str">
        <f t="shared" si="8"/>
        <v/>
      </c>
      <c r="X53" s="89" t="str">
        <f t="shared" si="13"/>
        <v/>
      </c>
      <c r="Y53" s="90" t="str">
        <f t="shared" si="14"/>
        <v/>
      </c>
      <c r="Z53" s="91" t="str">
        <f t="shared" si="9"/>
        <v/>
      </c>
      <c r="AB53" s="2"/>
      <c r="AC53" s="1"/>
      <c r="AE53" s="1"/>
      <c r="AF53" s="1"/>
      <c r="AG53" s="1"/>
      <c r="AH53" s="1"/>
      <c r="AI53" s="1"/>
      <c r="AJ53" s="1"/>
      <c r="AK53" s="1"/>
      <c r="AL53" s="1"/>
      <c r="AM53" s="1"/>
      <c r="AN53" s="1"/>
      <c r="AO53" s="1"/>
      <c r="AP53" s="1"/>
      <c r="AQ53" s="1"/>
      <c r="AR53" s="1"/>
      <c r="AS53" s="6"/>
      <c r="AT53" s="41" t="e">
        <f t="shared" si="10"/>
        <v>#DIV/0!</v>
      </c>
      <c r="AU53" s="41" t="e">
        <f t="shared" si="11"/>
        <v>#DIV/0!</v>
      </c>
      <c r="AV53" s="41" t="e">
        <f t="shared" si="12"/>
        <v>#DIV/0!</v>
      </c>
      <c r="AX53" s="6"/>
    </row>
    <row r="54" spans="1:50" ht="18" customHeight="1">
      <c r="A54" s="168">
        <f>INPUT!A53</f>
        <v>0</v>
      </c>
      <c r="B54" s="168">
        <f>INPUT!B53</f>
        <v>0</v>
      </c>
      <c r="C54" s="168">
        <f>INPUT!C53</f>
        <v>0</v>
      </c>
      <c r="D54" s="85"/>
      <c r="E54" s="86"/>
      <c r="F54" s="86"/>
      <c r="G54" s="86"/>
      <c r="H54" s="86"/>
      <c r="I54" s="87" t="str">
        <f t="shared" si="0"/>
        <v/>
      </c>
      <c r="J54" s="55" t="str">
        <f t="shared" si="1"/>
        <v/>
      </c>
      <c r="K54" s="88" t="str">
        <f t="shared" si="2"/>
        <v/>
      </c>
      <c r="L54" s="85"/>
      <c r="M54" s="86"/>
      <c r="N54" s="86"/>
      <c r="O54" s="87" t="str">
        <f t="shared" si="3"/>
        <v/>
      </c>
      <c r="P54" s="55" t="str">
        <f t="shared" si="4"/>
        <v/>
      </c>
      <c r="Q54" s="88" t="str">
        <f t="shared" si="5"/>
        <v/>
      </c>
      <c r="R54" s="85"/>
      <c r="S54" s="86"/>
      <c r="T54" s="86"/>
      <c r="U54" s="87" t="str">
        <f t="shared" si="6"/>
        <v/>
      </c>
      <c r="V54" s="55" t="str">
        <f t="shared" si="7"/>
        <v/>
      </c>
      <c r="W54" s="88" t="str">
        <f t="shared" si="8"/>
        <v/>
      </c>
      <c r="X54" s="89" t="str">
        <f t="shared" si="13"/>
        <v/>
      </c>
      <c r="Y54" s="90" t="str">
        <f t="shared" si="14"/>
        <v/>
      </c>
      <c r="Z54" s="91" t="str">
        <f t="shared" si="9"/>
        <v/>
      </c>
      <c r="AB54" s="2"/>
      <c r="AC54" s="1"/>
      <c r="AE54" s="1"/>
      <c r="AF54" s="1"/>
      <c r="AG54" s="1"/>
      <c r="AH54" s="1"/>
      <c r="AI54" s="1"/>
      <c r="AJ54" s="1"/>
      <c r="AK54" s="1"/>
      <c r="AL54" s="1"/>
      <c r="AM54" s="1"/>
      <c r="AN54" s="1"/>
      <c r="AO54" s="1"/>
      <c r="AP54" s="1"/>
      <c r="AQ54" s="1"/>
      <c r="AR54" s="1"/>
      <c r="AS54" s="6"/>
      <c r="AT54" s="41" t="e">
        <f t="shared" si="10"/>
        <v>#DIV/0!</v>
      </c>
      <c r="AU54" s="41" t="e">
        <f t="shared" si="11"/>
        <v>#DIV/0!</v>
      </c>
      <c r="AV54" s="41" t="e">
        <f t="shared" si="12"/>
        <v>#DIV/0!</v>
      </c>
      <c r="AX54" s="6"/>
    </row>
    <row r="55" spans="1:50" ht="18" customHeight="1">
      <c r="A55" s="168">
        <f>INPUT!A54</f>
        <v>0</v>
      </c>
      <c r="B55" s="168">
        <f>INPUT!B54</f>
        <v>0</v>
      </c>
      <c r="C55" s="168">
        <f>INPUT!C54</f>
        <v>0</v>
      </c>
      <c r="D55" s="85"/>
      <c r="E55" s="86"/>
      <c r="F55" s="86"/>
      <c r="G55" s="86"/>
      <c r="H55" s="86"/>
      <c r="I55" s="87" t="str">
        <f t="shared" si="0"/>
        <v/>
      </c>
      <c r="J55" s="55" t="str">
        <f t="shared" si="1"/>
        <v/>
      </c>
      <c r="K55" s="88" t="str">
        <f t="shared" si="2"/>
        <v/>
      </c>
      <c r="L55" s="85"/>
      <c r="M55" s="86"/>
      <c r="N55" s="86"/>
      <c r="O55" s="87" t="str">
        <f t="shared" si="3"/>
        <v/>
      </c>
      <c r="P55" s="55" t="str">
        <f t="shared" si="4"/>
        <v/>
      </c>
      <c r="Q55" s="88" t="str">
        <f t="shared" si="5"/>
        <v/>
      </c>
      <c r="R55" s="85"/>
      <c r="S55" s="86"/>
      <c r="T55" s="86"/>
      <c r="U55" s="87" t="str">
        <f t="shared" si="6"/>
        <v/>
      </c>
      <c r="V55" s="55" t="str">
        <f t="shared" si="7"/>
        <v/>
      </c>
      <c r="W55" s="88" t="str">
        <f t="shared" si="8"/>
        <v/>
      </c>
      <c r="X55" s="89" t="str">
        <f t="shared" si="13"/>
        <v/>
      </c>
      <c r="Y55" s="90" t="str">
        <f t="shared" si="14"/>
        <v/>
      </c>
      <c r="Z55" s="91" t="str">
        <f t="shared" si="9"/>
        <v/>
      </c>
      <c r="AB55" s="2"/>
      <c r="AC55" s="1"/>
      <c r="AE55" s="1"/>
      <c r="AF55" s="1"/>
      <c r="AG55" s="1"/>
      <c r="AH55" s="1"/>
      <c r="AI55" s="1"/>
      <c r="AJ55" s="1"/>
      <c r="AK55" s="1"/>
      <c r="AL55" s="1"/>
      <c r="AM55" s="1"/>
      <c r="AN55" s="1"/>
      <c r="AO55" s="1"/>
      <c r="AP55" s="1"/>
      <c r="AQ55" s="1"/>
      <c r="AR55" s="1"/>
      <c r="AS55" s="6"/>
      <c r="AT55" s="41" t="e">
        <f t="shared" si="10"/>
        <v>#DIV/0!</v>
      </c>
      <c r="AU55" s="41" t="e">
        <f t="shared" si="11"/>
        <v>#DIV/0!</v>
      </c>
      <c r="AV55" s="41" t="e">
        <f t="shared" si="12"/>
        <v>#DIV/0!</v>
      </c>
      <c r="AX55" s="6"/>
    </row>
    <row r="56" spans="1:50" ht="18" customHeight="1">
      <c r="A56" s="168">
        <f>INPUT!A55</f>
        <v>0</v>
      </c>
      <c r="B56" s="168">
        <f>INPUT!B55</f>
        <v>0</v>
      </c>
      <c r="C56" s="168">
        <f>INPUT!C55</f>
        <v>0</v>
      </c>
      <c r="D56" s="85"/>
      <c r="E56" s="86"/>
      <c r="F56" s="86"/>
      <c r="G56" s="86"/>
      <c r="H56" s="86"/>
      <c r="I56" s="87" t="str">
        <f t="shared" si="0"/>
        <v/>
      </c>
      <c r="J56" s="55" t="str">
        <f t="shared" si="1"/>
        <v/>
      </c>
      <c r="K56" s="88" t="str">
        <f t="shared" si="2"/>
        <v/>
      </c>
      <c r="L56" s="85"/>
      <c r="M56" s="86"/>
      <c r="N56" s="86"/>
      <c r="O56" s="87" t="str">
        <f t="shared" si="3"/>
        <v/>
      </c>
      <c r="P56" s="55" t="str">
        <f t="shared" si="4"/>
        <v/>
      </c>
      <c r="Q56" s="88" t="str">
        <f t="shared" si="5"/>
        <v/>
      </c>
      <c r="R56" s="85"/>
      <c r="S56" s="86"/>
      <c r="T56" s="86"/>
      <c r="U56" s="87" t="str">
        <f t="shared" si="6"/>
        <v/>
      </c>
      <c r="V56" s="55" t="str">
        <f t="shared" si="7"/>
        <v/>
      </c>
      <c r="W56" s="88" t="str">
        <f t="shared" si="8"/>
        <v/>
      </c>
      <c r="X56" s="89" t="str">
        <f t="shared" si="13"/>
        <v/>
      </c>
      <c r="Y56" s="90" t="str">
        <f t="shared" si="14"/>
        <v/>
      </c>
      <c r="Z56" s="91" t="str">
        <f t="shared" si="9"/>
        <v/>
      </c>
      <c r="AB56" s="2"/>
      <c r="AC56" s="1"/>
      <c r="AE56" s="1"/>
      <c r="AF56" s="1"/>
      <c r="AG56" s="1"/>
      <c r="AH56" s="1"/>
      <c r="AI56" s="1"/>
      <c r="AJ56" s="1"/>
      <c r="AK56" s="1"/>
      <c r="AL56" s="1"/>
      <c r="AM56" s="1"/>
      <c r="AN56" s="1"/>
      <c r="AO56" s="1"/>
      <c r="AP56" s="1"/>
      <c r="AQ56" s="1"/>
      <c r="AR56" s="1"/>
      <c r="AS56" s="6"/>
      <c r="AT56" s="41" t="e">
        <f t="shared" si="10"/>
        <v>#DIV/0!</v>
      </c>
      <c r="AU56" s="41" t="e">
        <f t="shared" si="11"/>
        <v>#DIV/0!</v>
      </c>
      <c r="AV56" s="41" t="e">
        <f t="shared" si="12"/>
        <v>#DIV/0!</v>
      </c>
      <c r="AX56" s="6"/>
    </row>
    <row r="57" spans="1:50" ht="18" customHeight="1">
      <c r="A57" s="168">
        <f>INPUT!A56</f>
        <v>0</v>
      </c>
      <c r="B57" s="168">
        <f>INPUT!B56</f>
        <v>0</v>
      </c>
      <c r="C57" s="168">
        <f>INPUT!C56</f>
        <v>0</v>
      </c>
      <c r="D57" s="85"/>
      <c r="E57" s="86"/>
      <c r="F57" s="86"/>
      <c r="G57" s="86"/>
      <c r="H57" s="86"/>
      <c r="I57" s="87" t="str">
        <f t="shared" si="0"/>
        <v/>
      </c>
      <c r="J57" s="55" t="str">
        <f t="shared" si="1"/>
        <v/>
      </c>
      <c r="K57" s="88" t="str">
        <f t="shared" si="2"/>
        <v/>
      </c>
      <c r="L57" s="85"/>
      <c r="M57" s="86"/>
      <c r="N57" s="86"/>
      <c r="O57" s="87" t="str">
        <f t="shared" si="3"/>
        <v/>
      </c>
      <c r="P57" s="55" t="str">
        <f t="shared" si="4"/>
        <v/>
      </c>
      <c r="Q57" s="88" t="str">
        <f t="shared" si="5"/>
        <v/>
      </c>
      <c r="R57" s="85"/>
      <c r="S57" s="86"/>
      <c r="T57" s="86"/>
      <c r="U57" s="87" t="str">
        <f t="shared" si="6"/>
        <v/>
      </c>
      <c r="V57" s="55" t="str">
        <f t="shared" si="7"/>
        <v/>
      </c>
      <c r="W57" s="88" t="str">
        <f t="shared" si="8"/>
        <v/>
      </c>
      <c r="X57" s="89" t="str">
        <f t="shared" si="13"/>
        <v/>
      </c>
      <c r="Y57" s="90" t="str">
        <f t="shared" si="14"/>
        <v/>
      </c>
      <c r="Z57" s="91" t="str">
        <f t="shared" si="9"/>
        <v/>
      </c>
      <c r="AB57" s="2"/>
      <c r="AC57" s="1"/>
      <c r="AE57" s="1"/>
      <c r="AF57" s="1"/>
      <c r="AG57" s="1"/>
      <c r="AH57" s="1"/>
      <c r="AI57" s="1"/>
      <c r="AJ57" s="1"/>
      <c r="AK57" s="1"/>
      <c r="AL57" s="1"/>
      <c r="AM57" s="1"/>
      <c r="AN57" s="1"/>
      <c r="AO57" s="1"/>
      <c r="AP57" s="1"/>
      <c r="AQ57" s="1"/>
      <c r="AR57" s="1"/>
      <c r="AS57" s="6"/>
      <c r="AT57" s="41" t="e">
        <f t="shared" si="10"/>
        <v>#DIV/0!</v>
      </c>
      <c r="AU57" s="41" t="e">
        <f t="shared" si="11"/>
        <v>#DIV/0!</v>
      </c>
      <c r="AV57" s="41" t="e">
        <f t="shared" si="12"/>
        <v>#DIV/0!</v>
      </c>
      <c r="AX57" s="6"/>
    </row>
    <row r="58" spans="1:50" ht="18" customHeight="1">
      <c r="A58" s="168">
        <f>INPUT!A57</f>
        <v>0</v>
      </c>
      <c r="B58" s="168">
        <f>INPUT!B57</f>
        <v>0</v>
      </c>
      <c r="C58" s="168">
        <f>INPUT!C57</f>
        <v>0</v>
      </c>
      <c r="D58" s="85"/>
      <c r="E58" s="86"/>
      <c r="F58" s="86"/>
      <c r="G58" s="86"/>
      <c r="H58" s="86"/>
      <c r="I58" s="87" t="str">
        <f t="shared" si="0"/>
        <v/>
      </c>
      <c r="J58" s="55" t="str">
        <f t="shared" si="1"/>
        <v/>
      </c>
      <c r="K58" s="88" t="str">
        <f t="shared" si="2"/>
        <v/>
      </c>
      <c r="L58" s="85"/>
      <c r="M58" s="86"/>
      <c r="N58" s="86"/>
      <c r="O58" s="87" t="str">
        <f t="shared" si="3"/>
        <v/>
      </c>
      <c r="P58" s="55" t="str">
        <f t="shared" si="4"/>
        <v/>
      </c>
      <c r="Q58" s="88" t="str">
        <f t="shared" si="5"/>
        <v/>
      </c>
      <c r="R58" s="85"/>
      <c r="S58" s="86"/>
      <c r="T58" s="86"/>
      <c r="U58" s="87" t="str">
        <f t="shared" si="6"/>
        <v/>
      </c>
      <c r="V58" s="55" t="str">
        <f t="shared" si="7"/>
        <v/>
      </c>
      <c r="W58" s="88" t="str">
        <f t="shared" si="8"/>
        <v/>
      </c>
      <c r="X58" s="89" t="str">
        <f t="shared" si="13"/>
        <v/>
      </c>
      <c r="Y58" s="90" t="str">
        <f t="shared" si="14"/>
        <v/>
      </c>
      <c r="Z58" s="91" t="str">
        <f t="shared" si="9"/>
        <v/>
      </c>
      <c r="AB58" s="2"/>
      <c r="AC58" s="1"/>
      <c r="AE58" s="1"/>
      <c r="AF58" s="1"/>
      <c r="AG58" s="1"/>
      <c r="AH58" s="1"/>
      <c r="AI58" s="1"/>
      <c r="AJ58" s="1"/>
      <c r="AK58" s="1"/>
      <c r="AL58" s="1"/>
      <c r="AM58" s="1"/>
      <c r="AN58" s="1"/>
      <c r="AO58" s="1"/>
      <c r="AP58" s="1"/>
      <c r="AQ58" s="1"/>
      <c r="AR58" s="1"/>
      <c r="AS58" s="6"/>
      <c r="AT58" s="41" t="e">
        <f t="shared" si="10"/>
        <v>#DIV/0!</v>
      </c>
      <c r="AU58" s="41" t="e">
        <f t="shared" si="11"/>
        <v>#DIV/0!</v>
      </c>
      <c r="AV58" s="41" t="e">
        <f t="shared" si="12"/>
        <v>#DIV/0!</v>
      </c>
      <c r="AX58" s="6"/>
    </row>
    <row r="59" spans="1:50" ht="18" customHeight="1">
      <c r="A59" s="168">
        <f>INPUT!A58</f>
        <v>0</v>
      </c>
      <c r="B59" s="168">
        <f>INPUT!B58</f>
        <v>0</v>
      </c>
      <c r="C59" s="168">
        <f>INPUT!C58</f>
        <v>0</v>
      </c>
      <c r="D59" s="85"/>
      <c r="E59" s="86"/>
      <c r="F59" s="86"/>
      <c r="G59" s="86"/>
      <c r="H59" s="86"/>
      <c r="I59" s="87" t="str">
        <f t="shared" si="0"/>
        <v/>
      </c>
      <c r="J59" s="55" t="str">
        <f t="shared" si="1"/>
        <v/>
      </c>
      <c r="K59" s="88" t="str">
        <f t="shared" si="2"/>
        <v/>
      </c>
      <c r="L59" s="85"/>
      <c r="M59" s="86"/>
      <c r="N59" s="86"/>
      <c r="O59" s="87" t="str">
        <f t="shared" si="3"/>
        <v/>
      </c>
      <c r="P59" s="55" t="str">
        <f t="shared" si="4"/>
        <v/>
      </c>
      <c r="Q59" s="88" t="str">
        <f t="shared" si="5"/>
        <v/>
      </c>
      <c r="R59" s="85"/>
      <c r="S59" s="86"/>
      <c r="T59" s="86"/>
      <c r="U59" s="87" t="str">
        <f t="shared" si="6"/>
        <v/>
      </c>
      <c r="V59" s="55" t="str">
        <f t="shared" si="7"/>
        <v/>
      </c>
      <c r="W59" s="88" t="str">
        <f t="shared" si="8"/>
        <v/>
      </c>
      <c r="X59" s="89" t="str">
        <f t="shared" si="13"/>
        <v/>
      </c>
      <c r="Y59" s="90" t="str">
        <f t="shared" si="14"/>
        <v/>
      </c>
      <c r="Z59" s="91" t="str">
        <f t="shared" si="9"/>
        <v/>
      </c>
      <c r="AB59" s="2"/>
      <c r="AC59" s="1"/>
      <c r="AE59" s="1"/>
      <c r="AF59" s="1"/>
      <c r="AG59" s="1"/>
      <c r="AH59" s="1"/>
      <c r="AI59" s="1"/>
      <c r="AJ59" s="1"/>
      <c r="AK59" s="1"/>
      <c r="AL59" s="1"/>
      <c r="AM59" s="1"/>
      <c r="AN59" s="1"/>
      <c r="AO59" s="1"/>
      <c r="AP59" s="1"/>
      <c r="AQ59" s="1"/>
      <c r="AR59" s="1"/>
      <c r="AS59" s="6"/>
      <c r="AT59" s="41" t="e">
        <f t="shared" si="10"/>
        <v>#DIV/0!</v>
      </c>
      <c r="AU59" s="41" t="e">
        <f t="shared" si="11"/>
        <v>#DIV/0!</v>
      </c>
      <c r="AV59" s="41" t="e">
        <f t="shared" si="12"/>
        <v>#DIV/0!</v>
      </c>
      <c r="AX59" s="6"/>
    </row>
    <row r="60" spans="1:50" ht="18" customHeight="1">
      <c r="A60" s="168">
        <f>INPUT!A59</f>
        <v>0</v>
      </c>
      <c r="B60" s="168">
        <f>INPUT!B59</f>
        <v>0</v>
      </c>
      <c r="C60" s="168">
        <f>INPUT!C59</f>
        <v>0</v>
      </c>
      <c r="D60" s="85"/>
      <c r="E60" s="86"/>
      <c r="F60" s="86"/>
      <c r="G60" s="86"/>
      <c r="H60" s="86"/>
      <c r="I60" s="87" t="str">
        <f t="shared" si="0"/>
        <v/>
      </c>
      <c r="J60" s="55" t="str">
        <f t="shared" si="1"/>
        <v/>
      </c>
      <c r="K60" s="88" t="str">
        <f t="shared" si="2"/>
        <v/>
      </c>
      <c r="L60" s="85"/>
      <c r="M60" s="86"/>
      <c r="N60" s="86"/>
      <c r="O60" s="87" t="str">
        <f t="shared" si="3"/>
        <v/>
      </c>
      <c r="P60" s="55" t="str">
        <f t="shared" si="4"/>
        <v/>
      </c>
      <c r="Q60" s="88" t="str">
        <f t="shared" si="5"/>
        <v/>
      </c>
      <c r="R60" s="85"/>
      <c r="S60" s="86"/>
      <c r="T60" s="86"/>
      <c r="U60" s="87" t="str">
        <f t="shared" si="6"/>
        <v/>
      </c>
      <c r="V60" s="55" t="str">
        <f t="shared" si="7"/>
        <v/>
      </c>
      <c r="W60" s="88" t="str">
        <f t="shared" si="8"/>
        <v/>
      </c>
      <c r="X60" s="89" t="str">
        <f t="shared" si="13"/>
        <v/>
      </c>
      <c r="Y60" s="90" t="str">
        <f t="shared" si="14"/>
        <v/>
      </c>
      <c r="Z60" s="91" t="str">
        <f t="shared" si="9"/>
        <v/>
      </c>
      <c r="AB60" s="2"/>
      <c r="AC60" s="1"/>
      <c r="AE60" s="1"/>
      <c r="AF60" s="1"/>
      <c r="AG60" s="1"/>
      <c r="AH60" s="1"/>
      <c r="AI60" s="1"/>
      <c r="AJ60" s="1"/>
      <c r="AK60" s="1"/>
      <c r="AL60" s="1"/>
      <c r="AM60" s="1"/>
      <c r="AN60" s="1"/>
      <c r="AO60" s="1"/>
      <c r="AP60" s="1"/>
      <c r="AQ60" s="1"/>
      <c r="AR60" s="1"/>
      <c r="AS60" s="6"/>
      <c r="AT60" s="41" t="e">
        <f t="shared" si="10"/>
        <v>#DIV/0!</v>
      </c>
      <c r="AU60" s="41" t="e">
        <f t="shared" si="11"/>
        <v>#DIV/0!</v>
      </c>
      <c r="AV60" s="41" t="e">
        <f t="shared" si="12"/>
        <v>#DIV/0!</v>
      </c>
      <c r="AX60" s="6"/>
    </row>
    <row r="61" spans="1:50" ht="19.149999999999999" customHeight="1">
      <c r="A61" s="168">
        <f>INPUT!A60</f>
        <v>0</v>
      </c>
      <c r="B61" s="168">
        <f>INPUT!B60</f>
        <v>0</v>
      </c>
      <c r="C61" s="168">
        <f>INPUT!C60</f>
        <v>0</v>
      </c>
      <c r="D61" s="85"/>
      <c r="E61" s="86"/>
      <c r="F61" s="86"/>
      <c r="G61" s="86"/>
      <c r="H61" s="86"/>
      <c r="I61" s="87" t="str">
        <f t="shared" si="0"/>
        <v/>
      </c>
      <c r="J61" s="55" t="str">
        <f t="shared" si="1"/>
        <v/>
      </c>
      <c r="K61" s="88" t="str">
        <f t="shared" si="2"/>
        <v/>
      </c>
      <c r="L61" s="85"/>
      <c r="M61" s="86"/>
      <c r="N61" s="86"/>
      <c r="O61" s="87" t="str">
        <f t="shared" si="3"/>
        <v/>
      </c>
      <c r="P61" s="55" t="str">
        <f t="shared" si="4"/>
        <v/>
      </c>
      <c r="Q61" s="88" t="str">
        <f t="shared" si="5"/>
        <v/>
      </c>
      <c r="R61" s="85"/>
      <c r="S61" s="86"/>
      <c r="T61" s="86"/>
      <c r="U61" s="87" t="str">
        <f t="shared" si="6"/>
        <v/>
      </c>
      <c r="V61" s="55" t="str">
        <f t="shared" si="7"/>
        <v/>
      </c>
      <c r="W61" s="88" t="str">
        <f t="shared" si="8"/>
        <v/>
      </c>
      <c r="X61" s="89" t="str">
        <f t="shared" si="13"/>
        <v/>
      </c>
      <c r="Y61" s="90" t="str">
        <f t="shared" si="14"/>
        <v/>
      </c>
      <c r="Z61" s="91" t="str">
        <f t="shared" si="9"/>
        <v/>
      </c>
      <c r="AB61" s="2"/>
      <c r="AC61" s="1"/>
      <c r="AE61" s="1"/>
      <c r="AF61" s="1"/>
      <c r="AG61" s="1"/>
      <c r="AH61" s="1"/>
      <c r="AI61" s="1"/>
      <c r="AJ61" s="1"/>
      <c r="AK61" s="1"/>
      <c r="AL61" s="1"/>
      <c r="AM61" s="1"/>
      <c r="AN61" s="1"/>
      <c r="AO61" s="1"/>
      <c r="AP61" s="1"/>
      <c r="AQ61" s="1"/>
      <c r="AR61" s="1"/>
      <c r="AS61" s="6"/>
      <c r="AT61" s="41" t="e">
        <f t="shared" si="10"/>
        <v>#DIV/0!</v>
      </c>
      <c r="AU61" s="41" t="e">
        <f t="shared" si="11"/>
        <v>#DIV/0!</v>
      </c>
      <c r="AV61" s="41" t="e">
        <f t="shared" si="12"/>
        <v>#DIV/0!</v>
      </c>
      <c r="AX61" s="6"/>
    </row>
    <row r="62" spans="1:50" ht="18" customHeight="1" thickBot="1">
      <c r="A62" s="168"/>
      <c r="B62" s="168"/>
      <c r="C62" s="168"/>
      <c r="D62" s="105"/>
      <c r="E62" s="106"/>
      <c r="F62" s="106"/>
      <c r="G62" s="106"/>
      <c r="H62" s="106"/>
      <c r="I62" s="107" t="str">
        <f t="shared" si="0"/>
        <v/>
      </c>
      <c r="J62" s="108" t="str">
        <f t="shared" si="1"/>
        <v/>
      </c>
      <c r="K62" s="109" t="str">
        <f t="shared" si="2"/>
        <v/>
      </c>
      <c r="L62" s="105"/>
      <c r="M62" s="106"/>
      <c r="N62" s="106"/>
      <c r="O62" s="107" t="str">
        <f t="shared" si="3"/>
        <v/>
      </c>
      <c r="P62" s="108" t="str">
        <f t="shared" si="4"/>
        <v/>
      </c>
      <c r="Q62" s="109" t="str">
        <f t="shared" si="5"/>
        <v/>
      </c>
      <c r="R62" s="105"/>
      <c r="S62" s="106"/>
      <c r="T62" s="106"/>
      <c r="U62" s="107" t="str">
        <f t="shared" si="6"/>
        <v/>
      </c>
      <c r="V62" s="108" t="str">
        <f t="shared" si="7"/>
        <v/>
      </c>
      <c r="W62" s="109" t="str">
        <f t="shared" si="8"/>
        <v/>
      </c>
      <c r="X62" s="110" t="str">
        <f t="shared" si="13"/>
        <v/>
      </c>
      <c r="Y62" s="111" t="str">
        <f t="shared" si="14"/>
        <v/>
      </c>
      <c r="Z62" s="112" t="str">
        <f t="shared" si="9"/>
        <v/>
      </c>
      <c r="AB62" s="2"/>
      <c r="AC62" s="1"/>
      <c r="AE62" s="1"/>
      <c r="AF62" s="1"/>
      <c r="AG62" s="1"/>
      <c r="AH62" s="1"/>
      <c r="AI62" s="1"/>
      <c r="AJ62" s="1"/>
      <c r="AK62" s="1"/>
      <c r="AL62" s="1"/>
      <c r="AM62" s="1"/>
      <c r="AN62" s="1"/>
      <c r="AO62" s="1"/>
      <c r="AP62" s="1"/>
      <c r="AQ62" s="1"/>
      <c r="AR62" s="1"/>
      <c r="AS62" s="6"/>
      <c r="AT62" s="41" t="e">
        <f t="shared" si="10"/>
        <v>#DIV/0!</v>
      </c>
      <c r="AU62" s="41" t="e">
        <f t="shared" si="11"/>
        <v>#DIV/0!</v>
      </c>
      <c r="AV62" s="41" t="e">
        <f t="shared" si="12"/>
        <v>#DIV/0!</v>
      </c>
      <c r="AX62" s="6"/>
    </row>
    <row r="63" spans="1:50" ht="18" hidden="1" customHeight="1" thickBot="1">
      <c r="A63" s="174" t="s">
        <v>99</v>
      </c>
      <c r="B63" s="168" t="s">
        <v>103</v>
      </c>
      <c r="C63" s="168" t="str">
        <f>INPUT!C62</f>
        <v xml:space="preserve">FEMALE </v>
      </c>
      <c r="D63" s="209"/>
      <c r="E63" s="207"/>
      <c r="F63" s="207"/>
      <c r="G63" s="207"/>
      <c r="H63" s="207"/>
      <c r="I63" s="208"/>
      <c r="J63" s="117"/>
      <c r="K63" s="118"/>
      <c r="L63" s="209"/>
      <c r="M63" s="207"/>
      <c r="N63" s="207"/>
      <c r="O63" s="208"/>
      <c r="P63" s="117"/>
      <c r="Q63" s="118"/>
      <c r="R63" s="209"/>
      <c r="S63" s="207"/>
      <c r="T63" s="207"/>
      <c r="U63" s="208"/>
      <c r="V63" s="117"/>
      <c r="W63" s="118"/>
      <c r="X63" s="119"/>
      <c r="Y63" s="120"/>
      <c r="Z63" s="121"/>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53"/>
      <c r="B64" s="355" t="s">
        <v>14</v>
      </c>
      <c r="C64" s="356"/>
      <c r="D64" s="166"/>
      <c r="E64" s="167"/>
      <c r="F64" s="167"/>
      <c r="G64" s="167"/>
      <c r="H64" s="167"/>
      <c r="I64" s="254"/>
      <c r="J64" s="254"/>
      <c r="K64" s="254"/>
      <c r="L64" s="167"/>
      <c r="M64" s="167"/>
      <c r="N64" s="167"/>
      <c r="O64" s="254"/>
      <c r="P64" s="254"/>
      <c r="Q64" s="254"/>
      <c r="R64" s="167"/>
      <c r="S64" s="167"/>
      <c r="T64" s="167"/>
      <c r="U64" s="254"/>
      <c r="V64" s="255"/>
      <c r="W64" s="255"/>
      <c r="X64" s="255"/>
      <c r="Y64" s="256"/>
      <c r="Z64" s="257"/>
      <c r="AB64" s="2"/>
      <c r="AC64" s="1"/>
      <c r="AE64" s="1"/>
      <c r="AF64" s="1"/>
      <c r="AG64" s="1"/>
      <c r="AH64" s="1"/>
      <c r="AI64" s="1"/>
      <c r="AJ64" s="1"/>
      <c r="AK64" s="1"/>
      <c r="AL64" s="1"/>
      <c r="AM64" s="1"/>
      <c r="AN64" s="1"/>
      <c r="AO64" s="1"/>
      <c r="AP64" s="1"/>
      <c r="AQ64" s="1"/>
      <c r="AR64" s="1"/>
      <c r="AS64" s="6"/>
      <c r="AT64" s="41" t="e">
        <f>(R64/$R$10)*100</f>
        <v>#DIV/0!</v>
      </c>
      <c r="AU64" s="41" t="e">
        <f>(S64/$S$10)*100</f>
        <v>#DIV/0!</v>
      </c>
      <c r="AV64" s="41" t="e">
        <f>(T64/$T$10)*100</f>
        <v>#DIV/0!</v>
      </c>
      <c r="AX64" s="6"/>
    </row>
    <row r="65" spans="1:50" ht="17.25" hidden="1" customHeight="1" thickBot="1">
      <c r="A65" s="246" t="s">
        <v>91</v>
      </c>
      <c r="B65" s="246" t="s">
        <v>92</v>
      </c>
      <c r="C65" s="247" t="s">
        <v>93</v>
      </c>
      <c r="D65" s="113"/>
      <c r="E65" s="114"/>
      <c r="F65" s="114"/>
      <c r="G65" s="114"/>
      <c r="H65" s="114"/>
      <c r="I65" s="115"/>
      <c r="J65" s="115"/>
      <c r="K65" s="116"/>
      <c r="L65" s="113"/>
      <c r="M65" s="114"/>
      <c r="N65" s="114"/>
      <c r="O65" s="115"/>
      <c r="P65" s="115"/>
      <c r="Q65" s="116"/>
      <c r="R65" s="113"/>
      <c r="S65" s="114"/>
      <c r="T65" s="114"/>
      <c r="U65" s="115"/>
      <c r="V65" s="117"/>
      <c r="W65" s="118"/>
      <c r="X65" s="119"/>
      <c r="Y65" s="120"/>
      <c r="Z65" s="121"/>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248">
        <f>INPUT!A64</f>
        <v>0</v>
      </c>
      <c r="B66" s="249">
        <f>INPUT!B64</f>
        <v>0</v>
      </c>
      <c r="C66" s="250">
        <f>INPUT!C64</f>
        <v>0</v>
      </c>
      <c r="D66" s="245"/>
      <c r="E66" s="165"/>
      <c r="F66" s="78"/>
      <c r="G66" s="78"/>
      <c r="H66" s="78"/>
      <c r="I66" s="79" t="str">
        <f t="shared" si="0"/>
        <v/>
      </c>
      <c r="J66" s="80" t="str">
        <f t="shared" si="1"/>
        <v/>
      </c>
      <c r="K66" s="81" t="str">
        <f t="shared" si="2"/>
        <v/>
      </c>
      <c r="L66" s="77"/>
      <c r="M66" s="78"/>
      <c r="N66" s="78"/>
      <c r="O66" s="79" t="str">
        <f t="shared" si="3"/>
        <v/>
      </c>
      <c r="P66" s="80" t="str">
        <f t="shared" si="4"/>
        <v/>
      </c>
      <c r="Q66" s="81" t="str">
        <f t="shared" si="5"/>
        <v/>
      </c>
      <c r="R66" s="77"/>
      <c r="S66" s="78"/>
      <c r="T66" s="78"/>
      <c r="U66" s="79" t="str">
        <f t="shared" si="6"/>
        <v/>
      </c>
      <c r="V66" s="80" t="str">
        <f t="shared" si="7"/>
        <v/>
      </c>
      <c r="W66" s="81" t="str">
        <f t="shared" si="8"/>
        <v/>
      </c>
      <c r="X66" s="82" t="str">
        <f t="shared" si="13"/>
        <v/>
      </c>
      <c r="Y66" s="83" t="str">
        <f t="shared" si="14"/>
        <v/>
      </c>
      <c r="Z66" s="84" t="str">
        <f t="shared" si="9"/>
        <v/>
      </c>
      <c r="AB66" s="2"/>
      <c r="AC66" s="1"/>
      <c r="AE66" s="1"/>
      <c r="AF66" s="1"/>
      <c r="AG66" s="1"/>
      <c r="AH66" s="1"/>
      <c r="AI66" s="1"/>
      <c r="AJ66" s="1"/>
      <c r="AK66" s="1"/>
      <c r="AL66" s="1"/>
      <c r="AM66" s="1"/>
      <c r="AN66" s="1"/>
      <c r="AO66" s="1"/>
      <c r="AP66" s="1"/>
      <c r="AQ66" s="1"/>
      <c r="AR66" s="1"/>
      <c r="AS66" s="6"/>
      <c r="AT66" s="41" t="e">
        <f t="shared" si="10"/>
        <v>#DIV/0!</v>
      </c>
      <c r="AU66" s="41" t="e">
        <f t="shared" si="11"/>
        <v>#DIV/0!</v>
      </c>
      <c r="AV66" s="41" t="e">
        <f t="shared" si="12"/>
        <v>#DIV/0!</v>
      </c>
      <c r="AX66" s="6"/>
    </row>
    <row r="67" spans="1:50" ht="18" customHeight="1">
      <c r="A67" s="251">
        <f>INPUT!A65</f>
        <v>0</v>
      </c>
      <c r="B67" s="35">
        <f>INPUT!B65</f>
        <v>0</v>
      </c>
      <c r="C67" s="252">
        <f>INPUT!C65</f>
        <v>0</v>
      </c>
      <c r="D67" s="163"/>
      <c r="E67" s="86"/>
      <c r="F67" s="86"/>
      <c r="G67" s="86"/>
      <c r="H67" s="86"/>
      <c r="I67" s="87" t="str">
        <f t="shared" si="0"/>
        <v/>
      </c>
      <c r="J67" s="55" t="str">
        <f t="shared" si="1"/>
        <v/>
      </c>
      <c r="K67" s="88" t="str">
        <f t="shared" si="2"/>
        <v/>
      </c>
      <c r="L67" s="85"/>
      <c r="M67" s="86"/>
      <c r="N67" s="86"/>
      <c r="O67" s="87" t="str">
        <f t="shared" si="3"/>
        <v/>
      </c>
      <c r="P67" s="55" t="str">
        <f t="shared" si="4"/>
        <v/>
      </c>
      <c r="Q67" s="88" t="str">
        <f t="shared" si="5"/>
        <v/>
      </c>
      <c r="R67" s="85"/>
      <c r="S67" s="86"/>
      <c r="T67" s="86"/>
      <c r="U67" s="87" t="str">
        <f t="shared" si="6"/>
        <v/>
      </c>
      <c r="V67" s="55" t="str">
        <f t="shared" si="7"/>
        <v/>
      </c>
      <c r="W67" s="88" t="str">
        <f t="shared" si="8"/>
        <v/>
      </c>
      <c r="X67" s="89" t="str">
        <f t="shared" si="13"/>
        <v/>
      </c>
      <c r="Y67" s="90" t="str">
        <f t="shared" si="14"/>
        <v/>
      </c>
      <c r="Z67" s="91" t="str">
        <f t="shared" si="9"/>
        <v/>
      </c>
      <c r="AB67" s="2"/>
      <c r="AC67" s="1"/>
      <c r="AE67" s="1"/>
      <c r="AF67" s="1"/>
      <c r="AG67" s="1"/>
      <c r="AH67" s="1"/>
      <c r="AI67" s="1"/>
      <c r="AJ67" s="1"/>
      <c r="AK67" s="1"/>
      <c r="AL67" s="1"/>
      <c r="AM67" s="1"/>
      <c r="AN67" s="1"/>
      <c r="AO67" s="1"/>
      <c r="AP67" s="1"/>
      <c r="AQ67" s="1"/>
      <c r="AR67" s="1"/>
      <c r="AS67" s="6"/>
      <c r="AT67" s="41" t="e">
        <f t="shared" si="10"/>
        <v>#DIV/0!</v>
      </c>
      <c r="AU67" s="41" t="e">
        <f t="shared" si="11"/>
        <v>#DIV/0!</v>
      </c>
      <c r="AV67" s="41" t="e">
        <f t="shared" si="12"/>
        <v>#DIV/0!</v>
      </c>
      <c r="AX67" s="6"/>
    </row>
    <row r="68" spans="1:50" ht="18" customHeight="1">
      <c r="A68" s="251">
        <f>INPUT!A66</f>
        <v>0</v>
      </c>
      <c r="B68" s="35">
        <f>INPUT!B66</f>
        <v>0</v>
      </c>
      <c r="C68" s="252">
        <f>INPUT!C66</f>
        <v>0</v>
      </c>
      <c r="D68" s="163"/>
      <c r="E68" s="86"/>
      <c r="F68" s="86"/>
      <c r="G68" s="86"/>
      <c r="H68" s="86"/>
      <c r="I68" s="87" t="str">
        <f t="shared" si="0"/>
        <v/>
      </c>
      <c r="J68" s="55" t="str">
        <f t="shared" si="1"/>
        <v/>
      </c>
      <c r="K68" s="88" t="str">
        <f t="shared" si="2"/>
        <v/>
      </c>
      <c r="L68" s="85"/>
      <c r="M68" s="86"/>
      <c r="N68" s="86"/>
      <c r="O68" s="87" t="str">
        <f t="shared" si="3"/>
        <v/>
      </c>
      <c r="P68" s="55" t="str">
        <f t="shared" si="4"/>
        <v/>
      </c>
      <c r="Q68" s="88" t="str">
        <f t="shared" si="5"/>
        <v/>
      </c>
      <c r="R68" s="162"/>
      <c r="S68" s="86"/>
      <c r="T68" s="163"/>
      <c r="U68" s="87" t="str">
        <f t="shared" si="6"/>
        <v/>
      </c>
      <c r="V68" s="55" t="str">
        <f t="shared" si="7"/>
        <v/>
      </c>
      <c r="W68" s="88" t="str">
        <f t="shared" si="8"/>
        <v/>
      </c>
      <c r="X68" s="89" t="str">
        <f t="shared" si="13"/>
        <v/>
      </c>
      <c r="Y68" s="90" t="str">
        <f t="shared" si="14"/>
        <v/>
      </c>
      <c r="Z68" s="91" t="str">
        <f t="shared" si="9"/>
        <v/>
      </c>
      <c r="AB68" s="2"/>
      <c r="AC68" s="1"/>
      <c r="AE68" s="1"/>
      <c r="AF68" s="1"/>
      <c r="AG68" s="1"/>
      <c r="AH68" s="1"/>
      <c r="AI68" s="1"/>
      <c r="AJ68" s="1"/>
      <c r="AK68" s="1"/>
      <c r="AL68" s="1"/>
      <c r="AM68" s="1"/>
      <c r="AN68" s="1"/>
      <c r="AO68" s="1"/>
      <c r="AP68" s="1"/>
      <c r="AQ68" s="1"/>
      <c r="AR68" s="1"/>
      <c r="AS68" s="6"/>
      <c r="AT68" s="41" t="e">
        <f t="shared" si="10"/>
        <v>#DIV/0!</v>
      </c>
      <c r="AU68" s="41" t="e">
        <f t="shared" si="11"/>
        <v>#DIV/0!</v>
      </c>
      <c r="AV68" s="41" t="e">
        <f t="shared" si="12"/>
        <v>#DIV/0!</v>
      </c>
      <c r="AX68" s="6"/>
    </row>
    <row r="69" spans="1:50" ht="18" customHeight="1">
      <c r="A69" s="251">
        <f>INPUT!A67</f>
        <v>0</v>
      </c>
      <c r="B69" s="35">
        <f>INPUT!B67</f>
        <v>0</v>
      </c>
      <c r="C69" s="252">
        <f>INPUT!C67</f>
        <v>0</v>
      </c>
      <c r="D69" s="163"/>
      <c r="E69" s="86"/>
      <c r="F69" s="86"/>
      <c r="G69" s="86"/>
      <c r="H69" s="86"/>
      <c r="I69" s="87" t="str">
        <f t="shared" si="0"/>
        <v/>
      </c>
      <c r="J69" s="55" t="str">
        <f t="shared" si="1"/>
        <v/>
      </c>
      <c r="K69" s="88" t="str">
        <f t="shared" si="2"/>
        <v/>
      </c>
      <c r="L69" s="85"/>
      <c r="M69" s="86"/>
      <c r="N69" s="86"/>
      <c r="O69" s="87" t="str">
        <f t="shared" si="3"/>
        <v/>
      </c>
      <c r="P69" s="55" t="str">
        <f t="shared" si="4"/>
        <v/>
      </c>
      <c r="Q69" s="88" t="str">
        <f t="shared" si="5"/>
        <v/>
      </c>
      <c r="R69" s="85"/>
      <c r="S69" s="86"/>
      <c r="T69" s="86"/>
      <c r="U69" s="87" t="str">
        <f t="shared" si="6"/>
        <v/>
      </c>
      <c r="V69" s="55" t="str">
        <f t="shared" si="7"/>
        <v/>
      </c>
      <c r="W69" s="88" t="str">
        <f t="shared" si="8"/>
        <v/>
      </c>
      <c r="X69" s="89" t="str">
        <f t="shared" si="13"/>
        <v/>
      </c>
      <c r="Y69" s="90" t="str">
        <f t="shared" si="14"/>
        <v/>
      </c>
      <c r="Z69" s="91" t="str">
        <f t="shared" si="9"/>
        <v/>
      </c>
      <c r="AB69" s="2"/>
      <c r="AC69" s="1"/>
      <c r="AE69" s="1"/>
      <c r="AF69" s="1"/>
      <c r="AG69" s="1"/>
      <c r="AH69" s="1"/>
      <c r="AI69" s="1"/>
      <c r="AJ69" s="1"/>
      <c r="AK69" s="1"/>
      <c r="AL69" s="1"/>
      <c r="AM69" s="1"/>
      <c r="AN69" s="1"/>
      <c r="AO69" s="1"/>
      <c r="AP69" s="1"/>
      <c r="AQ69" s="1"/>
      <c r="AR69" s="1"/>
      <c r="AS69" s="6"/>
      <c r="AT69" s="41" t="e">
        <f t="shared" si="10"/>
        <v>#DIV/0!</v>
      </c>
      <c r="AU69" s="41" t="e">
        <f t="shared" si="11"/>
        <v>#DIV/0!</v>
      </c>
      <c r="AV69" s="41" t="e">
        <f t="shared" si="12"/>
        <v>#DIV/0!</v>
      </c>
      <c r="AX69" s="6"/>
    </row>
    <row r="70" spans="1:50" ht="18" customHeight="1">
      <c r="A70" s="251">
        <f>INPUT!A68</f>
        <v>0</v>
      </c>
      <c r="B70" s="35">
        <f>INPUT!B68</f>
        <v>0</v>
      </c>
      <c r="C70" s="252">
        <f>INPUT!C68</f>
        <v>0</v>
      </c>
      <c r="D70" s="163"/>
      <c r="E70" s="86"/>
      <c r="F70" s="86"/>
      <c r="G70" s="86"/>
      <c r="H70" s="86"/>
      <c r="I70" s="87" t="str">
        <f t="shared" si="0"/>
        <v/>
      </c>
      <c r="J70" s="55" t="str">
        <f t="shared" si="1"/>
        <v/>
      </c>
      <c r="K70" s="88" t="str">
        <f t="shared" si="2"/>
        <v/>
      </c>
      <c r="L70" s="85"/>
      <c r="M70" s="86"/>
      <c r="N70" s="86"/>
      <c r="O70" s="87" t="str">
        <f t="shared" si="3"/>
        <v/>
      </c>
      <c r="P70" s="55" t="str">
        <f t="shared" si="4"/>
        <v/>
      </c>
      <c r="Q70" s="88" t="str">
        <f t="shared" si="5"/>
        <v/>
      </c>
      <c r="R70" s="85"/>
      <c r="S70" s="86"/>
      <c r="T70" s="86"/>
      <c r="U70" s="87" t="str">
        <f t="shared" si="6"/>
        <v/>
      </c>
      <c r="V70" s="55" t="str">
        <f t="shared" si="7"/>
        <v/>
      </c>
      <c r="W70" s="88" t="str">
        <f t="shared" si="8"/>
        <v/>
      </c>
      <c r="X70" s="89" t="str">
        <f t="shared" si="13"/>
        <v/>
      </c>
      <c r="Y70" s="90" t="str">
        <f t="shared" si="14"/>
        <v/>
      </c>
      <c r="Z70" s="91" t="str">
        <f t="shared" si="9"/>
        <v/>
      </c>
      <c r="AB70" s="2"/>
      <c r="AC70" s="1"/>
      <c r="AE70" s="1"/>
      <c r="AF70" s="1"/>
      <c r="AG70" s="1"/>
      <c r="AH70" s="1"/>
      <c r="AI70" s="1"/>
      <c r="AJ70" s="1"/>
      <c r="AK70" s="1"/>
      <c r="AL70" s="1"/>
      <c r="AM70" s="1"/>
      <c r="AN70" s="1"/>
      <c r="AO70" s="1"/>
      <c r="AP70" s="1"/>
      <c r="AQ70" s="1"/>
      <c r="AR70" s="1"/>
      <c r="AS70" s="6"/>
      <c r="AT70" s="41" t="e">
        <f t="shared" si="10"/>
        <v>#DIV/0!</v>
      </c>
      <c r="AU70" s="41" t="e">
        <f t="shared" si="11"/>
        <v>#DIV/0!</v>
      </c>
      <c r="AV70" s="41" t="e">
        <f t="shared" si="12"/>
        <v>#DIV/0!</v>
      </c>
      <c r="AX70" s="6"/>
    </row>
    <row r="71" spans="1:50" ht="18" customHeight="1">
      <c r="A71" s="251">
        <f>INPUT!A69</f>
        <v>0</v>
      </c>
      <c r="B71" s="35">
        <f>INPUT!B69</f>
        <v>0</v>
      </c>
      <c r="C71" s="252">
        <f>INPUT!C69</f>
        <v>0</v>
      </c>
      <c r="D71" s="163"/>
      <c r="E71" s="86"/>
      <c r="F71" s="86"/>
      <c r="G71" s="86"/>
      <c r="H71" s="86"/>
      <c r="I71" s="87" t="str">
        <f t="shared" si="0"/>
        <v/>
      </c>
      <c r="J71" s="55" t="str">
        <f t="shared" si="1"/>
        <v/>
      </c>
      <c r="K71" s="88" t="str">
        <f t="shared" si="2"/>
        <v/>
      </c>
      <c r="L71" s="85"/>
      <c r="M71" s="86"/>
      <c r="N71" s="86"/>
      <c r="O71" s="87" t="str">
        <f t="shared" si="3"/>
        <v/>
      </c>
      <c r="P71" s="55" t="str">
        <f t="shared" si="4"/>
        <v/>
      </c>
      <c r="Q71" s="88" t="str">
        <f t="shared" si="5"/>
        <v/>
      </c>
      <c r="R71" s="85"/>
      <c r="S71" s="86"/>
      <c r="T71" s="86"/>
      <c r="U71" s="87" t="str">
        <f t="shared" si="6"/>
        <v/>
      </c>
      <c r="V71" s="55" t="str">
        <f t="shared" si="7"/>
        <v/>
      </c>
      <c r="W71" s="88" t="str">
        <f t="shared" si="8"/>
        <v/>
      </c>
      <c r="X71" s="89" t="str">
        <f t="shared" si="13"/>
        <v/>
      </c>
      <c r="Y71" s="90" t="str">
        <f t="shared" si="14"/>
        <v/>
      </c>
      <c r="Z71" s="91" t="str">
        <f t="shared" si="9"/>
        <v/>
      </c>
      <c r="AB71" s="2"/>
      <c r="AC71" s="1"/>
      <c r="AE71" s="1"/>
      <c r="AF71" s="1"/>
      <c r="AG71" s="1"/>
      <c r="AH71" s="1"/>
      <c r="AI71" s="1"/>
      <c r="AJ71" s="1"/>
      <c r="AK71" s="1"/>
      <c r="AL71" s="1"/>
      <c r="AM71" s="1"/>
      <c r="AN71" s="1"/>
      <c r="AO71" s="1"/>
      <c r="AP71" s="1"/>
      <c r="AQ71" s="1"/>
      <c r="AR71" s="1"/>
      <c r="AS71" s="6"/>
      <c r="AT71" s="41" t="e">
        <f t="shared" si="10"/>
        <v>#DIV/0!</v>
      </c>
      <c r="AU71" s="41" t="e">
        <f t="shared" si="11"/>
        <v>#DIV/0!</v>
      </c>
      <c r="AV71" s="41" t="e">
        <f t="shared" si="12"/>
        <v>#DIV/0!</v>
      </c>
      <c r="AX71" s="6"/>
    </row>
    <row r="72" spans="1:50" ht="18" customHeight="1">
      <c r="A72" s="251">
        <f>INPUT!A70</f>
        <v>0</v>
      </c>
      <c r="B72" s="35">
        <f>INPUT!B70</f>
        <v>0</v>
      </c>
      <c r="C72" s="252">
        <f>INPUT!C70</f>
        <v>0</v>
      </c>
      <c r="D72" s="163"/>
      <c r="E72" s="86"/>
      <c r="F72" s="86"/>
      <c r="G72" s="86"/>
      <c r="H72" s="86"/>
      <c r="I72" s="87" t="str">
        <f t="shared" si="0"/>
        <v/>
      </c>
      <c r="J72" s="55" t="str">
        <f t="shared" si="1"/>
        <v/>
      </c>
      <c r="K72" s="88" t="str">
        <f t="shared" si="2"/>
        <v/>
      </c>
      <c r="L72" s="85"/>
      <c r="M72" s="86"/>
      <c r="N72" s="86"/>
      <c r="O72" s="87" t="str">
        <f t="shared" si="3"/>
        <v/>
      </c>
      <c r="P72" s="55" t="str">
        <f t="shared" si="4"/>
        <v/>
      </c>
      <c r="Q72" s="88" t="str">
        <f t="shared" si="5"/>
        <v/>
      </c>
      <c r="R72" s="85"/>
      <c r="S72" s="86"/>
      <c r="T72" s="86"/>
      <c r="U72" s="87" t="str">
        <f t="shared" si="6"/>
        <v/>
      </c>
      <c r="V72" s="55" t="str">
        <f t="shared" si="7"/>
        <v/>
      </c>
      <c r="W72" s="88" t="str">
        <f t="shared" si="8"/>
        <v/>
      </c>
      <c r="X72" s="89" t="str">
        <f t="shared" si="13"/>
        <v/>
      </c>
      <c r="Y72" s="90" t="str">
        <f t="shared" si="14"/>
        <v/>
      </c>
      <c r="Z72" s="91" t="str">
        <f t="shared" si="9"/>
        <v/>
      </c>
      <c r="AB72" s="2"/>
      <c r="AC72" s="1"/>
      <c r="AE72" s="1"/>
      <c r="AF72" s="1"/>
      <c r="AG72" s="1"/>
      <c r="AH72" s="1"/>
      <c r="AI72" s="1"/>
      <c r="AJ72" s="1"/>
      <c r="AK72" s="1"/>
      <c r="AL72" s="1"/>
      <c r="AM72" s="1"/>
      <c r="AN72" s="1"/>
      <c r="AO72" s="1"/>
      <c r="AP72" s="1"/>
      <c r="AQ72" s="1"/>
      <c r="AR72" s="1"/>
      <c r="AS72" s="6"/>
      <c r="AT72" s="41" t="e">
        <f t="shared" si="10"/>
        <v>#DIV/0!</v>
      </c>
      <c r="AU72" s="41" t="e">
        <f t="shared" si="11"/>
        <v>#DIV/0!</v>
      </c>
      <c r="AV72" s="41" t="e">
        <f t="shared" si="12"/>
        <v>#DIV/0!</v>
      </c>
      <c r="AX72" s="6"/>
    </row>
    <row r="73" spans="1:50" ht="18" customHeight="1">
      <c r="A73" s="251">
        <f>INPUT!A71</f>
        <v>0</v>
      </c>
      <c r="B73" s="35">
        <f>INPUT!B71</f>
        <v>0</v>
      </c>
      <c r="C73" s="252">
        <f>INPUT!C71</f>
        <v>0</v>
      </c>
      <c r="D73" s="163"/>
      <c r="E73" s="86"/>
      <c r="F73" s="86"/>
      <c r="G73" s="86"/>
      <c r="H73" s="86"/>
      <c r="I73" s="87" t="str">
        <f t="shared" si="0"/>
        <v/>
      </c>
      <c r="J73" s="55" t="str">
        <f t="shared" si="1"/>
        <v/>
      </c>
      <c r="K73" s="88" t="str">
        <f t="shared" si="2"/>
        <v/>
      </c>
      <c r="L73" s="85"/>
      <c r="M73" s="86"/>
      <c r="N73" s="86"/>
      <c r="O73" s="87" t="str">
        <f t="shared" si="3"/>
        <v/>
      </c>
      <c r="P73" s="55" t="str">
        <f t="shared" si="4"/>
        <v/>
      </c>
      <c r="Q73" s="88" t="str">
        <f t="shared" si="5"/>
        <v/>
      </c>
      <c r="R73" s="85"/>
      <c r="S73" s="86"/>
      <c r="T73" s="86"/>
      <c r="U73" s="87" t="str">
        <f t="shared" si="6"/>
        <v/>
      </c>
      <c r="V73" s="55" t="str">
        <f t="shared" si="7"/>
        <v/>
      </c>
      <c r="W73" s="88" t="str">
        <f t="shared" si="8"/>
        <v/>
      </c>
      <c r="X73" s="89" t="str">
        <f t="shared" si="13"/>
        <v/>
      </c>
      <c r="Y73" s="90" t="str">
        <f t="shared" si="14"/>
        <v/>
      </c>
      <c r="Z73" s="91" t="str">
        <f t="shared" si="9"/>
        <v/>
      </c>
      <c r="AB73" s="2"/>
      <c r="AC73" s="1"/>
      <c r="AE73" s="1"/>
      <c r="AF73" s="1"/>
      <c r="AG73" s="1"/>
      <c r="AH73" s="1"/>
      <c r="AI73" s="1"/>
      <c r="AJ73" s="1"/>
      <c r="AK73" s="1"/>
      <c r="AL73" s="1"/>
      <c r="AM73" s="1"/>
      <c r="AN73" s="1"/>
      <c r="AO73" s="1"/>
      <c r="AP73" s="1"/>
      <c r="AQ73" s="1"/>
      <c r="AR73" s="1"/>
      <c r="AS73" s="6"/>
      <c r="AT73" s="41" t="e">
        <f t="shared" si="10"/>
        <v>#DIV/0!</v>
      </c>
      <c r="AU73" s="41" t="e">
        <f t="shared" si="11"/>
        <v>#DIV/0!</v>
      </c>
      <c r="AV73" s="41" t="e">
        <f t="shared" si="12"/>
        <v>#DIV/0!</v>
      </c>
      <c r="AX73" s="6"/>
    </row>
    <row r="74" spans="1:50" ht="18" customHeight="1">
      <c r="A74" s="251">
        <f>INPUT!A72</f>
        <v>0</v>
      </c>
      <c r="B74" s="35">
        <f>INPUT!B72</f>
        <v>0</v>
      </c>
      <c r="C74" s="252">
        <f>INPUT!C72</f>
        <v>0</v>
      </c>
      <c r="D74" s="163"/>
      <c r="E74" s="86"/>
      <c r="F74" s="86"/>
      <c r="G74" s="86"/>
      <c r="H74" s="86"/>
      <c r="I74" s="87" t="str">
        <f t="shared" si="0"/>
        <v/>
      </c>
      <c r="J74" s="55" t="str">
        <f t="shared" si="1"/>
        <v/>
      </c>
      <c r="K74" s="88" t="str">
        <f t="shared" si="2"/>
        <v/>
      </c>
      <c r="L74" s="85"/>
      <c r="M74" s="86"/>
      <c r="N74" s="86"/>
      <c r="O74" s="87" t="str">
        <f t="shared" si="3"/>
        <v/>
      </c>
      <c r="P74" s="55" t="str">
        <f t="shared" si="4"/>
        <v/>
      </c>
      <c r="Q74" s="88" t="str">
        <f t="shared" si="5"/>
        <v/>
      </c>
      <c r="R74" s="85"/>
      <c r="S74" s="86"/>
      <c r="T74" s="86"/>
      <c r="U74" s="87" t="str">
        <f t="shared" si="6"/>
        <v/>
      </c>
      <c r="V74" s="55" t="str">
        <f t="shared" si="7"/>
        <v/>
      </c>
      <c r="W74" s="88" t="str">
        <f t="shared" si="8"/>
        <v/>
      </c>
      <c r="X74" s="89" t="str">
        <f t="shared" si="13"/>
        <v/>
      </c>
      <c r="Y74" s="90" t="str">
        <f t="shared" si="14"/>
        <v/>
      </c>
      <c r="Z74" s="91" t="str">
        <f t="shared" si="9"/>
        <v/>
      </c>
      <c r="AB74" s="2"/>
      <c r="AC74" s="1"/>
      <c r="AE74" s="1"/>
      <c r="AF74" s="1"/>
      <c r="AG74" s="1"/>
      <c r="AH74" s="1"/>
      <c r="AI74" s="1"/>
      <c r="AJ74" s="1"/>
      <c r="AK74" s="1"/>
      <c r="AL74" s="1"/>
      <c r="AM74" s="1"/>
      <c r="AN74" s="1"/>
      <c r="AO74" s="1"/>
      <c r="AP74" s="1"/>
      <c r="AQ74" s="1"/>
      <c r="AR74" s="1"/>
      <c r="AS74" s="6"/>
      <c r="AT74" s="41" t="e">
        <f t="shared" si="10"/>
        <v>#DIV/0!</v>
      </c>
      <c r="AU74" s="41" t="e">
        <f t="shared" si="11"/>
        <v>#DIV/0!</v>
      </c>
      <c r="AV74" s="41" t="e">
        <f t="shared" si="12"/>
        <v>#DIV/0!</v>
      </c>
      <c r="AX74" s="6"/>
    </row>
    <row r="75" spans="1:50" ht="18" customHeight="1">
      <c r="A75" s="251">
        <f>INPUT!A73</f>
        <v>0</v>
      </c>
      <c r="B75" s="35">
        <f>INPUT!B73</f>
        <v>0</v>
      </c>
      <c r="C75" s="252">
        <f>INPUT!C73</f>
        <v>0</v>
      </c>
      <c r="D75" s="163"/>
      <c r="E75" s="86"/>
      <c r="F75" s="86"/>
      <c r="G75" s="86"/>
      <c r="H75" s="86"/>
      <c r="I75" s="87" t="str">
        <f t="shared" si="0"/>
        <v/>
      </c>
      <c r="J75" s="55" t="str">
        <f t="shared" si="1"/>
        <v/>
      </c>
      <c r="K75" s="88" t="str">
        <f t="shared" si="2"/>
        <v/>
      </c>
      <c r="L75" s="85"/>
      <c r="M75" s="86"/>
      <c r="N75" s="86"/>
      <c r="O75" s="87" t="str">
        <f t="shared" si="3"/>
        <v/>
      </c>
      <c r="P75" s="55" t="str">
        <f t="shared" si="4"/>
        <v/>
      </c>
      <c r="Q75" s="88" t="str">
        <f t="shared" si="5"/>
        <v/>
      </c>
      <c r="R75" s="85"/>
      <c r="S75" s="86"/>
      <c r="T75" s="86"/>
      <c r="U75" s="87" t="str">
        <f t="shared" si="6"/>
        <v/>
      </c>
      <c r="V75" s="55" t="str">
        <f t="shared" si="7"/>
        <v/>
      </c>
      <c r="W75" s="88" t="str">
        <f t="shared" si="8"/>
        <v/>
      </c>
      <c r="X75" s="89" t="str">
        <f t="shared" si="13"/>
        <v/>
      </c>
      <c r="Y75" s="90" t="str">
        <f t="shared" si="14"/>
        <v/>
      </c>
      <c r="Z75" s="91" t="str">
        <f t="shared" si="9"/>
        <v/>
      </c>
      <c r="AB75" s="2"/>
      <c r="AC75" s="1"/>
      <c r="AE75" s="1"/>
      <c r="AF75" s="1"/>
      <c r="AG75" s="1"/>
      <c r="AH75" s="1"/>
      <c r="AI75" s="1"/>
      <c r="AJ75" s="1"/>
      <c r="AK75" s="1"/>
      <c r="AL75" s="1"/>
      <c r="AM75" s="1"/>
      <c r="AN75" s="1"/>
      <c r="AO75" s="1"/>
      <c r="AP75" s="1"/>
      <c r="AQ75" s="1"/>
      <c r="AR75" s="1"/>
      <c r="AS75" s="6"/>
      <c r="AT75" s="41" t="e">
        <f t="shared" si="10"/>
        <v>#DIV/0!</v>
      </c>
      <c r="AU75" s="41" t="e">
        <f t="shared" si="11"/>
        <v>#DIV/0!</v>
      </c>
      <c r="AV75" s="41" t="e">
        <f t="shared" si="12"/>
        <v>#DIV/0!</v>
      </c>
      <c r="AX75" s="6"/>
    </row>
    <row r="76" spans="1:50" ht="18" customHeight="1">
      <c r="A76" s="251">
        <f>INPUT!A74</f>
        <v>0</v>
      </c>
      <c r="B76" s="35">
        <f>INPUT!B74</f>
        <v>0</v>
      </c>
      <c r="C76" s="252">
        <f>INPUT!C74</f>
        <v>0</v>
      </c>
      <c r="D76" s="163"/>
      <c r="E76" s="86"/>
      <c r="F76" s="86"/>
      <c r="G76" s="86"/>
      <c r="H76" s="86"/>
      <c r="I76" s="87" t="str">
        <f t="shared" si="0"/>
        <v/>
      </c>
      <c r="J76" s="55" t="str">
        <f t="shared" si="1"/>
        <v/>
      </c>
      <c r="K76" s="88" t="str">
        <f t="shared" si="2"/>
        <v/>
      </c>
      <c r="L76" s="85"/>
      <c r="M76" s="86"/>
      <c r="N76" s="86"/>
      <c r="O76" s="87" t="str">
        <f t="shared" si="3"/>
        <v/>
      </c>
      <c r="P76" s="55" t="str">
        <f t="shared" si="4"/>
        <v/>
      </c>
      <c r="Q76" s="88" t="str">
        <f t="shared" si="5"/>
        <v/>
      </c>
      <c r="R76" s="85"/>
      <c r="S76" s="86"/>
      <c r="T76" s="86"/>
      <c r="U76" s="87" t="str">
        <f t="shared" si="6"/>
        <v/>
      </c>
      <c r="V76" s="55" t="str">
        <f t="shared" si="7"/>
        <v/>
      </c>
      <c r="W76" s="88" t="str">
        <f t="shared" si="8"/>
        <v/>
      </c>
      <c r="X76" s="89" t="str">
        <f t="shared" si="13"/>
        <v/>
      </c>
      <c r="Y76" s="90" t="str">
        <f t="shared" si="14"/>
        <v/>
      </c>
      <c r="Z76" s="91" t="str">
        <f t="shared" si="9"/>
        <v/>
      </c>
      <c r="AB76" s="2"/>
      <c r="AC76" s="1"/>
      <c r="AE76" s="1"/>
      <c r="AF76" s="1"/>
      <c r="AG76" s="1"/>
      <c r="AH76" s="1"/>
      <c r="AI76" s="1"/>
      <c r="AJ76" s="1"/>
      <c r="AK76" s="1"/>
      <c r="AL76" s="1"/>
      <c r="AM76" s="1"/>
      <c r="AN76" s="1"/>
      <c r="AO76" s="1"/>
      <c r="AP76" s="1"/>
      <c r="AQ76" s="1"/>
      <c r="AR76" s="1"/>
      <c r="AS76" s="6"/>
      <c r="AT76" s="41" t="e">
        <f t="shared" si="10"/>
        <v>#DIV/0!</v>
      </c>
      <c r="AU76" s="41" t="e">
        <f t="shared" si="11"/>
        <v>#DIV/0!</v>
      </c>
      <c r="AV76" s="41" t="e">
        <f t="shared" si="12"/>
        <v>#DIV/0!</v>
      </c>
      <c r="AX76" s="6"/>
    </row>
    <row r="77" spans="1:50" ht="18" customHeight="1">
      <c r="A77" s="251">
        <f>INPUT!A75</f>
        <v>0</v>
      </c>
      <c r="B77" s="35">
        <f>INPUT!B75</f>
        <v>0</v>
      </c>
      <c r="C77" s="252">
        <f>INPUT!C75</f>
        <v>0</v>
      </c>
      <c r="D77" s="163"/>
      <c r="E77" s="86"/>
      <c r="F77" s="86"/>
      <c r="G77" s="86"/>
      <c r="H77" s="86"/>
      <c r="I77" s="87" t="str">
        <f t="shared" si="0"/>
        <v/>
      </c>
      <c r="J77" s="55" t="str">
        <f t="shared" si="1"/>
        <v/>
      </c>
      <c r="K77" s="88" t="str">
        <f t="shared" si="2"/>
        <v/>
      </c>
      <c r="L77" s="85"/>
      <c r="M77" s="86"/>
      <c r="N77" s="86"/>
      <c r="O77" s="87" t="str">
        <f t="shared" si="3"/>
        <v/>
      </c>
      <c r="P77" s="55" t="str">
        <f t="shared" si="4"/>
        <v/>
      </c>
      <c r="Q77" s="88" t="str">
        <f t="shared" si="5"/>
        <v/>
      </c>
      <c r="R77" s="85"/>
      <c r="S77" s="86"/>
      <c r="T77" s="86"/>
      <c r="U77" s="87" t="str">
        <f t="shared" si="6"/>
        <v/>
      </c>
      <c r="V77" s="55" t="str">
        <f t="shared" si="7"/>
        <v/>
      </c>
      <c r="W77" s="88" t="str">
        <f t="shared" si="8"/>
        <v/>
      </c>
      <c r="X77" s="89" t="str">
        <f t="shared" si="13"/>
        <v/>
      </c>
      <c r="Y77" s="90" t="str">
        <f t="shared" si="14"/>
        <v/>
      </c>
      <c r="Z77" s="91" t="str">
        <f t="shared" si="9"/>
        <v/>
      </c>
      <c r="AB77" s="2"/>
      <c r="AC77" s="1"/>
      <c r="AE77" s="1"/>
      <c r="AF77" s="1"/>
      <c r="AG77" s="1"/>
      <c r="AH77" s="1"/>
      <c r="AI77" s="1"/>
      <c r="AJ77" s="1"/>
      <c r="AK77" s="1"/>
      <c r="AL77" s="1"/>
      <c r="AM77" s="1"/>
      <c r="AN77" s="1"/>
      <c r="AO77" s="1"/>
      <c r="AP77" s="1"/>
      <c r="AQ77" s="1"/>
      <c r="AR77" s="1"/>
      <c r="AS77" s="6"/>
      <c r="AT77" s="41" t="e">
        <f t="shared" si="10"/>
        <v>#DIV/0!</v>
      </c>
      <c r="AU77" s="41" t="e">
        <f t="shared" si="11"/>
        <v>#DIV/0!</v>
      </c>
      <c r="AV77" s="41" t="e">
        <f t="shared" si="12"/>
        <v>#DIV/0!</v>
      </c>
      <c r="AX77" s="6"/>
    </row>
    <row r="78" spans="1:50" ht="18" customHeight="1">
      <c r="A78" s="251">
        <f>INPUT!A76</f>
        <v>0</v>
      </c>
      <c r="B78" s="35">
        <f>INPUT!B76</f>
        <v>0</v>
      </c>
      <c r="C78" s="252">
        <f>INPUT!C76</f>
        <v>0</v>
      </c>
      <c r="D78" s="163"/>
      <c r="E78" s="86"/>
      <c r="F78" s="86"/>
      <c r="G78" s="86"/>
      <c r="H78" s="86"/>
      <c r="I78" s="87" t="str">
        <f t="shared" si="0"/>
        <v/>
      </c>
      <c r="J78" s="55" t="str">
        <f t="shared" si="1"/>
        <v/>
      </c>
      <c r="K78" s="88" t="str">
        <f t="shared" si="2"/>
        <v/>
      </c>
      <c r="L78" s="85"/>
      <c r="M78" s="86"/>
      <c r="N78" s="86"/>
      <c r="O78" s="87" t="str">
        <f t="shared" si="3"/>
        <v/>
      </c>
      <c r="P78" s="55" t="str">
        <f t="shared" si="4"/>
        <v/>
      </c>
      <c r="Q78" s="88" t="str">
        <f t="shared" si="5"/>
        <v/>
      </c>
      <c r="R78" s="85"/>
      <c r="S78" s="86"/>
      <c r="T78" s="86"/>
      <c r="U78" s="87" t="str">
        <f t="shared" si="6"/>
        <v/>
      </c>
      <c r="V78" s="55" t="str">
        <f t="shared" si="7"/>
        <v/>
      </c>
      <c r="W78" s="88" t="str">
        <f t="shared" si="8"/>
        <v/>
      </c>
      <c r="X78" s="89" t="str">
        <f t="shared" si="13"/>
        <v/>
      </c>
      <c r="Y78" s="90" t="str">
        <f t="shared" si="14"/>
        <v/>
      </c>
      <c r="Z78" s="91" t="str">
        <f t="shared" si="9"/>
        <v/>
      </c>
      <c r="AB78" s="2"/>
      <c r="AC78" s="1"/>
      <c r="AE78" s="1"/>
      <c r="AF78" s="1"/>
      <c r="AG78" s="1"/>
      <c r="AH78" s="1"/>
      <c r="AI78" s="1"/>
      <c r="AJ78" s="1"/>
      <c r="AK78" s="1"/>
      <c r="AL78" s="1"/>
      <c r="AM78" s="1"/>
      <c r="AN78" s="1"/>
      <c r="AO78" s="1"/>
      <c r="AP78" s="1"/>
      <c r="AQ78" s="1"/>
      <c r="AR78" s="1"/>
      <c r="AS78" s="6"/>
      <c r="AT78" s="41" t="e">
        <f t="shared" si="10"/>
        <v>#DIV/0!</v>
      </c>
      <c r="AU78" s="41" t="e">
        <f t="shared" si="11"/>
        <v>#DIV/0!</v>
      </c>
      <c r="AV78" s="41" t="e">
        <f t="shared" si="12"/>
        <v>#DIV/0!</v>
      </c>
      <c r="AX78" s="6"/>
    </row>
    <row r="79" spans="1:50" ht="18" customHeight="1">
      <c r="A79" s="251">
        <f>INPUT!A77</f>
        <v>0</v>
      </c>
      <c r="B79" s="35">
        <f>INPUT!B77</f>
        <v>0</v>
      </c>
      <c r="C79" s="252">
        <f>INPUT!C77</f>
        <v>0</v>
      </c>
      <c r="D79" s="163"/>
      <c r="E79" s="86"/>
      <c r="F79" s="86"/>
      <c r="G79" s="86"/>
      <c r="H79" s="86"/>
      <c r="I79" s="87" t="str">
        <f t="shared" ref="I79:I114" si="15">IF(COUNT($D79:$H79)=0,"",SUM($D79:$H79))</f>
        <v/>
      </c>
      <c r="J79" s="55" t="str">
        <f t="shared" ref="J79:J114" si="16">IF(ISERROR(IF($I79="","",ROUND(($I79/$I$10)*$J$10,2))),"",IF($I79="","",ROUND(($I79/$I$10)*$J$10,2)))</f>
        <v/>
      </c>
      <c r="K79" s="88" t="str">
        <f t="shared" ref="K79:K114" si="17">IF($J79="","",ROUND($J79*$K$10,2))</f>
        <v/>
      </c>
      <c r="L79" s="85"/>
      <c r="M79" s="86"/>
      <c r="N79" s="86"/>
      <c r="O79" s="87" t="str">
        <f t="shared" ref="O79:O114" si="18">IF(COUNT($L79:$N79)=0,"",SUM($L79:$N79))</f>
        <v/>
      </c>
      <c r="P79" s="55" t="str">
        <f t="shared" ref="P79:P114" si="19">IF(ISERROR(IF($O79="","",ROUND(($O79/$O$10)*$P$10,2))),"",IF($O79="","",ROUND(($O79/$O$10)*$P$10,2)))</f>
        <v/>
      </c>
      <c r="Q79" s="88" t="str">
        <f t="shared" ref="Q79:Q114" si="20">IF($P79="","",ROUND($P79*$Q$10,2))</f>
        <v/>
      </c>
      <c r="R79" s="85"/>
      <c r="S79" s="86"/>
      <c r="T79" s="86"/>
      <c r="U79" s="87" t="str">
        <f t="shared" ref="U79:U114" si="21">IF(COUNT($R79:$T79)=0,"",SUM($R79:$T79))</f>
        <v/>
      </c>
      <c r="V79" s="55" t="str">
        <f t="shared" ref="V79:V114" si="22">IF(ISERROR(IF($U79="","",ROUND(($U79/$U$10)*$V$10,2))),"",IF($U79="","",ROUND(($U79/$U$10)*$V$10,2)))</f>
        <v/>
      </c>
      <c r="W79" s="88" t="str">
        <f t="shared" ref="W79:W114" si="23">IF($V79="","",ROUND($V79*$W$10,2))</f>
        <v/>
      </c>
      <c r="X79" s="89" t="str">
        <f t="shared" si="13"/>
        <v/>
      </c>
      <c r="Y79" s="90" t="str">
        <f t="shared" si="14"/>
        <v/>
      </c>
      <c r="Z79" s="91" t="str">
        <f t="shared" ref="Z79:Z114"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4" si="25">(R79/$R$10)*100</f>
        <v>#DIV/0!</v>
      </c>
      <c r="AU79" s="41" t="e">
        <f t="shared" ref="AU79:AU114" si="26">(S79/$S$10)*100</f>
        <v>#DIV/0!</v>
      </c>
      <c r="AV79" s="41" t="e">
        <f t="shared" ref="AV79:AV114" si="27">(T79/$T$10)*100</f>
        <v>#DIV/0!</v>
      </c>
      <c r="AX79" s="6"/>
    </row>
    <row r="80" spans="1:50" ht="18" customHeight="1">
      <c r="A80" s="251">
        <f>INPUT!A78</f>
        <v>0</v>
      </c>
      <c r="B80" s="35">
        <f>INPUT!B78</f>
        <v>0</v>
      </c>
      <c r="C80" s="252">
        <f>INPUT!C78</f>
        <v>0</v>
      </c>
      <c r="D80" s="163"/>
      <c r="E80" s="86"/>
      <c r="F80" s="86"/>
      <c r="G80" s="86"/>
      <c r="H80" s="86"/>
      <c r="I80" s="87" t="str">
        <f t="shared" si="15"/>
        <v/>
      </c>
      <c r="J80" s="55" t="str">
        <f t="shared" si="16"/>
        <v/>
      </c>
      <c r="K80" s="88" t="str">
        <f t="shared" si="17"/>
        <v/>
      </c>
      <c r="L80" s="85"/>
      <c r="M80" s="86"/>
      <c r="N80" s="86"/>
      <c r="O80" s="87" t="str">
        <f t="shared" si="18"/>
        <v/>
      </c>
      <c r="P80" s="55" t="str">
        <f t="shared" si="19"/>
        <v/>
      </c>
      <c r="Q80" s="88" t="str">
        <f t="shared" si="20"/>
        <v/>
      </c>
      <c r="R80" s="85"/>
      <c r="S80" s="86"/>
      <c r="T80" s="86"/>
      <c r="U80" s="87" t="str">
        <f t="shared" si="21"/>
        <v/>
      </c>
      <c r="V80" s="55" t="str">
        <f t="shared" si="22"/>
        <v/>
      </c>
      <c r="W80" s="88" t="str">
        <f t="shared" si="23"/>
        <v/>
      </c>
      <c r="X80" s="89" t="str">
        <f t="shared" ref="X80:X114" si="28">IF(ISERROR(IF($T80="","",ROUND(SUM($K80,$Q80,$W80),2))),"",IF($T80="","",ROUND(SUM($K80,$Q80,$W80),2)))</f>
        <v/>
      </c>
      <c r="Y80" s="90" t="str">
        <f t="shared" ref="Y80:Y114" si="29">IF(ISERROR(IF($T80="","",VLOOKUP(X80,NewTransmu,4,TRUE))),"",IF($T80="","",VLOOKUP(X80,NewTransmu,4,TRUE)))</f>
        <v/>
      </c>
      <c r="Z80" s="91"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251">
        <f>INPUT!A79</f>
        <v>0</v>
      </c>
      <c r="B81" s="35">
        <f>INPUT!B79</f>
        <v>0</v>
      </c>
      <c r="C81" s="252">
        <f>INPUT!C79</f>
        <v>0</v>
      </c>
      <c r="D81" s="163"/>
      <c r="E81" s="86"/>
      <c r="F81" s="86"/>
      <c r="G81" s="86"/>
      <c r="H81" s="86"/>
      <c r="I81" s="87" t="str">
        <f t="shared" si="15"/>
        <v/>
      </c>
      <c r="J81" s="55" t="str">
        <f t="shared" si="16"/>
        <v/>
      </c>
      <c r="K81" s="88" t="str">
        <f t="shared" si="17"/>
        <v/>
      </c>
      <c r="L81" s="85"/>
      <c r="M81" s="86"/>
      <c r="N81" s="86"/>
      <c r="O81" s="87" t="str">
        <f t="shared" si="18"/>
        <v/>
      </c>
      <c r="P81" s="55" t="str">
        <f t="shared" si="19"/>
        <v/>
      </c>
      <c r="Q81" s="88" t="str">
        <f t="shared" si="20"/>
        <v/>
      </c>
      <c r="R81" s="85"/>
      <c r="S81" s="86"/>
      <c r="T81" s="86"/>
      <c r="U81" s="87" t="str">
        <f t="shared" si="21"/>
        <v/>
      </c>
      <c r="V81" s="55" t="str">
        <f t="shared" si="22"/>
        <v/>
      </c>
      <c r="W81" s="88" t="str">
        <f t="shared" si="23"/>
        <v/>
      </c>
      <c r="X81" s="89" t="str">
        <f t="shared" si="28"/>
        <v/>
      </c>
      <c r="Y81" s="90" t="str">
        <f t="shared" si="29"/>
        <v/>
      </c>
      <c r="Z81" s="91"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251">
        <f>INPUT!A80</f>
        <v>0</v>
      </c>
      <c r="B82" s="35">
        <f>INPUT!B80</f>
        <v>0</v>
      </c>
      <c r="C82" s="252">
        <f>INPUT!C80</f>
        <v>0</v>
      </c>
      <c r="D82" s="163"/>
      <c r="E82" s="86"/>
      <c r="F82" s="86"/>
      <c r="G82" s="86"/>
      <c r="H82" s="86"/>
      <c r="I82" s="87" t="str">
        <f t="shared" si="15"/>
        <v/>
      </c>
      <c r="J82" s="55" t="str">
        <f t="shared" si="16"/>
        <v/>
      </c>
      <c r="K82" s="88" t="str">
        <f t="shared" si="17"/>
        <v/>
      </c>
      <c r="L82" s="85"/>
      <c r="M82" s="86"/>
      <c r="N82" s="86"/>
      <c r="O82" s="87" t="str">
        <f t="shared" si="18"/>
        <v/>
      </c>
      <c r="P82" s="55" t="str">
        <f t="shared" si="19"/>
        <v/>
      </c>
      <c r="Q82" s="88" t="str">
        <f t="shared" si="20"/>
        <v/>
      </c>
      <c r="R82" s="85"/>
      <c r="S82" s="86"/>
      <c r="T82" s="86"/>
      <c r="U82" s="87" t="str">
        <f t="shared" si="21"/>
        <v/>
      </c>
      <c r="V82" s="55" t="str">
        <f t="shared" si="22"/>
        <v/>
      </c>
      <c r="W82" s="88" t="str">
        <f t="shared" si="23"/>
        <v/>
      </c>
      <c r="X82" s="89" t="str">
        <f t="shared" si="28"/>
        <v/>
      </c>
      <c r="Y82" s="90" t="str">
        <f t="shared" si="29"/>
        <v/>
      </c>
      <c r="Z82" s="91"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251">
        <f>INPUT!A81</f>
        <v>0</v>
      </c>
      <c r="B83" s="35">
        <f>INPUT!B81</f>
        <v>0</v>
      </c>
      <c r="C83" s="252">
        <f>INPUT!C81</f>
        <v>0</v>
      </c>
      <c r="D83" s="163"/>
      <c r="E83" s="86"/>
      <c r="F83" s="86"/>
      <c r="G83" s="86"/>
      <c r="H83" s="86"/>
      <c r="I83" s="87" t="str">
        <f t="shared" si="15"/>
        <v/>
      </c>
      <c r="J83" s="55" t="str">
        <f t="shared" si="16"/>
        <v/>
      </c>
      <c r="K83" s="88" t="str">
        <f t="shared" si="17"/>
        <v/>
      </c>
      <c r="L83" s="85"/>
      <c r="M83" s="86"/>
      <c r="N83" s="86"/>
      <c r="O83" s="87" t="str">
        <f t="shared" si="18"/>
        <v/>
      </c>
      <c r="P83" s="55" t="str">
        <f t="shared" si="19"/>
        <v/>
      </c>
      <c r="Q83" s="88" t="str">
        <f t="shared" si="20"/>
        <v/>
      </c>
      <c r="R83" s="85"/>
      <c r="S83" s="86"/>
      <c r="T83" s="86"/>
      <c r="U83" s="87" t="str">
        <f t="shared" si="21"/>
        <v/>
      </c>
      <c r="V83" s="55" t="str">
        <f t="shared" si="22"/>
        <v/>
      </c>
      <c r="W83" s="88" t="str">
        <f t="shared" si="23"/>
        <v/>
      </c>
      <c r="X83" s="89" t="str">
        <f t="shared" si="28"/>
        <v/>
      </c>
      <c r="Y83" s="90" t="str">
        <f t="shared" si="29"/>
        <v/>
      </c>
      <c r="Z83" s="91"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251">
        <f>INPUT!A82</f>
        <v>0</v>
      </c>
      <c r="B84" s="35">
        <f>INPUT!B82</f>
        <v>0</v>
      </c>
      <c r="C84" s="252">
        <f>INPUT!C82</f>
        <v>0</v>
      </c>
      <c r="D84" s="163"/>
      <c r="E84" s="86"/>
      <c r="F84" s="86"/>
      <c r="G84" s="86"/>
      <c r="H84" s="86"/>
      <c r="I84" s="87" t="str">
        <f t="shared" si="15"/>
        <v/>
      </c>
      <c r="J84" s="55" t="str">
        <f t="shared" si="16"/>
        <v/>
      </c>
      <c r="K84" s="88" t="str">
        <f t="shared" si="17"/>
        <v/>
      </c>
      <c r="L84" s="85"/>
      <c r="M84" s="86"/>
      <c r="N84" s="86"/>
      <c r="O84" s="87" t="str">
        <f t="shared" si="18"/>
        <v/>
      </c>
      <c r="P84" s="55" t="str">
        <f t="shared" si="19"/>
        <v/>
      </c>
      <c r="Q84" s="88" t="str">
        <f t="shared" si="20"/>
        <v/>
      </c>
      <c r="R84" s="85"/>
      <c r="S84" s="86"/>
      <c r="T84" s="86"/>
      <c r="U84" s="87" t="str">
        <f t="shared" si="21"/>
        <v/>
      </c>
      <c r="V84" s="55" t="str">
        <f t="shared" si="22"/>
        <v/>
      </c>
      <c r="W84" s="88" t="str">
        <f t="shared" si="23"/>
        <v/>
      </c>
      <c r="X84" s="89" t="str">
        <f t="shared" si="28"/>
        <v/>
      </c>
      <c r="Y84" s="90" t="str">
        <f t="shared" si="29"/>
        <v/>
      </c>
      <c r="Z84" s="91"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251">
        <f>INPUT!A83</f>
        <v>0</v>
      </c>
      <c r="B85" s="35">
        <f>INPUT!B83</f>
        <v>0</v>
      </c>
      <c r="C85" s="252">
        <f>INPUT!C83</f>
        <v>0</v>
      </c>
      <c r="D85" s="163"/>
      <c r="E85" s="86"/>
      <c r="F85" s="86"/>
      <c r="G85" s="86"/>
      <c r="H85" s="86"/>
      <c r="I85" s="87" t="str">
        <f t="shared" si="15"/>
        <v/>
      </c>
      <c r="J85" s="55" t="str">
        <f t="shared" si="16"/>
        <v/>
      </c>
      <c r="K85" s="88" t="str">
        <f t="shared" si="17"/>
        <v/>
      </c>
      <c r="L85" s="85"/>
      <c r="M85" s="86"/>
      <c r="N85" s="86"/>
      <c r="O85" s="87" t="str">
        <f t="shared" si="18"/>
        <v/>
      </c>
      <c r="P85" s="55" t="str">
        <f t="shared" si="19"/>
        <v/>
      </c>
      <c r="Q85" s="88" t="str">
        <f t="shared" si="20"/>
        <v/>
      </c>
      <c r="R85" s="85"/>
      <c r="S85" s="86"/>
      <c r="T85" s="86"/>
      <c r="U85" s="87" t="str">
        <f t="shared" si="21"/>
        <v/>
      </c>
      <c r="V85" s="55" t="str">
        <f t="shared" si="22"/>
        <v/>
      </c>
      <c r="W85" s="88" t="str">
        <f t="shared" si="23"/>
        <v/>
      </c>
      <c r="X85" s="89" t="str">
        <f t="shared" si="28"/>
        <v/>
      </c>
      <c r="Y85" s="90" t="str">
        <f t="shared" si="29"/>
        <v/>
      </c>
      <c r="Z85" s="91"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251">
        <f>INPUT!A84</f>
        <v>0</v>
      </c>
      <c r="B86" s="35">
        <f>INPUT!B84</f>
        <v>0</v>
      </c>
      <c r="C86" s="252">
        <f>INPUT!C84</f>
        <v>0</v>
      </c>
      <c r="D86" s="163"/>
      <c r="E86" s="86"/>
      <c r="F86" s="86"/>
      <c r="G86" s="86"/>
      <c r="H86" s="86"/>
      <c r="I86" s="87" t="str">
        <f t="shared" si="15"/>
        <v/>
      </c>
      <c r="J86" s="55" t="str">
        <f t="shared" si="16"/>
        <v/>
      </c>
      <c r="K86" s="88" t="str">
        <f t="shared" si="17"/>
        <v/>
      </c>
      <c r="L86" s="85"/>
      <c r="M86" s="86"/>
      <c r="N86" s="86"/>
      <c r="O86" s="87" t="str">
        <f t="shared" si="18"/>
        <v/>
      </c>
      <c r="P86" s="55" t="str">
        <f t="shared" si="19"/>
        <v/>
      </c>
      <c r="Q86" s="88" t="str">
        <f t="shared" si="20"/>
        <v/>
      </c>
      <c r="R86" s="85"/>
      <c r="S86" s="86"/>
      <c r="T86" s="86"/>
      <c r="U86" s="87" t="str">
        <f t="shared" si="21"/>
        <v/>
      </c>
      <c r="V86" s="55" t="str">
        <f t="shared" si="22"/>
        <v/>
      </c>
      <c r="W86" s="88" t="str">
        <f t="shared" si="23"/>
        <v/>
      </c>
      <c r="X86" s="89" t="str">
        <f t="shared" si="28"/>
        <v/>
      </c>
      <c r="Y86" s="90" t="str">
        <f t="shared" si="29"/>
        <v/>
      </c>
      <c r="Z86" s="91"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251">
        <f>INPUT!A85</f>
        <v>0</v>
      </c>
      <c r="B87" s="35">
        <f>INPUT!B85</f>
        <v>0</v>
      </c>
      <c r="C87" s="252">
        <f>INPUT!C85</f>
        <v>0</v>
      </c>
      <c r="D87" s="163"/>
      <c r="E87" s="86"/>
      <c r="F87" s="86"/>
      <c r="G87" s="86"/>
      <c r="H87" s="86"/>
      <c r="I87" s="87" t="str">
        <f t="shared" si="15"/>
        <v/>
      </c>
      <c r="J87" s="55" t="str">
        <f t="shared" si="16"/>
        <v/>
      </c>
      <c r="K87" s="88" t="str">
        <f t="shared" si="17"/>
        <v/>
      </c>
      <c r="L87" s="85"/>
      <c r="M87" s="86"/>
      <c r="N87" s="86"/>
      <c r="O87" s="87" t="str">
        <f t="shared" si="18"/>
        <v/>
      </c>
      <c r="P87" s="55" t="str">
        <f t="shared" si="19"/>
        <v/>
      </c>
      <c r="Q87" s="88" t="str">
        <f t="shared" si="20"/>
        <v/>
      </c>
      <c r="R87" s="85"/>
      <c r="S87" s="86"/>
      <c r="T87" s="86"/>
      <c r="U87" s="87" t="str">
        <f t="shared" si="21"/>
        <v/>
      </c>
      <c r="V87" s="55" t="str">
        <f t="shared" si="22"/>
        <v/>
      </c>
      <c r="W87" s="88" t="str">
        <f t="shared" si="23"/>
        <v/>
      </c>
      <c r="X87" s="89" t="str">
        <f t="shared" si="28"/>
        <v/>
      </c>
      <c r="Y87" s="90" t="str">
        <f t="shared" si="29"/>
        <v/>
      </c>
      <c r="Z87" s="91"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251">
        <f>INPUT!A86</f>
        <v>0</v>
      </c>
      <c r="B88" s="35">
        <f>INPUT!B86</f>
        <v>0</v>
      </c>
      <c r="C88" s="252">
        <f>INPUT!C86</f>
        <v>0</v>
      </c>
      <c r="D88" s="163"/>
      <c r="E88" s="86"/>
      <c r="F88" s="86"/>
      <c r="G88" s="86"/>
      <c r="H88" s="86"/>
      <c r="I88" s="87" t="str">
        <f t="shared" si="15"/>
        <v/>
      </c>
      <c r="J88" s="55" t="str">
        <f t="shared" si="16"/>
        <v/>
      </c>
      <c r="K88" s="88" t="str">
        <f t="shared" si="17"/>
        <v/>
      </c>
      <c r="L88" s="85"/>
      <c r="M88" s="86"/>
      <c r="N88" s="86"/>
      <c r="O88" s="87" t="str">
        <f t="shared" si="18"/>
        <v/>
      </c>
      <c r="P88" s="55" t="str">
        <f t="shared" si="19"/>
        <v/>
      </c>
      <c r="Q88" s="88" t="str">
        <f t="shared" si="20"/>
        <v/>
      </c>
      <c r="R88" s="85"/>
      <c r="S88" s="86"/>
      <c r="T88" s="86"/>
      <c r="U88" s="87" t="str">
        <f t="shared" si="21"/>
        <v/>
      </c>
      <c r="V88" s="55" t="str">
        <f t="shared" si="22"/>
        <v/>
      </c>
      <c r="W88" s="88" t="str">
        <f t="shared" si="23"/>
        <v/>
      </c>
      <c r="X88" s="89" t="str">
        <f t="shared" si="28"/>
        <v/>
      </c>
      <c r="Y88" s="90" t="str">
        <f t="shared" si="29"/>
        <v/>
      </c>
      <c r="Z88" s="91"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251">
        <f>INPUT!A87</f>
        <v>0</v>
      </c>
      <c r="B89" s="35">
        <f>INPUT!B87</f>
        <v>0</v>
      </c>
      <c r="C89" s="252">
        <f>INPUT!C87</f>
        <v>0</v>
      </c>
      <c r="D89" s="163"/>
      <c r="E89" s="86"/>
      <c r="F89" s="86"/>
      <c r="G89" s="86"/>
      <c r="H89" s="86"/>
      <c r="I89" s="87" t="str">
        <f t="shared" si="15"/>
        <v/>
      </c>
      <c r="J89" s="55" t="str">
        <f t="shared" si="16"/>
        <v/>
      </c>
      <c r="K89" s="88" t="str">
        <f t="shared" si="17"/>
        <v/>
      </c>
      <c r="L89" s="85"/>
      <c r="M89" s="86"/>
      <c r="N89" s="86"/>
      <c r="O89" s="87" t="str">
        <f t="shared" si="18"/>
        <v/>
      </c>
      <c r="P89" s="55" t="str">
        <f t="shared" si="19"/>
        <v/>
      </c>
      <c r="Q89" s="88" t="str">
        <f t="shared" si="20"/>
        <v/>
      </c>
      <c r="R89" s="85"/>
      <c r="S89" s="86"/>
      <c r="T89" s="86"/>
      <c r="U89" s="87" t="str">
        <f t="shared" si="21"/>
        <v/>
      </c>
      <c r="V89" s="55" t="str">
        <f t="shared" si="22"/>
        <v/>
      </c>
      <c r="W89" s="88" t="str">
        <f t="shared" si="23"/>
        <v/>
      </c>
      <c r="X89" s="89" t="str">
        <f t="shared" si="28"/>
        <v/>
      </c>
      <c r="Y89" s="90" t="str">
        <f t="shared" si="29"/>
        <v/>
      </c>
      <c r="Z89" s="91"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251">
        <f>INPUT!A88</f>
        <v>0</v>
      </c>
      <c r="B90" s="35">
        <f>INPUT!B88</f>
        <v>0</v>
      </c>
      <c r="C90" s="252">
        <f>INPUT!C88</f>
        <v>0</v>
      </c>
      <c r="D90" s="163"/>
      <c r="E90" s="86"/>
      <c r="F90" s="86"/>
      <c r="G90" s="86"/>
      <c r="H90" s="86"/>
      <c r="I90" s="87" t="str">
        <f t="shared" si="15"/>
        <v/>
      </c>
      <c r="J90" s="55" t="str">
        <f t="shared" si="16"/>
        <v/>
      </c>
      <c r="K90" s="88" t="str">
        <f t="shared" si="17"/>
        <v/>
      </c>
      <c r="L90" s="85"/>
      <c r="M90" s="86"/>
      <c r="N90" s="86"/>
      <c r="O90" s="87" t="str">
        <f t="shared" si="18"/>
        <v/>
      </c>
      <c r="P90" s="55" t="str">
        <f t="shared" si="19"/>
        <v/>
      </c>
      <c r="Q90" s="88" t="str">
        <f t="shared" si="20"/>
        <v/>
      </c>
      <c r="R90" s="85"/>
      <c r="S90" s="86"/>
      <c r="T90" s="86"/>
      <c r="U90" s="87" t="str">
        <f t="shared" si="21"/>
        <v/>
      </c>
      <c r="V90" s="55" t="str">
        <f t="shared" si="22"/>
        <v/>
      </c>
      <c r="W90" s="88" t="str">
        <f t="shared" si="23"/>
        <v/>
      </c>
      <c r="X90" s="89" t="str">
        <f t="shared" si="28"/>
        <v/>
      </c>
      <c r="Y90" s="90" t="str">
        <f t="shared" si="29"/>
        <v/>
      </c>
      <c r="Z90" s="91"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251">
        <f>INPUT!A89</f>
        <v>0</v>
      </c>
      <c r="B91" s="35">
        <f>INPUT!B89</f>
        <v>0</v>
      </c>
      <c r="C91" s="252">
        <f>INPUT!C89</f>
        <v>0</v>
      </c>
      <c r="D91" s="163"/>
      <c r="E91" s="86"/>
      <c r="F91" s="86"/>
      <c r="G91" s="86"/>
      <c r="H91" s="86"/>
      <c r="I91" s="87" t="str">
        <f t="shared" si="15"/>
        <v/>
      </c>
      <c r="J91" s="55" t="str">
        <f t="shared" si="16"/>
        <v/>
      </c>
      <c r="K91" s="88" t="str">
        <f t="shared" si="17"/>
        <v/>
      </c>
      <c r="L91" s="85"/>
      <c r="M91" s="86"/>
      <c r="N91" s="86"/>
      <c r="O91" s="87" t="str">
        <f t="shared" si="18"/>
        <v/>
      </c>
      <c r="P91" s="55" t="str">
        <f t="shared" si="19"/>
        <v/>
      </c>
      <c r="Q91" s="88" t="str">
        <f t="shared" si="20"/>
        <v/>
      </c>
      <c r="R91" s="85"/>
      <c r="S91" s="86"/>
      <c r="T91" s="86"/>
      <c r="U91" s="87" t="str">
        <f t="shared" si="21"/>
        <v/>
      </c>
      <c r="V91" s="55" t="str">
        <f t="shared" si="22"/>
        <v/>
      </c>
      <c r="W91" s="88" t="str">
        <f t="shared" si="23"/>
        <v/>
      </c>
      <c r="X91" s="89" t="str">
        <f t="shared" si="28"/>
        <v/>
      </c>
      <c r="Y91" s="90" t="str">
        <f t="shared" si="29"/>
        <v/>
      </c>
      <c r="Z91" s="91"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251">
        <f>INPUT!A90</f>
        <v>0</v>
      </c>
      <c r="B92" s="35">
        <f>INPUT!B90</f>
        <v>0</v>
      </c>
      <c r="C92" s="252">
        <f>INPUT!C90</f>
        <v>0</v>
      </c>
      <c r="D92" s="163"/>
      <c r="E92" s="86"/>
      <c r="F92" s="86"/>
      <c r="G92" s="86"/>
      <c r="H92" s="86"/>
      <c r="I92" s="87" t="str">
        <f t="shared" si="15"/>
        <v/>
      </c>
      <c r="J92" s="55" t="str">
        <f t="shared" si="16"/>
        <v/>
      </c>
      <c r="K92" s="88" t="str">
        <f t="shared" si="17"/>
        <v/>
      </c>
      <c r="L92" s="85"/>
      <c r="M92" s="86"/>
      <c r="N92" s="86"/>
      <c r="O92" s="87" t="str">
        <f t="shared" si="18"/>
        <v/>
      </c>
      <c r="P92" s="55" t="str">
        <f t="shared" si="19"/>
        <v/>
      </c>
      <c r="Q92" s="88" t="str">
        <f t="shared" si="20"/>
        <v/>
      </c>
      <c r="R92" s="85"/>
      <c r="S92" s="86"/>
      <c r="T92" s="86"/>
      <c r="U92" s="87" t="str">
        <f t="shared" si="21"/>
        <v/>
      </c>
      <c r="V92" s="55" t="str">
        <f t="shared" si="22"/>
        <v/>
      </c>
      <c r="W92" s="88" t="str">
        <f t="shared" si="23"/>
        <v/>
      </c>
      <c r="X92" s="89" t="str">
        <f t="shared" si="28"/>
        <v/>
      </c>
      <c r="Y92" s="90" t="str">
        <f t="shared" si="29"/>
        <v/>
      </c>
      <c r="Z92" s="91"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251">
        <f>INPUT!A91</f>
        <v>0</v>
      </c>
      <c r="B93" s="35">
        <f>INPUT!B91</f>
        <v>0</v>
      </c>
      <c r="C93" s="252">
        <f>INPUT!C91</f>
        <v>0</v>
      </c>
      <c r="D93" s="163"/>
      <c r="E93" s="86"/>
      <c r="F93" s="86"/>
      <c r="G93" s="86"/>
      <c r="H93" s="86"/>
      <c r="I93" s="87" t="str">
        <f t="shared" si="15"/>
        <v/>
      </c>
      <c r="J93" s="55" t="str">
        <f t="shared" si="16"/>
        <v/>
      </c>
      <c r="K93" s="88" t="str">
        <f t="shared" si="17"/>
        <v/>
      </c>
      <c r="L93" s="85"/>
      <c r="M93" s="86"/>
      <c r="N93" s="86"/>
      <c r="O93" s="87" t="str">
        <f t="shared" si="18"/>
        <v/>
      </c>
      <c r="P93" s="55" t="str">
        <f t="shared" si="19"/>
        <v/>
      </c>
      <c r="Q93" s="88" t="str">
        <f t="shared" si="20"/>
        <v/>
      </c>
      <c r="R93" s="85"/>
      <c r="S93" s="86"/>
      <c r="T93" s="86"/>
      <c r="U93" s="87" t="str">
        <f t="shared" si="21"/>
        <v/>
      </c>
      <c r="V93" s="55" t="str">
        <f t="shared" si="22"/>
        <v/>
      </c>
      <c r="W93" s="88" t="str">
        <f t="shared" si="23"/>
        <v/>
      </c>
      <c r="X93" s="89" t="str">
        <f t="shared" si="28"/>
        <v/>
      </c>
      <c r="Y93" s="90" t="str">
        <f t="shared" si="29"/>
        <v/>
      </c>
      <c r="Z93" s="91"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251">
        <f>INPUT!A92</f>
        <v>0</v>
      </c>
      <c r="B94" s="35">
        <f>INPUT!B92</f>
        <v>0</v>
      </c>
      <c r="C94" s="252">
        <f>INPUT!C92</f>
        <v>0</v>
      </c>
      <c r="D94" s="163"/>
      <c r="E94" s="86"/>
      <c r="F94" s="86"/>
      <c r="G94" s="86"/>
      <c r="H94" s="86"/>
      <c r="I94" s="87" t="str">
        <f t="shared" si="15"/>
        <v/>
      </c>
      <c r="J94" s="55" t="str">
        <f t="shared" si="16"/>
        <v/>
      </c>
      <c r="K94" s="88" t="str">
        <f t="shared" si="17"/>
        <v/>
      </c>
      <c r="L94" s="85"/>
      <c r="M94" s="86"/>
      <c r="N94" s="86"/>
      <c r="O94" s="87" t="str">
        <f t="shared" si="18"/>
        <v/>
      </c>
      <c r="P94" s="55" t="str">
        <f t="shared" si="19"/>
        <v/>
      </c>
      <c r="Q94" s="88" t="str">
        <f t="shared" si="20"/>
        <v/>
      </c>
      <c r="R94" s="85"/>
      <c r="S94" s="86"/>
      <c r="T94" s="86"/>
      <c r="U94" s="87" t="str">
        <f t="shared" si="21"/>
        <v/>
      </c>
      <c r="V94" s="55" t="str">
        <f t="shared" si="22"/>
        <v/>
      </c>
      <c r="W94" s="88" t="str">
        <f t="shared" si="23"/>
        <v/>
      </c>
      <c r="X94" s="89" t="str">
        <f t="shared" si="28"/>
        <v/>
      </c>
      <c r="Y94" s="90" t="str">
        <f t="shared" si="29"/>
        <v/>
      </c>
      <c r="Z94" s="91"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251">
        <f>INPUT!A93</f>
        <v>0</v>
      </c>
      <c r="B95" s="35">
        <f>INPUT!B93</f>
        <v>0</v>
      </c>
      <c r="C95" s="252">
        <f>INPUT!C93</f>
        <v>0</v>
      </c>
      <c r="D95" s="163"/>
      <c r="E95" s="86"/>
      <c r="F95" s="86"/>
      <c r="G95" s="86"/>
      <c r="H95" s="86"/>
      <c r="I95" s="87" t="str">
        <f t="shared" si="15"/>
        <v/>
      </c>
      <c r="J95" s="55" t="str">
        <f t="shared" si="16"/>
        <v/>
      </c>
      <c r="K95" s="88" t="str">
        <f t="shared" si="17"/>
        <v/>
      </c>
      <c r="L95" s="85"/>
      <c r="M95" s="86"/>
      <c r="N95" s="86"/>
      <c r="O95" s="87" t="str">
        <f t="shared" si="18"/>
        <v/>
      </c>
      <c r="P95" s="55" t="str">
        <f t="shared" si="19"/>
        <v/>
      </c>
      <c r="Q95" s="88" t="str">
        <f t="shared" si="20"/>
        <v/>
      </c>
      <c r="R95" s="85"/>
      <c r="S95" s="86"/>
      <c r="T95" s="86"/>
      <c r="U95" s="87" t="str">
        <f t="shared" si="21"/>
        <v/>
      </c>
      <c r="V95" s="55" t="str">
        <f t="shared" si="22"/>
        <v/>
      </c>
      <c r="W95" s="88" t="str">
        <f t="shared" si="23"/>
        <v/>
      </c>
      <c r="X95" s="89" t="str">
        <f t="shared" si="28"/>
        <v/>
      </c>
      <c r="Y95" s="90" t="str">
        <f t="shared" si="29"/>
        <v/>
      </c>
      <c r="Z95" s="91"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251">
        <f>INPUT!A94</f>
        <v>0</v>
      </c>
      <c r="B96" s="35">
        <f>INPUT!B94</f>
        <v>0</v>
      </c>
      <c r="C96" s="252">
        <f>INPUT!C94</f>
        <v>0</v>
      </c>
      <c r="D96" s="163"/>
      <c r="E96" s="86"/>
      <c r="F96" s="86"/>
      <c r="G96" s="86"/>
      <c r="H96" s="86"/>
      <c r="I96" s="87" t="str">
        <f t="shared" si="15"/>
        <v/>
      </c>
      <c r="J96" s="55" t="str">
        <f t="shared" si="16"/>
        <v/>
      </c>
      <c r="K96" s="88" t="str">
        <f t="shared" si="17"/>
        <v/>
      </c>
      <c r="L96" s="85"/>
      <c r="M96" s="86"/>
      <c r="N96" s="86"/>
      <c r="O96" s="87" t="str">
        <f t="shared" si="18"/>
        <v/>
      </c>
      <c r="P96" s="55" t="str">
        <f t="shared" si="19"/>
        <v/>
      </c>
      <c r="Q96" s="88" t="str">
        <f t="shared" si="20"/>
        <v/>
      </c>
      <c r="R96" s="85"/>
      <c r="S96" s="86"/>
      <c r="T96" s="86"/>
      <c r="U96" s="87" t="str">
        <f t="shared" si="21"/>
        <v/>
      </c>
      <c r="V96" s="55" t="str">
        <f t="shared" si="22"/>
        <v/>
      </c>
      <c r="W96" s="88" t="str">
        <f t="shared" si="23"/>
        <v/>
      </c>
      <c r="X96" s="89" t="str">
        <f t="shared" si="28"/>
        <v/>
      </c>
      <c r="Y96" s="90" t="str">
        <f t="shared" si="29"/>
        <v/>
      </c>
      <c r="Z96" s="91"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251">
        <f>INPUT!A95</f>
        <v>0</v>
      </c>
      <c r="B97" s="35">
        <f>INPUT!B95</f>
        <v>0</v>
      </c>
      <c r="C97" s="252">
        <f>INPUT!C95</f>
        <v>0</v>
      </c>
      <c r="D97" s="163"/>
      <c r="E97" s="86"/>
      <c r="F97" s="86"/>
      <c r="G97" s="86"/>
      <c r="H97" s="86"/>
      <c r="I97" s="87" t="str">
        <f t="shared" si="15"/>
        <v/>
      </c>
      <c r="J97" s="55" t="str">
        <f t="shared" si="16"/>
        <v/>
      </c>
      <c r="K97" s="88" t="str">
        <f t="shared" si="17"/>
        <v/>
      </c>
      <c r="L97" s="85"/>
      <c r="M97" s="86"/>
      <c r="N97" s="86"/>
      <c r="O97" s="87" t="str">
        <f t="shared" si="18"/>
        <v/>
      </c>
      <c r="P97" s="55" t="str">
        <f t="shared" si="19"/>
        <v/>
      </c>
      <c r="Q97" s="88" t="str">
        <f t="shared" si="20"/>
        <v/>
      </c>
      <c r="R97" s="85"/>
      <c r="S97" s="86"/>
      <c r="T97" s="86"/>
      <c r="U97" s="87" t="str">
        <f t="shared" si="21"/>
        <v/>
      </c>
      <c r="V97" s="55" t="str">
        <f t="shared" si="22"/>
        <v/>
      </c>
      <c r="W97" s="88" t="str">
        <f t="shared" si="23"/>
        <v/>
      </c>
      <c r="X97" s="89" t="str">
        <f t="shared" si="28"/>
        <v/>
      </c>
      <c r="Y97" s="90" t="str">
        <f t="shared" si="29"/>
        <v/>
      </c>
      <c r="Z97" s="91"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251">
        <f>INPUT!A96</f>
        <v>0</v>
      </c>
      <c r="B98" s="35">
        <f>INPUT!B96</f>
        <v>0</v>
      </c>
      <c r="C98" s="252">
        <f>INPUT!C96</f>
        <v>0</v>
      </c>
      <c r="D98" s="163"/>
      <c r="E98" s="86"/>
      <c r="F98" s="86"/>
      <c r="G98" s="86"/>
      <c r="H98" s="86"/>
      <c r="I98" s="87" t="str">
        <f t="shared" si="15"/>
        <v/>
      </c>
      <c r="J98" s="55" t="str">
        <f t="shared" si="16"/>
        <v/>
      </c>
      <c r="K98" s="88" t="str">
        <f t="shared" si="17"/>
        <v/>
      </c>
      <c r="L98" s="85"/>
      <c r="M98" s="86"/>
      <c r="N98" s="86"/>
      <c r="O98" s="87" t="str">
        <f t="shared" si="18"/>
        <v/>
      </c>
      <c r="P98" s="55" t="str">
        <f t="shared" si="19"/>
        <v/>
      </c>
      <c r="Q98" s="88" t="str">
        <f t="shared" si="20"/>
        <v/>
      </c>
      <c r="R98" s="85"/>
      <c r="S98" s="86"/>
      <c r="T98" s="86"/>
      <c r="U98" s="87" t="str">
        <f t="shared" si="21"/>
        <v/>
      </c>
      <c r="V98" s="55" t="str">
        <f t="shared" si="22"/>
        <v/>
      </c>
      <c r="W98" s="88" t="str">
        <f t="shared" si="23"/>
        <v/>
      </c>
      <c r="X98" s="89" t="str">
        <f t="shared" si="28"/>
        <v/>
      </c>
      <c r="Y98" s="90" t="str">
        <f t="shared" si="29"/>
        <v/>
      </c>
      <c r="Z98" s="91"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251">
        <f>INPUT!A97</f>
        <v>0</v>
      </c>
      <c r="B99" s="35">
        <f>INPUT!B97</f>
        <v>0</v>
      </c>
      <c r="C99" s="252">
        <f>INPUT!C97</f>
        <v>0</v>
      </c>
      <c r="D99" s="163"/>
      <c r="E99" s="86"/>
      <c r="F99" s="86"/>
      <c r="G99" s="86"/>
      <c r="H99" s="86"/>
      <c r="I99" s="87" t="str">
        <f t="shared" si="15"/>
        <v/>
      </c>
      <c r="J99" s="55" t="str">
        <f t="shared" si="16"/>
        <v/>
      </c>
      <c r="K99" s="88" t="str">
        <f t="shared" si="17"/>
        <v/>
      </c>
      <c r="L99" s="85"/>
      <c r="M99" s="86"/>
      <c r="N99" s="86"/>
      <c r="O99" s="87" t="str">
        <f t="shared" si="18"/>
        <v/>
      </c>
      <c r="P99" s="55" t="str">
        <f t="shared" si="19"/>
        <v/>
      </c>
      <c r="Q99" s="88" t="str">
        <f t="shared" si="20"/>
        <v/>
      </c>
      <c r="R99" s="85"/>
      <c r="S99" s="86"/>
      <c r="T99" s="86"/>
      <c r="U99" s="87" t="str">
        <f t="shared" si="21"/>
        <v/>
      </c>
      <c r="V99" s="55" t="str">
        <f t="shared" si="22"/>
        <v/>
      </c>
      <c r="W99" s="88" t="str">
        <f t="shared" si="23"/>
        <v/>
      </c>
      <c r="X99" s="89" t="str">
        <f t="shared" si="28"/>
        <v/>
      </c>
      <c r="Y99" s="90" t="str">
        <f t="shared" si="29"/>
        <v/>
      </c>
      <c r="Z99" s="91"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251">
        <f>INPUT!A98</f>
        <v>0</v>
      </c>
      <c r="B100" s="35">
        <f>INPUT!B98</f>
        <v>0</v>
      </c>
      <c r="C100" s="252">
        <f>INPUT!C98</f>
        <v>0</v>
      </c>
      <c r="D100" s="163"/>
      <c r="E100" s="86"/>
      <c r="F100" s="86"/>
      <c r="G100" s="86"/>
      <c r="H100" s="86"/>
      <c r="I100" s="87" t="str">
        <f t="shared" si="15"/>
        <v/>
      </c>
      <c r="J100" s="55" t="str">
        <f t="shared" si="16"/>
        <v/>
      </c>
      <c r="K100" s="88" t="str">
        <f t="shared" si="17"/>
        <v/>
      </c>
      <c r="L100" s="85"/>
      <c r="M100" s="86"/>
      <c r="N100" s="86"/>
      <c r="O100" s="87" t="str">
        <f t="shared" si="18"/>
        <v/>
      </c>
      <c r="P100" s="55" t="str">
        <f t="shared" si="19"/>
        <v/>
      </c>
      <c r="Q100" s="88" t="str">
        <f t="shared" si="20"/>
        <v/>
      </c>
      <c r="R100" s="85"/>
      <c r="S100" s="86"/>
      <c r="T100" s="86"/>
      <c r="U100" s="87" t="str">
        <f t="shared" si="21"/>
        <v/>
      </c>
      <c r="V100" s="55" t="str">
        <f t="shared" si="22"/>
        <v/>
      </c>
      <c r="W100" s="88" t="str">
        <f t="shared" si="23"/>
        <v/>
      </c>
      <c r="X100" s="89" t="str">
        <f t="shared" si="28"/>
        <v/>
      </c>
      <c r="Y100" s="90" t="str">
        <f t="shared" si="29"/>
        <v/>
      </c>
      <c r="Z100" s="91"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251">
        <f>INPUT!A99</f>
        <v>0</v>
      </c>
      <c r="B101" s="35">
        <f>INPUT!B99</f>
        <v>0</v>
      </c>
      <c r="C101" s="252">
        <f>INPUT!C99</f>
        <v>0</v>
      </c>
      <c r="D101" s="163"/>
      <c r="E101" s="86"/>
      <c r="F101" s="86"/>
      <c r="G101" s="86"/>
      <c r="H101" s="86"/>
      <c r="I101" s="87" t="str">
        <f t="shared" si="15"/>
        <v/>
      </c>
      <c r="J101" s="55" t="str">
        <f t="shared" si="16"/>
        <v/>
      </c>
      <c r="K101" s="88" t="str">
        <f t="shared" si="17"/>
        <v/>
      </c>
      <c r="L101" s="85"/>
      <c r="M101" s="86"/>
      <c r="N101" s="86"/>
      <c r="O101" s="87" t="str">
        <f t="shared" si="18"/>
        <v/>
      </c>
      <c r="P101" s="55" t="str">
        <f t="shared" si="19"/>
        <v/>
      </c>
      <c r="Q101" s="88" t="str">
        <f t="shared" si="20"/>
        <v/>
      </c>
      <c r="R101" s="85"/>
      <c r="S101" s="86"/>
      <c r="T101" s="86"/>
      <c r="U101" s="87" t="str">
        <f t="shared" si="21"/>
        <v/>
      </c>
      <c r="V101" s="55" t="str">
        <f t="shared" si="22"/>
        <v/>
      </c>
      <c r="W101" s="88" t="str">
        <f t="shared" si="23"/>
        <v/>
      </c>
      <c r="X101" s="89" t="str">
        <f t="shared" si="28"/>
        <v/>
      </c>
      <c r="Y101" s="90" t="str">
        <f t="shared" si="29"/>
        <v/>
      </c>
      <c r="Z101" s="91"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251">
        <f>INPUT!A100</f>
        <v>0</v>
      </c>
      <c r="B102" s="35">
        <f>INPUT!B100</f>
        <v>0</v>
      </c>
      <c r="C102" s="252">
        <f>INPUT!C100</f>
        <v>0</v>
      </c>
      <c r="D102" s="163"/>
      <c r="E102" s="86"/>
      <c r="F102" s="86"/>
      <c r="G102" s="86"/>
      <c r="H102" s="86"/>
      <c r="I102" s="87" t="str">
        <f t="shared" si="15"/>
        <v/>
      </c>
      <c r="J102" s="55" t="str">
        <f t="shared" si="16"/>
        <v/>
      </c>
      <c r="K102" s="88" t="str">
        <f t="shared" si="17"/>
        <v/>
      </c>
      <c r="L102" s="85"/>
      <c r="M102" s="86"/>
      <c r="N102" s="86"/>
      <c r="O102" s="87" t="str">
        <f t="shared" si="18"/>
        <v/>
      </c>
      <c r="P102" s="55" t="str">
        <f t="shared" si="19"/>
        <v/>
      </c>
      <c r="Q102" s="88" t="str">
        <f t="shared" si="20"/>
        <v/>
      </c>
      <c r="R102" s="85"/>
      <c r="S102" s="86"/>
      <c r="T102" s="86"/>
      <c r="U102" s="87" t="str">
        <f t="shared" si="21"/>
        <v/>
      </c>
      <c r="V102" s="55" t="str">
        <f t="shared" si="22"/>
        <v/>
      </c>
      <c r="W102" s="88" t="str">
        <f t="shared" si="23"/>
        <v/>
      </c>
      <c r="X102" s="89" t="str">
        <f t="shared" si="28"/>
        <v/>
      </c>
      <c r="Y102" s="90" t="str">
        <f t="shared" si="29"/>
        <v/>
      </c>
      <c r="Z102" s="91"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251">
        <f>INPUT!A101</f>
        <v>0</v>
      </c>
      <c r="B103" s="35">
        <f>INPUT!B101</f>
        <v>0</v>
      </c>
      <c r="C103" s="252">
        <f>INPUT!C101</f>
        <v>0</v>
      </c>
      <c r="D103" s="163"/>
      <c r="E103" s="86"/>
      <c r="F103" s="86"/>
      <c r="G103" s="86"/>
      <c r="H103" s="86"/>
      <c r="I103" s="87" t="str">
        <f t="shared" si="15"/>
        <v/>
      </c>
      <c r="J103" s="55" t="str">
        <f t="shared" si="16"/>
        <v/>
      </c>
      <c r="K103" s="88" t="str">
        <f t="shared" si="17"/>
        <v/>
      </c>
      <c r="L103" s="85"/>
      <c r="M103" s="86"/>
      <c r="N103" s="86"/>
      <c r="O103" s="87" t="str">
        <f t="shared" si="18"/>
        <v/>
      </c>
      <c r="P103" s="55" t="str">
        <f t="shared" si="19"/>
        <v/>
      </c>
      <c r="Q103" s="88" t="str">
        <f t="shared" si="20"/>
        <v/>
      </c>
      <c r="R103" s="85"/>
      <c r="S103" s="86"/>
      <c r="T103" s="86"/>
      <c r="U103" s="87" t="str">
        <f t="shared" si="21"/>
        <v/>
      </c>
      <c r="V103" s="55" t="str">
        <f t="shared" si="22"/>
        <v/>
      </c>
      <c r="W103" s="88" t="str">
        <f t="shared" si="23"/>
        <v/>
      </c>
      <c r="X103" s="89" t="str">
        <f t="shared" si="28"/>
        <v/>
      </c>
      <c r="Y103" s="90" t="str">
        <f t="shared" si="29"/>
        <v/>
      </c>
      <c r="Z103" s="91"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251">
        <f>INPUT!A102</f>
        <v>0</v>
      </c>
      <c r="B104" s="35">
        <f>INPUT!B102</f>
        <v>0</v>
      </c>
      <c r="C104" s="252">
        <f>INPUT!C102</f>
        <v>0</v>
      </c>
      <c r="D104" s="163"/>
      <c r="E104" s="86"/>
      <c r="F104" s="86"/>
      <c r="G104" s="86"/>
      <c r="H104" s="86"/>
      <c r="I104" s="87" t="str">
        <f t="shared" si="15"/>
        <v/>
      </c>
      <c r="J104" s="55" t="str">
        <f t="shared" si="16"/>
        <v/>
      </c>
      <c r="K104" s="88" t="str">
        <f t="shared" si="17"/>
        <v/>
      </c>
      <c r="L104" s="85"/>
      <c r="M104" s="86"/>
      <c r="N104" s="86"/>
      <c r="O104" s="87" t="str">
        <f t="shared" si="18"/>
        <v/>
      </c>
      <c r="P104" s="55" t="str">
        <f t="shared" si="19"/>
        <v/>
      </c>
      <c r="Q104" s="88" t="str">
        <f t="shared" si="20"/>
        <v/>
      </c>
      <c r="R104" s="85"/>
      <c r="S104" s="86"/>
      <c r="T104" s="86"/>
      <c r="U104" s="87" t="str">
        <f t="shared" si="21"/>
        <v/>
      </c>
      <c r="V104" s="55" t="str">
        <f t="shared" si="22"/>
        <v/>
      </c>
      <c r="W104" s="88" t="str">
        <f t="shared" si="23"/>
        <v/>
      </c>
      <c r="X104" s="89" t="str">
        <f t="shared" si="28"/>
        <v/>
      </c>
      <c r="Y104" s="90" t="str">
        <f t="shared" si="29"/>
        <v/>
      </c>
      <c r="Z104" s="91"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251">
        <f>INPUT!A103</f>
        <v>0</v>
      </c>
      <c r="B105" s="35">
        <f>INPUT!B103</f>
        <v>0</v>
      </c>
      <c r="C105" s="252">
        <f>INPUT!C103</f>
        <v>0</v>
      </c>
      <c r="D105" s="163"/>
      <c r="E105" s="86"/>
      <c r="F105" s="86"/>
      <c r="G105" s="86"/>
      <c r="H105" s="86"/>
      <c r="I105" s="87" t="str">
        <f t="shared" si="15"/>
        <v/>
      </c>
      <c r="J105" s="55" t="str">
        <f t="shared" si="16"/>
        <v/>
      </c>
      <c r="K105" s="88" t="str">
        <f t="shared" si="17"/>
        <v/>
      </c>
      <c r="L105" s="85"/>
      <c r="M105" s="86"/>
      <c r="N105" s="86"/>
      <c r="O105" s="87" t="str">
        <f t="shared" si="18"/>
        <v/>
      </c>
      <c r="P105" s="55" t="str">
        <f t="shared" si="19"/>
        <v/>
      </c>
      <c r="Q105" s="88" t="str">
        <f t="shared" si="20"/>
        <v/>
      </c>
      <c r="R105" s="85"/>
      <c r="S105" s="86"/>
      <c r="T105" s="86"/>
      <c r="U105" s="87" t="str">
        <f t="shared" si="21"/>
        <v/>
      </c>
      <c r="V105" s="55" t="str">
        <f t="shared" si="22"/>
        <v/>
      </c>
      <c r="W105" s="88" t="str">
        <f t="shared" si="23"/>
        <v/>
      </c>
      <c r="X105" s="89" t="str">
        <f t="shared" si="28"/>
        <v/>
      </c>
      <c r="Y105" s="90" t="str">
        <f t="shared" si="29"/>
        <v/>
      </c>
      <c r="Z105" s="91"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251">
        <f>INPUT!A104</f>
        <v>0</v>
      </c>
      <c r="B106" s="35">
        <f>INPUT!B104</f>
        <v>0</v>
      </c>
      <c r="C106" s="252">
        <f>INPUT!C104</f>
        <v>0</v>
      </c>
      <c r="D106" s="163"/>
      <c r="E106" s="86"/>
      <c r="F106" s="86"/>
      <c r="G106" s="86"/>
      <c r="H106" s="86"/>
      <c r="I106" s="87" t="str">
        <f t="shared" si="15"/>
        <v/>
      </c>
      <c r="J106" s="55" t="str">
        <f t="shared" si="16"/>
        <v/>
      </c>
      <c r="K106" s="88" t="str">
        <f t="shared" si="17"/>
        <v/>
      </c>
      <c r="L106" s="85"/>
      <c r="M106" s="86"/>
      <c r="N106" s="86"/>
      <c r="O106" s="87" t="str">
        <f t="shared" si="18"/>
        <v/>
      </c>
      <c r="P106" s="55" t="str">
        <f t="shared" si="19"/>
        <v/>
      </c>
      <c r="Q106" s="88" t="str">
        <f t="shared" si="20"/>
        <v/>
      </c>
      <c r="R106" s="85"/>
      <c r="S106" s="86"/>
      <c r="T106" s="86"/>
      <c r="U106" s="87" t="str">
        <f t="shared" si="21"/>
        <v/>
      </c>
      <c r="V106" s="55" t="str">
        <f t="shared" si="22"/>
        <v/>
      </c>
      <c r="W106" s="88" t="str">
        <f t="shared" si="23"/>
        <v/>
      </c>
      <c r="X106" s="89" t="str">
        <f t="shared" si="28"/>
        <v/>
      </c>
      <c r="Y106" s="90" t="str">
        <f t="shared" si="29"/>
        <v/>
      </c>
      <c r="Z106" s="91"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251">
        <f>INPUT!A105</f>
        <v>0</v>
      </c>
      <c r="B107" s="35">
        <f>INPUT!B105</f>
        <v>0</v>
      </c>
      <c r="C107" s="252">
        <f>INPUT!C105</f>
        <v>0</v>
      </c>
      <c r="D107" s="163"/>
      <c r="E107" s="86"/>
      <c r="F107" s="86"/>
      <c r="G107" s="86"/>
      <c r="H107" s="86"/>
      <c r="I107" s="87" t="str">
        <f t="shared" si="15"/>
        <v/>
      </c>
      <c r="J107" s="55" t="str">
        <f t="shared" si="16"/>
        <v/>
      </c>
      <c r="K107" s="88" t="str">
        <f t="shared" si="17"/>
        <v/>
      </c>
      <c r="L107" s="85"/>
      <c r="M107" s="86"/>
      <c r="N107" s="86"/>
      <c r="O107" s="87" t="str">
        <f t="shared" si="18"/>
        <v/>
      </c>
      <c r="P107" s="55" t="str">
        <f t="shared" si="19"/>
        <v/>
      </c>
      <c r="Q107" s="88" t="str">
        <f t="shared" si="20"/>
        <v/>
      </c>
      <c r="R107" s="85"/>
      <c r="S107" s="86"/>
      <c r="T107" s="86"/>
      <c r="U107" s="87" t="str">
        <f t="shared" si="21"/>
        <v/>
      </c>
      <c r="V107" s="55" t="str">
        <f t="shared" si="22"/>
        <v/>
      </c>
      <c r="W107" s="88" t="str">
        <f t="shared" si="23"/>
        <v/>
      </c>
      <c r="X107" s="89" t="str">
        <f t="shared" si="28"/>
        <v/>
      </c>
      <c r="Y107" s="90" t="str">
        <f t="shared" si="29"/>
        <v/>
      </c>
      <c r="Z107" s="91"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251">
        <f>INPUT!A106</f>
        <v>0</v>
      </c>
      <c r="B108" s="35">
        <f>INPUT!B106</f>
        <v>0</v>
      </c>
      <c r="C108" s="252">
        <f>INPUT!C106</f>
        <v>0</v>
      </c>
      <c r="D108" s="163"/>
      <c r="E108" s="86"/>
      <c r="F108" s="86"/>
      <c r="G108" s="86"/>
      <c r="H108" s="86"/>
      <c r="I108" s="87" t="str">
        <f t="shared" si="15"/>
        <v/>
      </c>
      <c r="J108" s="55" t="str">
        <f t="shared" si="16"/>
        <v/>
      </c>
      <c r="K108" s="88" t="str">
        <f t="shared" si="17"/>
        <v/>
      </c>
      <c r="L108" s="85"/>
      <c r="M108" s="86"/>
      <c r="N108" s="86"/>
      <c r="O108" s="87" t="str">
        <f t="shared" si="18"/>
        <v/>
      </c>
      <c r="P108" s="55" t="str">
        <f t="shared" si="19"/>
        <v/>
      </c>
      <c r="Q108" s="88" t="str">
        <f t="shared" si="20"/>
        <v/>
      </c>
      <c r="R108" s="85"/>
      <c r="S108" s="86"/>
      <c r="T108" s="86"/>
      <c r="U108" s="87" t="str">
        <f t="shared" si="21"/>
        <v/>
      </c>
      <c r="V108" s="55" t="str">
        <f t="shared" si="22"/>
        <v/>
      </c>
      <c r="W108" s="88" t="str">
        <f t="shared" si="23"/>
        <v/>
      </c>
      <c r="X108" s="89" t="str">
        <f t="shared" si="28"/>
        <v/>
      </c>
      <c r="Y108" s="90" t="str">
        <f t="shared" si="29"/>
        <v/>
      </c>
      <c r="Z108" s="91"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251">
        <f>INPUT!A107</f>
        <v>0</v>
      </c>
      <c r="B109" s="35">
        <f>INPUT!B107</f>
        <v>0</v>
      </c>
      <c r="C109" s="252">
        <f>INPUT!C107</f>
        <v>0</v>
      </c>
      <c r="D109" s="163"/>
      <c r="E109" s="86"/>
      <c r="F109" s="86"/>
      <c r="G109" s="86"/>
      <c r="H109" s="86"/>
      <c r="I109" s="87" t="str">
        <f t="shared" si="15"/>
        <v/>
      </c>
      <c r="J109" s="55" t="str">
        <f t="shared" si="16"/>
        <v/>
      </c>
      <c r="K109" s="88" t="str">
        <f t="shared" si="17"/>
        <v/>
      </c>
      <c r="L109" s="85"/>
      <c r="M109" s="86"/>
      <c r="N109" s="86"/>
      <c r="O109" s="87" t="str">
        <f t="shared" si="18"/>
        <v/>
      </c>
      <c r="P109" s="55" t="str">
        <f t="shared" si="19"/>
        <v/>
      </c>
      <c r="Q109" s="88" t="str">
        <f t="shared" si="20"/>
        <v/>
      </c>
      <c r="R109" s="85"/>
      <c r="S109" s="86"/>
      <c r="T109" s="86"/>
      <c r="U109" s="87" t="str">
        <f t="shared" si="21"/>
        <v/>
      </c>
      <c r="V109" s="55" t="str">
        <f t="shared" si="22"/>
        <v/>
      </c>
      <c r="W109" s="88" t="str">
        <f t="shared" si="23"/>
        <v/>
      </c>
      <c r="X109" s="89" t="str">
        <f t="shared" si="28"/>
        <v/>
      </c>
      <c r="Y109" s="90" t="str">
        <f t="shared" si="29"/>
        <v/>
      </c>
      <c r="Z109" s="91"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251">
        <f>INPUT!A108</f>
        <v>0</v>
      </c>
      <c r="B110" s="35">
        <f>INPUT!B108</f>
        <v>0</v>
      </c>
      <c r="C110" s="252">
        <f>INPUT!C108</f>
        <v>0</v>
      </c>
      <c r="D110" s="163"/>
      <c r="E110" s="86"/>
      <c r="F110" s="86"/>
      <c r="G110" s="86"/>
      <c r="H110" s="86"/>
      <c r="I110" s="87" t="str">
        <f t="shared" si="15"/>
        <v/>
      </c>
      <c r="J110" s="55" t="str">
        <f t="shared" si="16"/>
        <v/>
      </c>
      <c r="K110" s="88" t="str">
        <f t="shared" si="17"/>
        <v/>
      </c>
      <c r="L110" s="85"/>
      <c r="M110" s="86"/>
      <c r="N110" s="86"/>
      <c r="O110" s="87" t="str">
        <f t="shared" si="18"/>
        <v/>
      </c>
      <c r="P110" s="55" t="str">
        <f t="shared" si="19"/>
        <v/>
      </c>
      <c r="Q110" s="88" t="str">
        <f t="shared" si="20"/>
        <v/>
      </c>
      <c r="R110" s="85"/>
      <c r="S110" s="86"/>
      <c r="T110" s="86"/>
      <c r="U110" s="87" t="str">
        <f t="shared" si="21"/>
        <v/>
      </c>
      <c r="V110" s="55" t="str">
        <f t="shared" si="22"/>
        <v/>
      </c>
      <c r="W110" s="88" t="str">
        <f t="shared" si="23"/>
        <v/>
      </c>
      <c r="X110" s="89" t="str">
        <f t="shared" si="28"/>
        <v/>
      </c>
      <c r="Y110" s="90" t="str">
        <f t="shared" si="29"/>
        <v/>
      </c>
      <c r="Z110" s="91"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251">
        <f>INPUT!A109</f>
        <v>0</v>
      </c>
      <c r="B111" s="35">
        <f>INPUT!B109</f>
        <v>0</v>
      </c>
      <c r="C111" s="252">
        <f>INPUT!C109</f>
        <v>0</v>
      </c>
      <c r="D111" s="163"/>
      <c r="E111" s="86"/>
      <c r="F111" s="86"/>
      <c r="G111" s="86"/>
      <c r="H111" s="86"/>
      <c r="I111" s="87" t="str">
        <f t="shared" si="15"/>
        <v/>
      </c>
      <c r="J111" s="55" t="str">
        <f t="shared" si="16"/>
        <v/>
      </c>
      <c r="K111" s="88" t="str">
        <f t="shared" si="17"/>
        <v/>
      </c>
      <c r="L111" s="85"/>
      <c r="M111" s="86"/>
      <c r="N111" s="86"/>
      <c r="O111" s="87" t="str">
        <f t="shared" si="18"/>
        <v/>
      </c>
      <c r="P111" s="55" t="str">
        <f t="shared" si="19"/>
        <v/>
      </c>
      <c r="Q111" s="88" t="str">
        <f t="shared" si="20"/>
        <v/>
      </c>
      <c r="R111" s="85"/>
      <c r="S111" s="86"/>
      <c r="T111" s="86"/>
      <c r="U111" s="87" t="str">
        <f t="shared" si="21"/>
        <v/>
      </c>
      <c r="V111" s="55" t="str">
        <f t="shared" si="22"/>
        <v/>
      </c>
      <c r="W111" s="88" t="str">
        <f t="shared" si="23"/>
        <v/>
      </c>
      <c r="X111" s="89" t="str">
        <f t="shared" si="28"/>
        <v/>
      </c>
      <c r="Y111" s="90" t="str">
        <f t="shared" si="29"/>
        <v/>
      </c>
      <c r="Z111" s="91"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251">
        <f>INPUT!A110</f>
        <v>0</v>
      </c>
      <c r="B112" s="35">
        <f>INPUT!B110</f>
        <v>0</v>
      </c>
      <c r="C112" s="252">
        <f>INPUT!C110</f>
        <v>0</v>
      </c>
      <c r="D112" s="163"/>
      <c r="E112" s="86"/>
      <c r="F112" s="86"/>
      <c r="G112" s="86"/>
      <c r="H112" s="86"/>
      <c r="I112" s="87" t="str">
        <f t="shared" si="15"/>
        <v/>
      </c>
      <c r="J112" s="55" t="str">
        <f t="shared" si="16"/>
        <v/>
      </c>
      <c r="K112" s="88" t="str">
        <f t="shared" si="17"/>
        <v/>
      </c>
      <c r="L112" s="85"/>
      <c r="M112" s="86"/>
      <c r="N112" s="86"/>
      <c r="O112" s="87" t="str">
        <f t="shared" si="18"/>
        <v/>
      </c>
      <c r="P112" s="55" t="str">
        <f t="shared" si="19"/>
        <v/>
      </c>
      <c r="Q112" s="88" t="str">
        <f t="shared" si="20"/>
        <v/>
      </c>
      <c r="R112" s="85"/>
      <c r="S112" s="86"/>
      <c r="T112" s="86"/>
      <c r="U112" s="87" t="str">
        <f t="shared" si="21"/>
        <v/>
      </c>
      <c r="V112" s="55" t="str">
        <f t="shared" si="22"/>
        <v/>
      </c>
      <c r="W112" s="88" t="str">
        <f t="shared" si="23"/>
        <v/>
      </c>
      <c r="X112" s="89" t="str">
        <f t="shared" si="28"/>
        <v/>
      </c>
      <c r="Y112" s="90" t="str">
        <f t="shared" si="29"/>
        <v/>
      </c>
      <c r="Z112" s="91"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251">
        <f>INPUT!A111</f>
        <v>0</v>
      </c>
      <c r="B113" s="35">
        <f>INPUT!B111</f>
        <v>0</v>
      </c>
      <c r="C113" s="252">
        <f>INPUT!C111</f>
        <v>0</v>
      </c>
      <c r="D113" s="163"/>
      <c r="E113" s="86"/>
      <c r="F113" s="86"/>
      <c r="G113" s="86"/>
      <c r="H113" s="86"/>
      <c r="I113" s="87" t="str">
        <f t="shared" si="15"/>
        <v/>
      </c>
      <c r="J113" s="55" t="str">
        <f t="shared" si="16"/>
        <v/>
      </c>
      <c r="K113" s="88" t="str">
        <f t="shared" si="17"/>
        <v/>
      </c>
      <c r="L113" s="85"/>
      <c r="M113" s="86"/>
      <c r="N113" s="86"/>
      <c r="O113" s="87" t="str">
        <f t="shared" si="18"/>
        <v/>
      </c>
      <c r="P113" s="55" t="str">
        <f t="shared" si="19"/>
        <v/>
      </c>
      <c r="Q113" s="88" t="str">
        <f t="shared" si="20"/>
        <v/>
      </c>
      <c r="R113" s="85"/>
      <c r="S113" s="86"/>
      <c r="T113" s="86"/>
      <c r="U113" s="87" t="str">
        <f t="shared" si="21"/>
        <v/>
      </c>
      <c r="V113" s="55" t="str">
        <f t="shared" si="22"/>
        <v/>
      </c>
      <c r="W113" s="88" t="str">
        <f t="shared" si="23"/>
        <v/>
      </c>
      <c r="X113" s="89" t="str">
        <f t="shared" si="28"/>
        <v/>
      </c>
      <c r="Y113" s="90" t="str">
        <f t="shared" si="29"/>
        <v/>
      </c>
      <c r="Z113" s="91"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s="1" customFormat="1" ht="18" hidden="1" customHeight="1" thickBot="1">
      <c r="A114" s="211" t="s">
        <v>101</v>
      </c>
      <c r="B114" s="212" t="s">
        <v>104</v>
      </c>
      <c r="C114" s="213" t="s">
        <v>102</v>
      </c>
      <c r="D114" s="205"/>
      <c r="E114" s="206"/>
      <c r="F114" s="206"/>
      <c r="G114" s="206"/>
      <c r="H114" s="206"/>
      <c r="I114" s="214" t="str">
        <f t="shared" si="15"/>
        <v/>
      </c>
      <c r="J114" s="215" t="str">
        <f t="shared" si="16"/>
        <v/>
      </c>
      <c r="K114" s="216" t="str">
        <f t="shared" si="17"/>
        <v/>
      </c>
      <c r="L114" s="205"/>
      <c r="M114" s="206"/>
      <c r="N114" s="206"/>
      <c r="O114" s="214" t="str">
        <f t="shared" si="18"/>
        <v/>
      </c>
      <c r="P114" s="215" t="str">
        <f t="shared" si="19"/>
        <v/>
      </c>
      <c r="Q114" s="216" t="str">
        <f t="shared" si="20"/>
        <v/>
      </c>
      <c r="R114" s="205"/>
      <c r="S114" s="206"/>
      <c r="T114" s="206"/>
      <c r="U114" s="214" t="str">
        <f t="shared" si="21"/>
        <v/>
      </c>
      <c r="V114" s="215" t="str">
        <f t="shared" si="22"/>
        <v/>
      </c>
      <c r="W114" s="216" t="str">
        <f t="shared" si="23"/>
        <v/>
      </c>
      <c r="X114" s="217" t="str">
        <f t="shared" si="28"/>
        <v/>
      </c>
      <c r="Y114" s="218" t="str">
        <f t="shared" si="29"/>
        <v/>
      </c>
      <c r="Z114" s="219" t="str">
        <f t="shared" si="24"/>
        <v/>
      </c>
      <c r="AD114" s="48"/>
      <c r="AS114" s="6"/>
      <c r="AT114" s="41" t="e">
        <f t="shared" si="25"/>
        <v>#DIV/0!</v>
      </c>
      <c r="AU114" s="41" t="e">
        <f t="shared" si="26"/>
        <v>#DIV/0!</v>
      </c>
      <c r="AV114" s="41" t="e">
        <f t="shared" si="27"/>
        <v>#DIV/0!</v>
      </c>
      <c r="AW114" s="6"/>
      <c r="AX114" s="6"/>
    </row>
    <row r="120" spans="1:50" s="2" customFormat="1">
      <c r="I120" s="3"/>
      <c r="J120" s="3"/>
      <c r="O120" s="3"/>
      <c r="P120" s="3"/>
      <c r="Q120" s="3"/>
      <c r="R120" s="3"/>
      <c r="U120" s="3"/>
      <c r="V120" s="3"/>
      <c r="W120" s="3"/>
      <c r="X120" s="4"/>
      <c r="AC120" s="4"/>
      <c r="AD120" s="4"/>
      <c r="AE120" s="4"/>
      <c r="AF120" s="4"/>
      <c r="AG120" s="4"/>
      <c r="AH120" s="4"/>
      <c r="AI120" s="4"/>
      <c r="AJ120" s="4"/>
      <c r="AK120" s="4"/>
      <c r="AL120" s="4"/>
      <c r="AM120" s="4"/>
      <c r="AN120" s="4"/>
      <c r="AO120" s="4"/>
      <c r="AP120" s="4"/>
      <c r="AQ120" s="4"/>
      <c r="AR120" s="19"/>
      <c r="AS120" s="19"/>
      <c r="AT120" s="47"/>
      <c r="AU120" s="47"/>
      <c r="AV120" s="47"/>
      <c r="AW120" s="47"/>
    </row>
  </sheetData>
  <mergeCells count="29">
    <mergeCell ref="D1:L2"/>
    <mergeCell ref="O1:T4"/>
    <mergeCell ref="B2:B5"/>
    <mergeCell ref="D4:E4"/>
    <mergeCell ref="F4:H4"/>
    <mergeCell ref="I4:L4"/>
    <mergeCell ref="D5:L5"/>
    <mergeCell ref="N5:O5"/>
    <mergeCell ref="P5:R5"/>
    <mergeCell ref="S5:V5"/>
    <mergeCell ref="W5:X5"/>
    <mergeCell ref="A7:C7"/>
    <mergeCell ref="I7:K7"/>
    <mergeCell ref="L7:N7"/>
    <mergeCell ref="O7:Q7"/>
    <mergeCell ref="R7:T7"/>
    <mergeCell ref="U7:W7"/>
    <mergeCell ref="B64:C64"/>
    <mergeCell ref="A8:A9"/>
    <mergeCell ref="B8:B9"/>
    <mergeCell ref="C8:C9"/>
    <mergeCell ref="D8:K8"/>
    <mergeCell ref="X8:X10"/>
    <mergeCell ref="Y8:Y10"/>
    <mergeCell ref="Z8:Z10"/>
    <mergeCell ref="A10:C10"/>
    <mergeCell ref="B11:C11"/>
    <mergeCell ref="L8:Q8"/>
    <mergeCell ref="R8:W8"/>
  </mergeCells>
  <conditionalFormatting sqref="Y13:Y63 Y66:Y114">
    <cfRule type="cellIs" dxfId="6" priority="4" operator="lessThan">
      <formula>75</formula>
    </cfRule>
  </conditionalFormatting>
  <conditionalFormatting sqref="Z13:Z114">
    <cfRule type="containsText" dxfId="5" priority="1" operator="containsText" text="Emerging">
      <formula>NOT(ISERROR(SEARCH("Emerging",Z13)))</formula>
    </cfRule>
    <cfRule type="containsText" dxfId="4" priority="2" operator="containsText" text="Developing">
      <formula>NOT(ISERROR(SEARCH("Developing",Z13)))</formula>
    </cfRule>
  </conditionalFormatting>
  <dataValidations count="51">
    <dataValidation allowBlank="1" showInputMessage="1" showErrorMessage="1" prompt="Encode Quarterly Assessment's Highest Possible Score" sqref="T10:U10 T12:U12" xr:uid="{CBFDD39C-EE09-4166-9A85-E0CA5E0BA2FA}"/>
    <dataValidation allowBlank="1" showInputMessage="1" prompt="Encode Quarterly Assessment's Highest Possible Score" sqref="T10:U10 T12:U12" xr:uid="{0273812F-E80A-412A-8243-0EA2BA55E332}"/>
    <dataValidation allowBlank="1" showInputMessage="1" prompt="Summative Tests' and Term Examination's Weighted Score" sqref="W13:W63 W66:W114" xr:uid="{93C4A84D-B04E-47D0-B2D4-DCA70270C2E6}"/>
    <dataValidation allowBlank="1" showInputMessage="1" prompt="Summative Tests' and Term Examination's Percentage Score" sqref="V13:V63 V66:V114" xr:uid="{5E320483-CD68-4B15-920E-79259A32BE75}"/>
    <dataValidation allowBlank="1" showInputMessage="1" showErrorMessage="1" prompt="Summative Tests' and Term Examination's Total Score" sqref="U13:U63 U66:U114" xr:uid="{9C6E7F88-10D7-4B51-8B08-5EA68D2BED4A}"/>
    <dataValidation allowBlank="1" showInputMessage="1" showErrorMessage="1" prompt="EITHER WRITE YOUR OWN HPS OR EMPTY" sqref="K65547:M65548 K131083:M131084 K196619:M196620 K262155:M262156 K327691:M327692 K393227:M393228 K458763:M458764 K524299:M524300 K589835:M589836 K655371:M655372 K720907:M720908 K786443:M786444 K851979:M851980 K917515:M917516 K983051:M983052 IN10:IW12 IM65547:IV65548 IM131083:IV131084 IM196619:IV196620 IM262155:IV262156 IM327691:IV327692 IM393227:IV393228 IM458763:IV458764 IM524299:IV524300 IM589835:IV589836 IM655371:IV655372 IM720907:IV720908 IM786443:IV786444 IM851979:IV851980 IM917515:IV917516 IM983051:IV983052 JA10:JJ12 IZ65547:JI65548 IZ131083:JI131084 IZ196619:JI196620 IZ262155:JI262156 IZ327691:JI327692 IZ393227:JI393228 IZ458763:JI458764 IZ524299:JI524300 IZ589835:JI589836 IZ655371:JI655372 IZ720907:JI720908 IZ786443:JI786444 IZ851979:JI851980 IZ917515:JI917516 IZ983051:JI983052 SJ10:SS12 SI65547:SR65548 SI131083:SR131084 SI196619:SR196620 SI262155:SR262156 SI327691:SR327692 SI393227:SR393228 SI458763:SR458764 SI524299:SR524300 SI589835:SR589836 SI655371:SR655372 SI720907:SR720908 SI786443:SR786444 SI851979:SR851980 SI917515:SR917516 SI983051:SR983052 SW10:TF12 SV65547:TE65548 SV131083:TE131084 SV196619:TE196620 SV262155:TE262156 SV327691:TE327692 SV393227:TE393228 SV458763:TE458764 SV524299:TE524300 SV589835:TE589836 SV655371:TE655372 SV720907:TE720908 SV786443:TE786444 SV851979:TE851980 SV917515:TE917516 SV983051:TE983052 ACF10:ACO12 ACE65547:ACN65548 ACE131083:ACN131084 ACE196619:ACN196620 ACE262155:ACN262156 ACE327691:ACN327692 ACE393227:ACN393228 ACE458763:ACN458764 ACE524299:ACN524300 ACE589835:ACN589836 ACE655371:ACN655372 ACE720907:ACN720908 ACE786443:ACN786444 ACE851979:ACN851980 ACE917515:ACN917516 ACE983051:ACN983052 ACS10:ADB12 ACR65547:ADA65548 ACR131083:ADA131084 ACR196619:ADA196620 ACR262155:ADA262156 ACR327691:ADA327692 ACR393227:ADA393228 ACR458763:ADA458764 ACR524299:ADA524300 ACR589835:ADA589836 ACR655371:ADA655372 ACR720907:ADA720908 ACR786443:ADA786444 ACR851979:ADA851980 ACR917515:ADA917516 ACR983051:ADA983052 AMB10:AMK12 AMA65547:AMJ65548 AMA131083:AMJ131084 AMA196619:AMJ196620 AMA262155:AMJ262156 AMA327691:AMJ327692 AMA393227:AMJ393228 AMA458763:AMJ458764 AMA524299:AMJ524300 AMA589835:AMJ589836 AMA655371:AMJ655372 AMA720907:AMJ720908 AMA786443:AMJ786444 AMA851979:AMJ851980 AMA917515:AMJ917516 AMA983051:AMJ983052 AMO10:AMX12 AMN65547:AMW65548 AMN131083:AMW131084 AMN196619:AMW196620 AMN262155:AMW262156 AMN327691:AMW327692 AMN393227:AMW393228 AMN458763:AMW458764 AMN524299:AMW524300 AMN589835:AMW589836 AMN655371:AMW655372 AMN720907:AMW720908 AMN786443:AMW786444 AMN851979:AMW851980 AMN917515:AMW917516 AMN983051:AMW983052 AVX10:AWG12 AVW65547:AWF65548 AVW131083:AWF131084 AVW196619:AWF196620 AVW262155:AWF262156 AVW327691:AWF327692 AVW393227:AWF393228 AVW458763:AWF458764 AVW524299:AWF524300 AVW589835:AWF589836 AVW655371:AWF655372 AVW720907:AWF720908 AVW786443:AWF786444 AVW851979:AWF851980 AVW917515:AWF917516 AVW983051:AWF983052 AWK10:AWT12 AWJ65547:AWS65548 AWJ131083:AWS131084 AWJ196619:AWS196620 AWJ262155:AWS262156 AWJ327691:AWS327692 AWJ393227:AWS393228 AWJ458763:AWS458764 AWJ524299:AWS524300 AWJ589835:AWS589836 AWJ655371:AWS655372 AWJ720907:AWS720908 AWJ786443:AWS786444 AWJ851979:AWS851980 AWJ917515:AWS917516 AWJ983051:AWS983052 BFT10:BGC12 BFS65547:BGB65548 BFS131083:BGB131084 BFS196619:BGB196620 BFS262155:BGB262156 BFS327691:BGB327692 BFS393227:BGB393228 BFS458763:BGB458764 BFS524299:BGB524300 BFS589835:BGB589836 BFS655371:BGB655372 BFS720907:BGB720908 BFS786443:BGB786444 BFS851979:BGB851980 BFS917515:BGB917516 BFS983051:BGB983052 BGG10:BGP12 BGF65547:BGO65548 BGF131083:BGO131084 BGF196619:BGO196620 BGF262155:BGO262156 BGF327691:BGO327692 BGF393227:BGO393228 BGF458763:BGO458764 BGF524299:BGO524300 BGF589835:BGO589836 BGF655371:BGO655372 BGF720907:BGO720908 BGF786443:BGO786444 BGF851979:BGO851980 BGF917515:BGO917516 BGF983051:BGO983052 BPP10:BPY12 BPO65547:BPX65548 BPO131083:BPX131084 BPO196619:BPX196620 BPO262155:BPX262156 BPO327691:BPX327692 BPO393227:BPX393228 BPO458763:BPX458764 BPO524299:BPX524300 BPO589835:BPX589836 BPO655371:BPX655372 BPO720907:BPX720908 BPO786443:BPX786444 BPO851979:BPX851980 BPO917515:BPX917516 BPO983051:BPX983052 BQC10:BQL12 BQB65547:BQK65548 BQB131083:BQK131084 BQB196619:BQK196620 BQB262155:BQK262156 BQB327691:BQK327692 BQB393227:BQK393228 BQB458763:BQK458764 BQB524299:BQK524300 BQB589835:BQK589836 BQB655371:BQK655372 BQB720907:BQK720908 BQB786443:BQK786444 BQB851979:BQK851980 BQB917515:BQK917516 BQB983051:BQK983052 BZL10:BZU12 BZK65547:BZT65548 BZK131083:BZT131084 BZK196619:BZT196620 BZK262155:BZT262156 BZK327691:BZT327692 BZK393227:BZT393228 BZK458763:BZT458764 BZK524299:BZT524300 BZK589835:BZT589836 BZK655371:BZT655372 BZK720907:BZT720908 BZK786443:BZT786444 BZK851979:BZT851980 BZK917515:BZT917516 BZK983051:BZT983052 BZY10:CAH12 BZX65547:CAG65548 BZX131083:CAG131084 BZX196619:CAG196620 BZX262155:CAG262156 BZX327691:CAG327692 BZX393227:CAG393228 BZX458763:CAG458764 BZX524299:CAG524300 BZX589835:CAG589836 BZX655371:CAG655372 BZX720907:CAG720908 BZX786443:CAG786444 BZX851979:CAG851980 BZX917515:CAG917516 BZX983051:CAG983052 CJH10:CJQ12 CJG65547:CJP65548 CJG131083:CJP131084 CJG196619:CJP196620 CJG262155:CJP262156 CJG327691:CJP327692 CJG393227:CJP393228 CJG458763:CJP458764 CJG524299:CJP524300 CJG589835:CJP589836 CJG655371:CJP655372 CJG720907:CJP720908 CJG786443:CJP786444 CJG851979:CJP851980 CJG917515:CJP917516 CJG983051:CJP983052 CJU10:CKD12 CJT65547:CKC65548 CJT131083:CKC131084 CJT196619:CKC196620 CJT262155:CKC262156 CJT327691:CKC327692 CJT393227:CKC393228 CJT458763:CKC458764 CJT524299:CKC524300 CJT589835:CKC589836 CJT655371:CKC655372 CJT720907:CKC720908 CJT786443:CKC786444 CJT851979:CKC851980 CJT917515:CKC917516 CJT983051:CKC983052 CTD10:CTM12 CTC65547:CTL65548 CTC131083:CTL131084 CTC196619:CTL196620 CTC262155:CTL262156 CTC327691:CTL327692 CTC393227:CTL393228 CTC458763:CTL458764 CTC524299:CTL524300 CTC589835:CTL589836 CTC655371:CTL655372 CTC720907:CTL720908 CTC786443:CTL786444 CTC851979:CTL851980 CTC917515:CTL917516 CTC983051:CTL983052 CTQ10:CTZ12 CTP65547:CTY65548 CTP131083:CTY131084 CTP196619:CTY196620 CTP262155:CTY262156 CTP327691:CTY327692 CTP393227:CTY393228 CTP458763:CTY458764 CTP524299:CTY524300 CTP589835:CTY589836 CTP655371:CTY655372 CTP720907:CTY720908 CTP786443:CTY786444 CTP851979:CTY851980 CTP917515:CTY917516 CTP983051:CTY983052 DCZ10:DDI12 DCY65547:DDH65548 DCY131083:DDH131084 DCY196619:DDH196620 DCY262155:DDH262156 DCY327691:DDH327692 DCY393227:DDH393228 DCY458763:DDH458764 DCY524299:DDH524300 DCY589835:DDH589836 DCY655371:DDH655372 DCY720907:DDH720908 DCY786443:DDH786444 DCY851979:DDH851980 DCY917515:DDH917516 DCY983051:DDH983052 DDM10:DDV12 DDL65547:DDU65548 DDL131083:DDU131084 DDL196619:DDU196620 DDL262155:DDU262156 DDL327691:DDU327692 DDL393227:DDU393228 DDL458763:DDU458764 DDL524299:DDU524300 DDL589835:DDU589836 DDL655371:DDU655372 DDL720907:DDU720908 DDL786443:DDU786444 DDL851979:DDU851980 DDL917515:DDU917516 DDL983051:DDU983052 DMV10:DNE12 DMU65547:DND65548 DMU131083:DND131084 DMU196619:DND196620 DMU262155:DND262156 DMU327691:DND327692 DMU393227:DND393228 DMU458763:DND458764 DMU524299:DND524300 DMU589835:DND589836 DMU655371:DND655372 DMU720907:DND720908 DMU786443:DND786444 DMU851979:DND851980 DMU917515:DND917516 DMU983051:DND983052 DNI10:DNR12 DNH65547:DNQ65548 DNH131083:DNQ131084 DNH196619:DNQ196620 DNH262155:DNQ262156 DNH327691:DNQ327692 DNH393227:DNQ393228 DNH458763:DNQ458764 DNH524299:DNQ524300 DNH589835:DNQ589836 DNH655371:DNQ655372 DNH720907:DNQ720908 DNH786443:DNQ786444 DNH851979:DNQ851980 DNH917515:DNQ917516 DNH983051:DNQ983052 DWR10:DXA12 DWQ65547:DWZ65548 DWQ131083:DWZ131084 DWQ196619:DWZ196620 DWQ262155:DWZ262156 DWQ327691:DWZ327692 DWQ393227:DWZ393228 DWQ458763:DWZ458764 DWQ524299:DWZ524300 DWQ589835:DWZ589836 DWQ655371:DWZ655372 DWQ720907:DWZ720908 DWQ786443:DWZ786444 DWQ851979:DWZ851980 DWQ917515:DWZ917516 DWQ983051:DWZ983052 DXE10:DXN12 DXD65547:DXM65548 DXD131083:DXM131084 DXD196619:DXM196620 DXD262155:DXM262156 DXD327691:DXM327692 DXD393227:DXM393228 DXD458763:DXM458764 DXD524299:DXM524300 DXD589835:DXM589836 DXD655371:DXM655372 DXD720907:DXM720908 DXD786443:DXM786444 DXD851979:DXM851980 DXD917515:DXM917516 DXD983051:DXM983052 EGN10:EGW12 EGM65547:EGV65548 EGM131083:EGV131084 EGM196619:EGV196620 EGM262155:EGV262156 EGM327691:EGV327692 EGM393227:EGV393228 EGM458763:EGV458764 EGM524299:EGV524300 EGM589835:EGV589836 EGM655371:EGV655372 EGM720907:EGV720908 EGM786443:EGV786444 EGM851979:EGV851980 EGM917515:EGV917516 EGM983051:EGV983052 EHA10:EHJ12 EGZ65547:EHI65548 EGZ131083:EHI131084 EGZ196619:EHI196620 EGZ262155:EHI262156 EGZ327691:EHI327692 EGZ393227:EHI393228 EGZ458763:EHI458764 EGZ524299:EHI524300 EGZ589835:EHI589836 EGZ655371:EHI655372 EGZ720907:EHI720908 EGZ786443:EHI786444 EGZ851979:EHI851980 EGZ917515:EHI917516 EGZ983051:EHI983052 EQJ10:EQS12 EQI65547:EQR65548 EQI131083:EQR131084 EQI196619:EQR196620 EQI262155:EQR262156 EQI327691:EQR327692 EQI393227:EQR393228 EQI458763:EQR458764 EQI524299:EQR524300 EQI589835:EQR589836 EQI655371:EQR655372 EQI720907:EQR720908 EQI786443:EQR786444 EQI851979:EQR851980 EQI917515:EQR917516 EQI983051:EQR983052 EQW10:ERF12 EQV65547:ERE65548 EQV131083:ERE131084 EQV196619:ERE196620 EQV262155:ERE262156 EQV327691:ERE327692 EQV393227:ERE393228 EQV458763:ERE458764 EQV524299:ERE524300 EQV589835:ERE589836 EQV655371:ERE655372 EQV720907:ERE720908 EQV786443:ERE786444 EQV851979:ERE851980 EQV917515:ERE917516 EQV983051:ERE983052 FAF10:FAO12 FAE65547:FAN65548 FAE131083:FAN131084 FAE196619:FAN196620 FAE262155:FAN262156 FAE327691:FAN327692 FAE393227:FAN393228 FAE458763:FAN458764 FAE524299:FAN524300 FAE589835:FAN589836 FAE655371:FAN655372 FAE720907:FAN720908 FAE786443:FAN786444 FAE851979:FAN851980 FAE917515:FAN917516 FAE983051:FAN983052 FAS10:FBB12 FAR65547:FBA65548 FAR131083:FBA131084 FAR196619:FBA196620 FAR262155:FBA262156 FAR327691:FBA327692 FAR393227:FBA393228 FAR458763:FBA458764 FAR524299:FBA524300 FAR589835:FBA589836 FAR655371:FBA655372 FAR720907:FBA720908 FAR786443:FBA786444 FAR851979:FBA851980 FAR917515:FBA917516 FAR983051:FBA983052 FKB10:FKK12 FKA65547:FKJ65548 FKA131083:FKJ131084 FKA196619:FKJ196620 FKA262155:FKJ262156 FKA327691:FKJ327692 FKA393227:FKJ393228 FKA458763:FKJ458764 FKA524299:FKJ524300 FKA589835:FKJ589836 FKA655371:FKJ655372 FKA720907:FKJ720908 FKA786443:FKJ786444 FKA851979:FKJ851980 FKA917515:FKJ917516 FKA983051:FKJ983052 FKO10:FKX12 FKN65547:FKW65548 FKN131083:FKW131084 FKN196619:FKW196620 FKN262155:FKW262156 FKN327691:FKW327692 FKN393227:FKW393228 FKN458763:FKW458764 FKN524299:FKW524300 FKN589835:FKW589836 FKN655371:FKW655372 FKN720907:FKW720908 FKN786443:FKW786444 FKN851979:FKW851980 FKN917515:FKW917516 FKN983051:FKW983052 FTX10:FUG12 FTW65547:FUF65548 FTW131083:FUF131084 FTW196619:FUF196620 FTW262155:FUF262156 FTW327691:FUF327692 FTW393227:FUF393228 FTW458763:FUF458764 FTW524299:FUF524300 FTW589835:FUF589836 FTW655371:FUF655372 FTW720907:FUF720908 FTW786443:FUF786444 FTW851979:FUF851980 FTW917515:FUF917516 FTW983051:FUF983052 FUK10:FUT12 FUJ65547:FUS65548 FUJ131083:FUS131084 FUJ196619:FUS196620 FUJ262155:FUS262156 FUJ327691:FUS327692 FUJ393227:FUS393228 FUJ458763:FUS458764 FUJ524299:FUS524300 FUJ589835:FUS589836 FUJ655371:FUS655372 FUJ720907:FUS720908 FUJ786443:FUS786444 FUJ851979:FUS851980 FUJ917515:FUS917516 FUJ983051:FUS983052 GDT10:GEC12 GDS65547:GEB65548 GDS131083:GEB131084 GDS196619:GEB196620 GDS262155:GEB262156 GDS327691:GEB327692 GDS393227:GEB393228 GDS458763:GEB458764 GDS524299:GEB524300 GDS589835:GEB589836 GDS655371:GEB655372 GDS720907:GEB720908 GDS786443:GEB786444 GDS851979:GEB851980 GDS917515:GEB917516 GDS983051:GEB983052 GEG10:GEP12 GEF65547:GEO65548 GEF131083:GEO131084 GEF196619:GEO196620 GEF262155:GEO262156 GEF327691:GEO327692 GEF393227:GEO393228 GEF458763:GEO458764 GEF524299:GEO524300 GEF589835:GEO589836 GEF655371:GEO655372 GEF720907:GEO720908 GEF786443:GEO786444 GEF851979:GEO851980 GEF917515:GEO917516 GEF983051:GEO983052 GNP10:GNY12 GNO65547:GNX65548 GNO131083:GNX131084 GNO196619:GNX196620 GNO262155:GNX262156 GNO327691:GNX327692 GNO393227:GNX393228 GNO458763:GNX458764 GNO524299:GNX524300 GNO589835:GNX589836 GNO655371:GNX655372 GNO720907:GNX720908 GNO786443:GNX786444 GNO851979:GNX851980 GNO917515:GNX917516 GNO983051:GNX983052 GOC10:GOL12 GOB65547:GOK65548 GOB131083:GOK131084 GOB196619:GOK196620 GOB262155:GOK262156 GOB327691:GOK327692 GOB393227:GOK393228 GOB458763:GOK458764 GOB524299:GOK524300 GOB589835:GOK589836 GOB655371:GOK655372 GOB720907:GOK720908 GOB786443:GOK786444 GOB851979:GOK851980 GOB917515:GOK917516 GOB983051:GOK983052 GXL10:GXU12 GXK65547:GXT65548 GXK131083:GXT131084 GXK196619:GXT196620 GXK262155:GXT262156 GXK327691:GXT327692 GXK393227:GXT393228 GXK458763:GXT458764 GXK524299:GXT524300 GXK589835:GXT589836 GXK655371:GXT655372 GXK720907:GXT720908 GXK786443:GXT786444 GXK851979:GXT851980 GXK917515:GXT917516 GXK983051:GXT983052 GXY10:GYH12 GXX65547:GYG65548 GXX131083:GYG131084 GXX196619:GYG196620 GXX262155:GYG262156 GXX327691:GYG327692 GXX393227:GYG393228 GXX458763:GYG458764 GXX524299:GYG524300 GXX589835:GYG589836 GXX655371:GYG655372 GXX720907:GYG720908 GXX786443:GYG786444 GXX851979:GYG851980 GXX917515:GYG917516 GXX983051:GYG983052 HHH10:HHQ12 HHG65547:HHP65548 HHG131083:HHP131084 HHG196619:HHP196620 HHG262155:HHP262156 HHG327691:HHP327692 HHG393227:HHP393228 HHG458763:HHP458764 HHG524299:HHP524300 HHG589835:HHP589836 HHG655371:HHP655372 HHG720907:HHP720908 HHG786443:HHP786444 HHG851979:HHP851980 HHG917515:HHP917516 HHG983051:HHP983052 HHU10:HID12 HHT65547:HIC65548 HHT131083:HIC131084 HHT196619:HIC196620 HHT262155:HIC262156 HHT327691:HIC327692 HHT393227:HIC393228 HHT458763:HIC458764 HHT524299:HIC524300 HHT589835:HIC589836 HHT655371:HIC655372 HHT720907:HIC720908 HHT786443:HIC786444 HHT851979:HIC851980 HHT917515:HIC917516 HHT983051:HIC983052 HRD10:HRM12 HRC65547:HRL65548 HRC131083:HRL131084 HRC196619:HRL196620 HRC262155:HRL262156 HRC327691:HRL327692 HRC393227:HRL393228 HRC458763:HRL458764 HRC524299:HRL524300 HRC589835:HRL589836 HRC655371:HRL655372 HRC720907:HRL720908 HRC786443:HRL786444 HRC851979:HRL851980 HRC917515:HRL917516 HRC983051:HRL983052 HRQ10:HRZ12 HRP65547:HRY65548 HRP131083:HRY131084 HRP196619:HRY196620 HRP262155:HRY262156 HRP327691:HRY327692 HRP393227:HRY393228 HRP458763:HRY458764 HRP524299:HRY524300 HRP589835:HRY589836 HRP655371:HRY655372 HRP720907:HRY720908 HRP786443:HRY786444 HRP851979:HRY851980 HRP917515:HRY917516 HRP983051:HRY983052 IAZ10:IBI12 IAY65547:IBH65548 IAY131083:IBH131084 IAY196619:IBH196620 IAY262155:IBH262156 IAY327691:IBH327692 IAY393227:IBH393228 IAY458763:IBH458764 IAY524299:IBH524300 IAY589835:IBH589836 IAY655371:IBH655372 IAY720907:IBH720908 IAY786443:IBH786444 IAY851979:IBH851980 IAY917515:IBH917516 IAY983051:IBH983052 IBM10:IBV12 IBL65547:IBU65548 IBL131083:IBU131084 IBL196619:IBU196620 IBL262155:IBU262156 IBL327691:IBU327692 IBL393227:IBU393228 IBL458763:IBU458764 IBL524299:IBU524300 IBL589835:IBU589836 IBL655371:IBU655372 IBL720907:IBU720908 IBL786443:IBU786444 IBL851979:IBU851980 IBL917515:IBU917516 IBL983051:IBU983052 IKV10:ILE12 IKU65547:ILD65548 IKU131083:ILD131084 IKU196619:ILD196620 IKU262155:ILD262156 IKU327691:ILD327692 IKU393227:ILD393228 IKU458763:ILD458764 IKU524299:ILD524300 IKU589835:ILD589836 IKU655371:ILD655372 IKU720907:ILD720908 IKU786443:ILD786444 IKU851979:ILD851980 IKU917515:ILD917516 IKU983051:ILD983052 ILI10:ILR12 ILH65547:ILQ65548 ILH131083:ILQ131084 ILH196619:ILQ196620 ILH262155:ILQ262156 ILH327691:ILQ327692 ILH393227:ILQ393228 ILH458763:ILQ458764 ILH524299:ILQ524300 ILH589835:ILQ589836 ILH655371:ILQ655372 ILH720907:ILQ720908 ILH786443:ILQ786444 ILH851979:ILQ851980 ILH917515:ILQ917516 ILH983051:ILQ983052 IUR10:IVA12 IUQ65547:IUZ65548 IUQ131083:IUZ131084 IUQ196619:IUZ196620 IUQ262155:IUZ262156 IUQ327691:IUZ327692 IUQ393227:IUZ393228 IUQ458763:IUZ458764 IUQ524299:IUZ524300 IUQ589835:IUZ589836 IUQ655371:IUZ655372 IUQ720907:IUZ720908 IUQ786443:IUZ786444 IUQ851979:IUZ851980 IUQ917515:IUZ917516 IUQ983051:IUZ983052 IVE10:IVN12 IVD65547:IVM65548 IVD131083:IVM131084 IVD196619:IVM196620 IVD262155:IVM262156 IVD327691:IVM327692 IVD393227:IVM393228 IVD458763:IVM458764 IVD524299:IVM524300 IVD589835:IVM589836 IVD655371:IVM655372 IVD720907:IVM720908 IVD786443:IVM786444 IVD851979:IVM851980 IVD917515:IVM917516 IVD983051:IVM983052 JEN10:JEW12 JEM65547:JEV65548 JEM131083:JEV131084 JEM196619:JEV196620 JEM262155:JEV262156 JEM327691:JEV327692 JEM393227:JEV393228 JEM458763:JEV458764 JEM524299:JEV524300 JEM589835:JEV589836 JEM655371:JEV655372 JEM720907:JEV720908 JEM786443:JEV786444 JEM851979:JEV851980 JEM917515:JEV917516 JEM983051:JEV983052 JFA10:JFJ12 JEZ65547:JFI65548 JEZ131083:JFI131084 JEZ196619:JFI196620 JEZ262155:JFI262156 JEZ327691:JFI327692 JEZ393227:JFI393228 JEZ458763:JFI458764 JEZ524299:JFI524300 JEZ589835:JFI589836 JEZ655371:JFI655372 JEZ720907:JFI720908 JEZ786443:JFI786444 JEZ851979:JFI851980 JEZ917515:JFI917516 JEZ983051:JFI983052 JOJ10:JOS12 JOI65547:JOR65548 JOI131083:JOR131084 JOI196619:JOR196620 JOI262155:JOR262156 JOI327691:JOR327692 JOI393227:JOR393228 JOI458763:JOR458764 JOI524299:JOR524300 JOI589835:JOR589836 JOI655371:JOR655372 JOI720907:JOR720908 JOI786443:JOR786444 JOI851979:JOR851980 JOI917515:JOR917516 JOI983051:JOR983052 JOW10:JPF12 JOV65547:JPE65548 JOV131083:JPE131084 JOV196619:JPE196620 JOV262155:JPE262156 JOV327691:JPE327692 JOV393227:JPE393228 JOV458763:JPE458764 JOV524299:JPE524300 JOV589835:JPE589836 JOV655371:JPE655372 JOV720907:JPE720908 JOV786443:JPE786444 JOV851979:JPE851980 JOV917515:JPE917516 JOV983051:JPE983052 JYF10:JYO12 JYE65547:JYN65548 JYE131083:JYN131084 JYE196619:JYN196620 JYE262155:JYN262156 JYE327691:JYN327692 JYE393227:JYN393228 JYE458763:JYN458764 JYE524299:JYN524300 JYE589835:JYN589836 JYE655371:JYN655372 JYE720907:JYN720908 JYE786443:JYN786444 JYE851979:JYN851980 JYE917515:JYN917516 JYE983051:JYN983052 JYS10:JZB12 JYR65547:JZA65548 JYR131083:JZA131084 JYR196619:JZA196620 JYR262155:JZA262156 JYR327691:JZA327692 JYR393227:JZA393228 JYR458763:JZA458764 JYR524299:JZA524300 JYR589835:JZA589836 JYR655371:JZA655372 JYR720907:JZA720908 JYR786443:JZA786444 JYR851979:JZA851980 JYR917515:JZA917516 JYR983051:JZA983052 KIB10:KIK12 KIA65547:KIJ65548 KIA131083:KIJ131084 KIA196619:KIJ196620 KIA262155:KIJ262156 KIA327691:KIJ327692 KIA393227:KIJ393228 KIA458763:KIJ458764 KIA524299:KIJ524300 KIA589835:KIJ589836 KIA655371:KIJ655372 KIA720907:KIJ720908 KIA786443:KIJ786444 KIA851979:KIJ851980 KIA917515:KIJ917516 KIA983051:KIJ983052 KIO10:KIX12 KIN65547:KIW65548 KIN131083:KIW131084 KIN196619:KIW196620 KIN262155:KIW262156 KIN327691:KIW327692 KIN393227:KIW393228 KIN458763:KIW458764 KIN524299:KIW524300 KIN589835:KIW589836 KIN655371:KIW655372 KIN720907:KIW720908 KIN786443:KIW786444 KIN851979:KIW851980 KIN917515:KIW917516 KIN983051:KIW983052 KRX10:KSG12 KRW65547:KSF65548 KRW131083:KSF131084 KRW196619:KSF196620 KRW262155:KSF262156 KRW327691:KSF327692 KRW393227:KSF393228 KRW458763:KSF458764 KRW524299:KSF524300 KRW589835:KSF589836 KRW655371:KSF655372 KRW720907:KSF720908 KRW786443:KSF786444 KRW851979:KSF851980 KRW917515:KSF917516 KRW983051:KSF983052 KSK10:KST12 KSJ65547:KSS65548 KSJ131083:KSS131084 KSJ196619:KSS196620 KSJ262155:KSS262156 KSJ327691:KSS327692 KSJ393227:KSS393228 KSJ458763:KSS458764 KSJ524299:KSS524300 KSJ589835:KSS589836 KSJ655371:KSS655372 KSJ720907:KSS720908 KSJ786443:KSS786444 KSJ851979:KSS851980 KSJ917515:KSS917516 KSJ983051:KSS983052 LBT10:LCC12 LBS65547:LCB65548 LBS131083:LCB131084 LBS196619:LCB196620 LBS262155:LCB262156 LBS327691:LCB327692 LBS393227:LCB393228 LBS458763:LCB458764 LBS524299:LCB524300 LBS589835:LCB589836 LBS655371:LCB655372 LBS720907:LCB720908 LBS786443:LCB786444 LBS851979:LCB851980 LBS917515:LCB917516 LBS983051:LCB983052 LCG10:LCP12 LCF65547:LCO65548 LCF131083:LCO131084 LCF196619:LCO196620 LCF262155:LCO262156 LCF327691:LCO327692 LCF393227:LCO393228 LCF458763:LCO458764 LCF524299:LCO524300 LCF589835:LCO589836 LCF655371:LCO655372 LCF720907:LCO720908 LCF786443:LCO786444 LCF851979:LCO851980 LCF917515:LCO917516 LCF983051:LCO983052 LLP10:LLY12 LLO65547:LLX65548 LLO131083:LLX131084 LLO196619:LLX196620 LLO262155:LLX262156 LLO327691:LLX327692 LLO393227:LLX393228 LLO458763:LLX458764 LLO524299:LLX524300 LLO589835:LLX589836 LLO655371:LLX655372 LLO720907:LLX720908 LLO786443:LLX786444 LLO851979:LLX851980 LLO917515:LLX917516 LLO983051:LLX983052 LMC10:LML12 LMB65547:LMK65548 LMB131083:LMK131084 LMB196619:LMK196620 LMB262155:LMK262156 LMB327691:LMK327692 LMB393227:LMK393228 LMB458763:LMK458764 LMB524299:LMK524300 LMB589835:LMK589836 LMB655371:LMK655372 LMB720907:LMK720908 LMB786443:LMK786444 LMB851979:LMK851980 LMB917515:LMK917516 LMB983051:LMK983052 LVL10:LVU12 LVK65547:LVT65548 LVK131083:LVT131084 LVK196619:LVT196620 LVK262155:LVT262156 LVK327691:LVT327692 LVK393227:LVT393228 LVK458763:LVT458764 LVK524299:LVT524300 LVK589835:LVT589836 LVK655371:LVT655372 LVK720907:LVT720908 LVK786443:LVT786444 LVK851979:LVT851980 LVK917515:LVT917516 LVK983051:LVT983052 LVY10:LWH12 LVX65547:LWG65548 LVX131083:LWG131084 LVX196619:LWG196620 LVX262155:LWG262156 LVX327691:LWG327692 LVX393227:LWG393228 LVX458763:LWG458764 LVX524299:LWG524300 LVX589835:LWG589836 LVX655371:LWG655372 LVX720907:LWG720908 LVX786443:LWG786444 LVX851979:LWG851980 LVX917515:LWG917516 LVX983051:LWG983052 MFH10:MFQ12 MFG65547:MFP65548 MFG131083:MFP131084 MFG196619:MFP196620 MFG262155:MFP262156 MFG327691:MFP327692 MFG393227:MFP393228 MFG458763:MFP458764 MFG524299:MFP524300 MFG589835:MFP589836 MFG655371:MFP655372 MFG720907:MFP720908 MFG786443:MFP786444 MFG851979:MFP851980 MFG917515:MFP917516 MFG983051:MFP983052 MFU10:MGD12 MFT65547:MGC65548 MFT131083:MGC131084 MFT196619:MGC196620 MFT262155:MGC262156 MFT327691:MGC327692 MFT393227:MGC393228 MFT458763:MGC458764 MFT524299:MGC524300 MFT589835:MGC589836 MFT655371:MGC655372 MFT720907:MGC720908 MFT786443:MGC786444 MFT851979:MGC851980 MFT917515:MGC917516 MFT983051:MGC983052 MPD10:MPM12 MPC65547:MPL65548 MPC131083:MPL131084 MPC196619:MPL196620 MPC262155:MPL262156 MPC327691:MPL327692 MPC393227:MPL393228 MPC458763:MPL458764 MPC524299:MPL524300 MPC589835:MPL589836 MPC655371:MPL655372 MPC720907:MPL720908 MPC786443:MPL786444 MPC851979:MPL851980 MPC917515:MPL917516 MPC983051:MPL983052 MPQ10:MPZ12 MPP65547:MPY65548 MPP131083:MPY131084 MPP196619:MPY196620 MPP262155:MPY262156 MPP327691:MPY327692 MPP393227:MPY393228 MPP458763:MPY458764 MPP524299:MPY524300 MPP589835:MPY589836 MPP655371:MPY655372 MPP720907:MPY720908 MPP786443:MPY786444 MPP851979:MPY851980 MPP917515:MPY917516 MPP983051:MPY983052 MYZ10:MZI12 MYY65547:MZH65548 MYY131083:MZH131084 MYY196619:MZH196620 MYY262155:MZH262156 MYY327691:MZH327692 MYY393227:MZH393228 MYY458763:MZH458764 MYY524299:MZH524300 MYY589835:MZH589836 MYY655371:MZH655372 MYY720907:MZH720908 MYY786443:MZH786444 MYY851979:MZH851980 MYY917515:MZH917516 MYY983051:MZH983052 MZM10:MZV12 MZL65547:MZU65548 MZL131083:MZU131084 MZL196619:MZU196620 MZL262155:MZU262156 MZL327691:MZU327692 MZL393227:MZU393228 MZL458763:MZU458764 MZL524299:MZU524300 MZL589835:MZU589836 MZL655371:MZU655372 MZL720907:MZU720908 MZL786443:MZU786444 MZL851979:MZU851980 MZL917515:MZU917516 MZL983051:MZU983052 NIV10:NJE12 NIU65547:NJD65548 NIU131083:NJD131084 NIU196619:NJD196620 NIU262155:NJD262156 NIU327691:NJD327692 NIU393227:NJD393228 NIU458763:NJD458764 NIU524299:NJD524300 NIU589835:NJD589836 NIU655371:NJD655372 NIU720907:NJD720908 NIU786443:NJD786444 NIU851979:NJD851980 NIU917515:NJD917516 NIU983051:NJD983052 NJI10:NJR12 NJH65547:NJQ65548 NJH131083:NJQ131084 NJH196619:NJQ196620 NJH262155:NJQ262156 NJH327691:NJQ327692 NJH393227:NJQ393228 NJH458763:NJQ458764 NJH524299:NJQ524300 NJH589835:NJQ589836 NJH655371:NJQ655372 NJH720907:NJQ720908 NJH786443:NJQ786444 NJH851979:NJQ851980 NJH917515:NJQ917516 NJH983051:NJQ983052 NSR10:NTA12 NSQ65547:NSZ65548 NSQ131083:NSZ131084 NSQ196619:NSZ196620 NSQ262155:NSZ262156 NSQ327691:NSZ327692 NSQ393227:NSZ393228 NSQ458763:NSZ458764 NSQ524299:NSZ524300 NSQ589835:NSZ589836 NSQ655371:NSZ655372 NSQ720907:NSZ720908 NSQ786443:NSZ786444 NSQ851979:NSZ851980 NSQ917515:NSZ917516 NSQ983051:NSZ983052 NTE10:NTN12 NTD65547:NTM65548 NTD131083:NTM131084 NTD196619:NTM196620 NTD262155:NTM262156 NTD327691:NTM327692 NTD393227:NTM393228 NTD458763:NTM458764 NTD524299:NTM524300 NTD589835:NTM589836 NTD655371:NTM655372 NTD720907:NTM720908 NTD786443:NTM786444 NTD851979:NTM851980 NTD917515:NTM917516 NTD983051:NTM983052 OCN10:OCW12 OCM65547:OCV65548 OCM131083:OCV131084 OCM196619:OCV196620 OCM262155:OCV262156 OCM327691:OCV327692 OCM393227:OCV393228 OCM458763:OCV458764 OCM524299:OCV524300 OCM589835:OCV589836 OCM655371:OCV655372 OCM720907:OCV720908 OCM786443:OCV786444 OCM851979:OCV851980 OCM917515:OCV917516 OCM983051:OCV983052 ODA10:ODJ12 OCZ65547:ODI65548 OCZ131083:ODI131084 OCZ196619:ODI196620 OCZ262155:ODI262156 OCZ327691:ODI327692 OCZ393227:ODI393228 OCZ458763:ODI458764 OCZ524299:ODI524300 OCZ589835:ODI589836 OCZ655371:ODI655372 OCZ720907:ODI720908 OCZ786443:ODI786444 OCZ851979:ODI851980 OCZ917515:ODI917516 OCZ983051:ODI983052 OMJ10:OMS12 OMI65547:OMR65548 OMI131083:OMR131084 OMI196619:OMR196620 OMI262155:OMR262156 OMI327691:OMR327692 OMI393227:OMR393228 OMI458763:OMR458764 OMI524299:OMR524300 OMI589835:OMR589836 OMI655371:OMR655372 OMI720907:OMR720908 OMI786443:OMR786444 OMI851979:OMR851980 OMI917515:OMR917516 OMI983051:OMR983052 OMW10:ONF12 OMV65547:ONE65548 OMV131083:ONE131084 OMV196619:ONE196620 OMV262155:ONE262156 OMV327691:ONE327692 OMV393227:ONE393228 OMV458763:ONE458764 OMV524299:ONE524300 OMV589835:ONE589836 OMV655371:ONE655372 OMV720907:ONE720908 OMV786443:ONE786444 OMV851979:ONE851980 OMV917515:ONE917516 OMV983051:ONE983052 OWF10:OWO12 OWE65547:OWN65548 OWE131083:OWN131084 OWE196619:OWN196620 OWE262155:OWN262156 OWE327691:OWN327692 OWE393227:OWN393228 OWE458763:OWN458764 OWE524299:OWN524300 OWE589835:OWN589836 OWE655371:OWN655372 OWE720907:OWN720908 OWE786443:OWN786444 OWE851979:OWN851980 OWE917515:OWN917516 OWE983051:OWN983052 OWS10:OXB12 OWR65547:OXA65548 OWR131083:OXA131084 OWR196619:OXA196620 OWR262155:OXA262156 OWR327691:OXA327692 OWR393227:OXA393228 OWR458763:OXA458764 OWR524299:OXA524300 OWR589835:OXA589836 OWR655371:OXA655372 OWR720907:OXA720908 OWR786443:OXA786444 OWR851979:OXA851980 OWR917515:OXA917516 OWR983051:OXA983052 PGB10:PGK12 PGA65547:PGJ65548 PGA131083:PGJ131084 PGA196619:PGJ196620 PGA262155:PGJ262156 PGA327691:PGJ327692 PGA393227:PGJ393228 PGA458763:PGJ458764 PGA524299:PGJ524300 PGA589835:PGJ589836 PGA655371:PGJ655372 PGA720907:PGJ720908 PGA786443:PGJ786444 PGA851979:PGJ851980 PGA917515:PGJ917516 PGA983051:PGJ983052 PGO10:PGX12 PGN65547:PGW65548 PGN131083:PGW131084 PGN196619:PGW196620 PGN262155:PGW262156 PGN327691:PGW327692 PGN393227:PGW393228 PGN458763:PGW458764 PGN524299:PGW524300 PGN589835:PGW589836 PGN655371:PGW655372 PGN720907:PGW720908 PGN786443:PGW786444 PGN851979:PGW851980 PGN917515:PGW917516 PGN983051:PGW983052 PPX10:PQG12 PPW65547:PQF65548 PPW131083:PQF131084 PPW196619:PQF196620 PPW262155:PQF262156 PPW327691:PQF327692 PPW393227:PQF393228 PPW458763:PQF458764 PPW524299:PQF524300 PPW589835:PQF589836 PPW655371:PQF655372 PPW720907:PQF720908 PPW786443:PQF786444 PPW851979:PQF851980 PPW917515:PQF917516 PPW983051:PQF983052 PQK10:PQT12 PQJ65547:PQS65548 PQJ131083:PQS131084 PQJ196619:PQS196620 PQJ262155:PQS262156 PQJ327691:PQS327692 PQJ393227:PQS393228 PQJ458763:PQS458764 PQJ524299:PQS524300 PQJ589835:PQS589836 PQJ655371:PQS655372 PQJ720907:PQS720908 PQJ786443:PQS786444 PQJ851979:PQS851980 PQJ917515:PQS917516 PQJ983051:PQS983052 PZT10:QAC12 PZS65547:QAB65548 PZS131083:QAB131084 PZS196619:QAB196620 PZS262155:QAB262156 PZS327691:QAB327692 PZS393227:QAB393228 PZS458763:QAB458764 PZS524299:QAB524300 PZS589835:QAB589836 PZS655371:QAB655372 PZS720907:QAB720908 PZS786443:QAB786444 PZS851979:QAB851980 PZS917515:QAB917516 PZS983051:QAB983052 QAG10:QAP12 QAF65547:QAO65548 QAF131083:QAO131084 QAF196619:QAO196620 QAF262155:QAO262156 QAF327691:QAO327692 QAF393227:QAO393228 QAF458763:QAO458764 QAF524299:QAO524300 QAF589835:QAO589836 QAF655371:QAO655372 QAF720907:QAO720908 QAF786443:QAO786444 QAF851979:QAO851980 QAF917515:QAO917516 QAF983051:QAO983052 QJP10:QJY12 QJO65547:QJX65548 QJO131083:QJX131084 QJO196619:QJX196620 QJO262155:QJX262156 QJO327691:QJX327692 QJO393227:QJX393228 QJO458763:QJX458764 QJO524299:QJX524300 QJO589835:QJX589836 QJO655371:QJX655372 QJO720907:QJX720908 QJO786443:QJX786444 QJO851979:QJX851980 QJO917515:QJX917516 QJO983051:QJX983052 QKC10:QKL12 QKB65547:QKK65548 QKB131083:QKK131084 QKB196619:QKK196620 QKB262155:QKK262156 QKB327691:QKK327692 QKB393227:QKK393228 QKB458763:QKK458764 QKB524299:QKK524300 QKB589835:QKK589836 QKB655371:QKK655372 QKB720907:QKK720908 QKB786443:QKK786444 QKB851979:QKK851980 QKB917515:QKK917516 QKB983051:QKK983052 QTL10:QTU12 QTK65547:QTT65548 QTK131083:QTT131084 QTK196619:QTT196620 QTK262155:QTT262156 QTK327691:QTT327692 QTK393227:QTT393228 QTK458763:QTT458764 QTK524299:QTT524300 QTK589835:QTT589836 QTK655371:QTT655372 QTK720907:QTT720908 QTK786443:QTT786444 QTK851979:QTT851980 QTK917515:QTT917516 QTK983051:QTT983052 QTY10:QUH12 QTX65547:QUG65548 QTX131083:QUG131084 QTX196619:QUG196620 QTX262155:QUG262156 QTX327691:QUG327692 QTX393227:QUG393228 QTX458763:QUG458764 QTX524299:QUG524300 QTX589835:QUG589836 QTX655371:QUG655372 QTX720907:QUG720908 QTX786443:QUG786444 QTX851979:QUG851980 QTX917515:QUG917516 QTX983051:QUG983052 RDH10:RDQ12 RDG65547:RDP65548 RDG131083:RDP131084 RDG196619:RDP196620 RDG262155:RDP262156 RDG327691:RDP327692 RDG393227:RDP393228 RDG458763:RDP458764 RDG524299:RDP524300 RDG589835:RDP589836 RDG655371:RDP655372 RDG720907:RDP720908 RDG786443:RDP786444 RDG851979:RDP851980 RDG917515:RDP917516 RDG983051:RDP983052 RDU10:RED12 RDT65547:REC65548 RDT131083:REC131084 RDT196619:REC196620 RDT262155:REC262156 RDT327691:REC327692 RDT393227:REC393228 RDT458763:REC458764 RDT524299:REC524300 RDT589835:REC589836 RDT655371:REC655372 RDT720907:REC720908 RDT786443:REC786444 RDT851979:REC851980 RDT917515:REC917516 RDT983051:REC983052 RND10:RNM12 RNC65547:RNL65548 RNC131083:RNL131084 RNC196619:RNL196620 RNC262155:RNL262156 RNC327691:RNL327692 RNC393227:RNL393228 RNC458763:RNL458764 RNC524299:RNL524300 RNC589835:RNL589836 RNC655371:RNL655372 RNC720907:RNL720908 RNC786443:RNL786444 RNC851979:RNL851980 RNC917515:RNL917516 RNC983051:RNL983052 RNQ10:RNZ12 RNP65547:RNY65548 RNP131083:RNY131084 RNP196619:RNY196620 RNP262155:RNY262156 RNP327691:RNY327692 RNP393227:RNY393228 RNP458763:RNY458764 RNP524299:RNY524300 RNP589835:RNY589836 RNP655371:RNY655372 RNP720907:RNY720908 RNP786443:RNY786444 RNP851979:RNY851980 RNP917515:RNY917516 RNP983051:RNY983052 RWZ10:RXI12 RWY65547:RXH65548 RWY131083:RXH131084 RWY196619:RXH196620 RWY262155:RXH262156 RWY327691:RXH327692 RWY393227:RXH393228 RWY458763:RXH458764 RWY524299:RXH524300 RWY589835:RXH589836 RWY655371:RXH655372 RWY720907:RXH720908 RWY786443:RXH786444 RWY851979:RXH851980 RWY917515:RXH917516 RWY983051:RXH983052 RXM10:RXV12 RXL65547:RXU65548 RXL131083:RXU131084 RXL196619:RXU196620 RXL262155:RXU262156 RXL327691:RXU327692 RXL393227:RXU393228 RXL458763:RXU458764 RXL524299:RXU524300 RXL589835:RXU589836 RXL655371:RXU655372 RXL720907:RXU720908 RXL786443:RXU786444 RXL851979:RXU851980 RXL917515:RXU917516 RXL983051:RXU983052 SGV10:SHE12 SGU65547:SHD65548 SGU131083:SHD131084 SGU196619:SHD196620 SGU262155:SHD262156 SGU327691:SHD327692 SGU393227:SHD393228 SGU458763:SHD458764 SGU524299:SHD524300 SGU589835:SHD589836 SGU655371:SHD655372 SGU720907:SHD720908 SGU786443:SHD786444 SGU851979:SHD851980 SGU917515:SHD917516 SGU983051:SHD983052 SHI10:SHR12 SHH65547:SHQ65548 SHH131083:SHQ131084 SHH196619:SHQ196620 SHH262155:SHQ262156 SHH327691:SHQ327692 SHH393227:SHQ393228 SHH458763:SHQ458764 SHH524299:SHQ524300 SHH589835:SHQ589836 SHH655371:SHQ655372 SHH720907:SHQ720908 SHH786443:SHQ786444 SHH851979:SHQ851980 SHH917515:SHQ917516 SHH983051:SHQ983052 SQR10:SRA12 SQQ65547:SQZ65548 SQQ131083:SQZ131084 SQQ196619:SQZ196620 SQQ262155:SQZ262156 SQQ327691:SQZ327692 SQQ393227:SQZ393228 SQQ458763:SQZ458764 SQQ524299:SQZ524300 SQQ589835:SQZ589836 SQQ655371:SQZ655372 SQQ720907:SQZ720908 SQQ786443:SQZ786444 SQQ851979:SQZ851980 SQQ917515:SQZ917516 SQQ983051:SQZ983052 SRE10:SRN12 SRD65547:SRM65548 SRD131083:SRM131084 SRD196619:SRM196620 SRD262155:SRM262156 SRD327691:SRM327692 SRD393227:SRM393228 SRD458763:SRM458764 SRD524299:SRM524300 SRD589835:SRM589836 SRD655371:SRM655372 SRD720907:SRM720908 SRD786443:SRM786444 SRD851979:SRM851980 SRD917515:SRM917516 SRD983051:SRM983052 TAN10:TAW12 TAM65547:TAV65548 TAM131083:TAV131084 TAM196619:TAV196620 TAM262155:TAV262156 TAM327691:TAV327692 TAM393227:TAV393228 TAM458763:TAV458764 TAM524299:TAV524300 TAM589835:TAV589836 TAM655371:TAV655372 TAM720907:TAV720908 TAM786443:TAV786444 TAM851979:TAV851980 TAM917515:TAV917516 TAM983051:TAV983052 TBA10:TBJ12 TAZ65547:TBI65548 TAZ131083:TBI131084 TAZ196619:TBI196620 TAZ262155:TBI262156 TAZ327691:TBI327692 TAZ393227:TBI393228 TAZ458763:TBI458764 TAZ524299:TBI524300 TAZ589835:TBI589836 TAZ655371:TBI655372 TAZ720907:TBI720908 TAZ786443:TBI786444 TAZ851979:TBI851980 TAZ917515:TBI917516 TAZ983051:TBI983052 TKJ10:TKS12 TKI65547:TKR65548 TKI131083:TKR131084 TKI196619:TKR196620 TKI262155:TKR262156 TKI327691:TKR327692 TKI393227:TKR393228 TKI458763:TKR458764 TKI524299:TKR524300 TKI589835:TKR589836 TKI655371:TKR655372 TKI720907:TKR720908 TKI786443:TKR786444 TKI851979:TKR851980 TKI917515:TKR917516 TKI983051:TKR983052 TKW10:TLF12 TKV65547:TLE65548 TKV131083:TLE131084 TKV196619:TLE196620 TKV262155:TLE262156 TKV327691:TLE327692 TKV393227:TLE393228 TKV458763:TLE458764 TKV524299:TLE524300 TKV589835:TLE589836 TKV655371:TLE655372 TKV720907:TLE720908 TKV786443:TLE786444 TKV851979:TLE851980 TKV917515:TLE917516 TKV983051:TLE983052 TUF10:TUO12 TUE65547:TUN65548 TUE131083:TUN131084 TUE196619:TUN196620 TUE262155:TUN262156 TUE327691:TUN327692 TUE393227:TUN393228 TUE458763:TUN458764 TUE524299:TUN524300 TUE589835:TUN589836 TUE655371:TUN655372 TUE720907:TUN720908 TUE786443:TUN786444 TUE851979:TUN851980 TUE917515:TUN917516 TUE983051:TUN983052 TUS10:TVB12 TUR65547:TVA65548 TUR131083:TVA131084 TUR196619:TVA196620 TUR262155:TVA262156 TUR327691:TVA327692 TUR393227:TVA393228 TUR458763:TVA458764 TUR524299:TVA524300 TUR589835:TVA589836 TUR655371:TVA655372 TUR720907:TVA720908 TUR786443:TVA786444 TUR851979:TVA851980 TUR917515:TVA917516 TUR983051:TVA983052 UEB10:UEK12 UEA65547:UEJ65548 UEA131083:UEJ131084 UEA196619:UEJ196620 UEA262155:UEJ262156 UEA327691:UEJ327692 UEA393227:UEJ393228 UEA458763:UEJ458764 UEA524299:UEJ524300 UEA589835:UEJ589836 UEA655371:UEJ655372 UEA720907:UEJ720908 UEA786443:UEJ786444 UEA851979:UEJ851980 UEA917515:UEJ917516 UEA983051:UEJ983052 UEO10:UEX12 UEN65547:UEW65548 UEN131083:UEW131084 UEN196619:UEW196620 UEN262155:UEW262156 UEN327691:UEW327692 UEN393227:UEW393228 UEN458763:UEW458764 UEN524299:UEW524300 UEN589835:UEW589836 UEN655371:UEW655372 UEN720907:UEW720908 UEN786443:UEW786444 UEN851979:UEW851980 UEN917515:UEW917516 UEN983051:UEW983052 UNX10:UOG12 UNW65547:UOF65548 UNW131083:UOF131084 UNW196619:UOF196620 UNW262155:UOF262156 UNW327691:UOF327692 UNW393227:UOF393228 UNW458763:UOF458764 UNW524299:UOF524300 UNW589835:UOF589836 UNW655371:UOF655372 UNW720907:UOF720908 UNW786443:UOF786444 UNW851979:UOF851980 UNW917515:UOF917516 UNW983051:UOF983052 UOK10:UOT12 UOJ65547:UOS65548 UOJ131083:UOS131084 UOJ196619:UOS196620 UOJ262155:UOS262156 UOJ327691:UOS327692 UOJ393227:UOS393228 UOJ458763:UOS458764 UOJ524299:UOS524300 UOJ589835:UOS589836 UOJ655371:UOS655372 UOJ720907:UOS720908 UOJ786443:UOS786444 UOJ851979:UOS851980 UOJ917515:UOS917516 UOJ983051:UOS983052 UXT10:UYC12 UXS65547:UYB65548 UXS131083:UYB131084 UXS196619:UYB196620 UXS262155:UYB262156 UXS327691:UYB327692 UXS393227:UYB393228 UXS458763:UYB458764 UXS524299:UYB524300 UXS589835:UYB589836 UXS655371:UYB655372 UXS720907:UYB720908 UXS786443:UYB786444 UXS851979:UYB851980 UXS917515:UYB917516 UXS983051:UYB983052 UYG10:UYP12 UYF65547:UYO65548 UYF131083:UYO131084 UYF196619:UYO196620 UYF262155:UYO262156 UYF327691:UYO327692 UYF393227:UYO393228 UYF458763:UYO458764 UYF524299:UYO524300 UYF589835:UYO589836 UYF655371:UYO655372 UYF720907:UYO720908 UYF786443:UYO786444 UYF851979:UYO851980 UYF917515:UYO917516 UYF983051:UYO983052 VHP10:VHY12 VHO65547:VHX65548 VHO131083:VHX131084 VHO196619:VHX196620 VHO262155:VHX262156 VHO327691:VHX327692 VHO393227:VHX393228 VHO458763:VHX458764 VHO524299:VHX524300 VHO589835:VHX589836 VHO655371:VHX655372 VHO720907:VHX720908 VHO786443:VHX786444 VHO851979:VHX851980 VHO917515:VHX917516 VHO983051:VHX983052 VIC10:VIL12 VIB65547:VIK65548 VIB131083:VIK131084 VIB196619:VIK196620 VIB262155:VIK262156 VIB327691:VIK327692 VIB393227:VIK393228 VIB458763:VIK458764 VIB524299:VIK524300 VIB589835:VIK589836 VIB655371:VIK655372 VIB720907:VIK720908 VIB786443:VIK786444 VIB851979:VIK851980 VIB917515:VIK917516 VIB983051:VIK983052 VRL10:VRU12 VRK65547:VRT65548 VRK131083:VRT131084 VRK196619:VRT196620 VRK262155:VRT262156 VRK327691:VRT327692 VRK393227:VRT393228 VRK458763:VRT458764 VRK524299:VRT524300 VRK589835:VRT589836 VRK655371:VRT655372 VRK720907:VRT720908 VRK786443:VRT786444 VRK851979:VRT851980 VRK917515:VRT917516 VRK983051:VRT983052 VRY10:VSH12 VRX65547:VSG65548 VRX131083:VSG131084 VRX196619:VSG196620 VRX262155:VSG262156 VRX327691:VSG327692 VRX393227:VSG393228 VRX458763:VSG458764 VRX524299:VSG524300 VRX589835:VSG589836 VRX655371:VSG655372 VRX720907:VSG720908 VRX786443:VSG786444 VRX851979:VSG851980 VRX917515:VSG917516 VRX983051:VSG983052 WBH10:WBQ12 WBG65547:WBP65548 WBG131083:WBP131084 WBG196619:WBP196620 WBG262155:WBP262156 WBG327691:WBP327692 WBG393227:WBP393228 WBG458763:WBP458764 WBG524299:WBP524300 WBG589835:WBP589836 WBG655371:WBP655372 WBG720907:WBP720908 WBG786443:WBP786444 WBG851979:WBP851980 WBG917515:WBP917516 WBG983051:WBP983052 WBU10:WCD12 WBT65547:WCC65548 WBT131083:WCC131084 WBT196619:WCC196620 WBT262155:WCC262156 WBT327691:WCC327692 WBT393227:WCC393228 WBT458763:WCC458764 WBT524299:WCC524300 WBT589835:WCC589836 WBT655371:WCC655372 WBT720907:WCC720908 WBT786443:WCC786444 WBT851979:WCC851980 WBT917515:WCC917516 WBT983051:WCC983052 WLD10:WLM12 WLC65547:WLL65548 WLC131083:WLL131084 WLC196619:WLL196620 WLC262155:WLL262156 WLC327691:WLL327692 WLC393227:WLL393228 WLC458763:WLL458764 WLC524299:WLL524300 WLC589835:WLL589836 WLC655371:WLL655372 WLC720907:WLL720908 WLC786443:WLL786444 WLC851979:WLL851980 WLC917515:WLL917516 WLC983051:WLL983052 WLQ10:WLZ12 WLP65547:WLY65548 WLP131083:WLY131084 WLP196619:WLY196620 WLP262155:WLY262156 WLP327691:WLY327692 WLP393227:WLY393228 WLP458763:WLY458764 WLP524299:WLY524300 WLP589835:WLY589836 WLP655371:WLY655372 WLP720907:WLY720908 WLP786443:WLY786444 WLP851979:WLY851980 WLP917515:WLY917516 WLP983051:WLY983052 WUZ10:WVI12 WUY65547:WVH65548 WUY131083:WVH131084 WUY196619:WVH196620 WUY262155:WVH262156 WUY327691:WVH327692 WUY393227:WVH393228 WUY458763:WVH458764 WUY524299:WVH524300 WUY589835:WVH589836 WUY655371:WVH655372 WUY720907:WVH720908 WUY786443:WVH786444 WUY851979:WVH851980 WUY917515:WVH917516 WUY983051:WVH983052 WVM10:WVV12 WVL65547:WVU65548 WVL131083:WVU131084 WVL196619:WVU196620 WVL262155:WVU262156 WVL327691:WVU327692 WVL393227:WVU393228 WVL458763:WVU458764 WVL524299:WVU524300 WVL589835:WVU589836 WVL655371:WVU655372 WVL720907:WVU720908 WVL786443:WVU786444 WVL851979:WVU851980 WVL917515:WVU917516 WVL983051:WVU983052 D983051:G983052 D917515:G917516 D851979:G851980 D786443:G786444 D720907:G720908 D655371:G655372 D589835:G589836 D524299:G524300 D458763:G458764 D393227:G393228 D327691:G327692 D262155:G262156 D196619:G196620 D131083:G131084 D65547:G65548" xr:uid="{0DAB7F89-F8B7-4364-BB4F-3A6C25EC11D9}"/>
    <dataValidation allowBlank="1" showInputMessage="1" showErrorMessage="1" prompt="Written work total raw score" sqref="H65549:H65649 H131085:H131185 H196621:H196721 H262157:H262257 H327693:H327793 H393229:H393329 H458765:H458865 H524301:H524401 H589837:H589937 H655373:H655473 H720909:H721009 H786445:H786545 H851981:H852081 H917517:H917617 H983053:H983153 ST13:ST63 IW65549:IW65649 IW131085:IW131185 IW196621:IW196721 IW262157:IW262257 IW327693:IW327793 IW393229:IW393329 IW458765:IW458865 IW524301:IW524401 IW589837:IW589937 IW655373:IW655473 IW720909:IW721009 IW786445:IW786545 IW851981:IW852081 IW917517:IW917617 IW983053:IW983153 ACP13:ACP63 SS65549:SS65649 SS131085:SS131185 SS196621:SS196721 SS262157:SS262257 SS327693:SS327793 SS393229:SS393329 SS458765:SS458865 SS524301:SS524401 SS589837:SS589937 SS655373:SS655473 SS720909:SS721009 SS786445:SS786545 SS851981:SS852081 SS917517:SS917617 SS983053:SS983153 AML13:AML63 ACO65549:ACO65649 ACO131085:ACO131185 ACO196621:ACO196721 ACO262157:ACO262257 ACO327693:ACO327793 ACO393229:ACO393329 ACO458765:ACO458865 ACO524301:ACO524401 ACO589837:ACO589937 ACO655373:ACO655473 ACO720909:ACO721009 ACO786445:ACO786545 ACO851981:ACO852081 ACO917517:ACO917617 ACO983053:ACO983153 AWH13:AWH63 AMK65549:AMK65649 AMK131085:AMK131185 AMK196621:AMK196721 AMK262157:AMK262257 AMK327693:AMK327793 AMK393229:AMK393329 AMK458765:AMK458865 AMK524301:AMK524401 AMK589837:AMK589937 AMK655373:AMK655473 AMK720909:AMK721009 AMK786445:AMK786545 AMK851981:AMK852081 AMK917517:AMK917617 AMK983053:AMK983153 BGD13:BGD63 AWG65549:AWG65649 AWG131085:AWG131185 AWG196621:AWG196721 AWG262157:AWG262257 AWG327693:AWG327793 AWG393229:AWG393329 AWG458765:AWG458865 AWG524301:AWG524401 AWG589837:AWG589937 AWG655373:AWG655473 AWG720909:AWG721009 AWG786445:AWG786545 AWG851981:AWG852081 AWG917517:AWG917617 AWG983053:AWG983153 BPZ13:BPZ63 BGC65549:BGC65649 BGC131085:BGC131185 BGC196621:BGC196721 BGC262157:BGC262257 BGC327693:BGC327793 BGC393229:BGC393329 BGC458765:BGC458865 BGC524301:BGC524401 BGC589837:BGC589937 BGC655373:BGC655473 BGC720909:BGC721009 BGC786445:BGC786545 BGC851981:BGC852081 BGC917517:BGC917617 BGC983053:BGC983153 BZV13:BZV63 BPY65549:BPY65649 BPY131085:BPY131185 BPY196621:BPY196721 BPY262157:BPY262257 BPY327693:BPY327793 BPY393229:BPY393329 BPY458765:BPY458865 BPY524301:BPY524401 BPY589837:BPY589937 BPY655373:BPY655473 BPY720909:BPY721009 BPY786445:BPY786545 BPY851981:BPY852081 BPY917517:BPY917617 BPY983053:BPY983153 CJR13:CJR63 BZU65549:BZU65649 BZU131085:BZU131185 BZU196621:BZU196721 BZU262157:BZU262257 BZU327693:BZU327793 BZU393229:BZU393329 BZU458765:BZU458865 BZU524301:BZU524401 BZU589837:BZU589937 BZU655373:BZU655473 BZU720909:BZU721009 BZU786445:BZU786545 BZU851981:BZU852081 BZU917517:BZU917617 BZU983053:BZU983153 CTN13:CTN63 CJQ65549:CJQ65649 CJQ131085:CJQ131185 CJQ196621:CJQ196721 CJQ262157:CJQ262257 CJQ327693:CJQ327793 CJQ393229:CJQ393329 CJQ458765:CJQ458865 CJQ524301:CJQ524401 CJQ589837:CJQ589937 CJQ655373:CJQ655473 CJQ720909:CJQ721009 CJQ786445:CJQ786545 CJQ851981:CJQ852081 CJQ917517:CJQ917617 CJQ983053:CJQ983153 DDJ13:DDJ63 CTM65549:CTM65649 CTM131085:CTM131185 CTM196621:CTM196721 CTM262157:CTM262257 CTM327693:CTM327793 CTM393229:CTM393329 CTM458765:CTM458865 CTM524301:CTM524401 CTM589837:CTM589937 CTM655373:CTM655473 CTM720909:CTM721009 CTM786445:CTM786545 CTM851981:CTM852081 CTM917517:CTM917617 CTM983053:CTM983153 DNF13:DNF63 DDI65549:DDI65649 DDI131085:DDI131185 DDI196621:DDI196721 DDI262157:DDI262257 DDI327693:DDI327793 DDI393229:DDI393329 DDI458765:DDI458865 DDI524301:DDI524401 DDI589837:DDI589937 DDI655373:DDI655473 DDI720909:DDI721009 DDI786445:DDI786545 DDI851981:DDI852081 DDI917517:DDI917617 DDI983053:DDI983153 DXB13:DXB63 DNE65549:DNE65649 DNE131085:DNE131185 DNE196621:DNE196721 DNE262157:DNE262257 DNE327693:DNE327793 DNE393229:DNE393329 DNE458765:DNE458865 DNE524301:DNE524401 DNE589837:DNE589937 DNE655373:DNE655473 DNE720909:DNE721009 DNE786445:DNE786545 DNE851981:DNE852081 DNE917517:DNE917617 DNE983053:DNE983153 EGX13:EGX63 DXA65549:DXA65649 DXA131085:DXA131185 DXA196621:DXA196721 DXA262157:DXA262257 DXA327693:DXA327793 DXA393229:DXA393329 DXA458765:DXA458865 DXA524301:DXA524401 DXA589837:DXA589937 DXA655373:DXA655473 DXA720909:DXA721009 DXA786445:DXA786545 DXA851981:DXA852081 DXA917517:DXA917617 DXA983053:DXA983153 EQT13:EQT63 EGW65549:EGW65649 EGW131085:EGW131185 EGW196621:EGW196721 EGW262157:EGW262257 EGW327693:EGW327793 EGW393229:EGW393329 EGW458765:EGW458865 EGW524301:EGW524401 EGW589837:EGW589937 EGW655373:EGW655473 EGW720909:EGW721009 EGW786445:EGW786545 EGW851981:EGW852081 EGW917517:EGW917617 EGW983053:EGW983153 FAP13:FAP63 EQS65549:EQS65649 EQS131085:EQS131185 EQS196621:EQS196721 EQS262157:EQS262257 EQS327693:EQS327793 EQS393229:EQS393329 EQS458765:EQS458865 EQS524301:EQS524401 EQS589837:EQS589937 EQS655373:EQS655473 EQS720909:EQS721009 EQS786445:EQS786545 EQS851981:EQS852081 EQS917517:EQS917617 EQS983053:EQS983153 FKL13:FKL63 FAO65549:FAO65649 FAO131085:FAO131185 FAO196621:FAO196721 FAO262157:FAO262257 FAO327693:FAO327793 FAO393229:FAO393329 FAO458765:FAO458865 FAO524301:FAO524401 FAO589837:FAO589937 FAO655373:FAO655473 FAO720909:FAO721009 FAO786445:FAO786545 FAO851981:FAO852081 FAO917517:FAO917617 FAO983053:FAO983153 FUH13:FUH63 FKK65549:FKK65649 FKK131085:FKK131185 FKK196621:FKK196721 FKK262157:FKK262257 FKK327693:FKK327793 FKK393229:FKK393329 FKK458765:FKK458865 FKK524301:FKK524401 FKK589837:FKK589937 FKK655373:FKK655473 FKK720909:FKK721009 FKK786445:FKK786545 FKK851981:FKK852081 FKK917517:FKK917617 FKK983053:FKK983153 GED13:GED63 FUG65549:FUG65649 FUG131085:FUG131185 FUG196621:FUG196721 FUG262157:FUG262257 FUG327693:FUG327793 FUG393229:FUG393329 FUG458765:FUG458865 FUG524301:FUG524401 FUG589837:FUG589937 FUG655373:FUG655473 FUG720909:FUG721009 FUG786445:FUG786545 FUG851981:FUG852081 FUG917517:FUG917617 FUG983053:FUG983153 GNZ13:GNZ63 GEC65549:GEC65649 GEC131085:GEC131185 GEC196621:GEC196721 GEC262157:GEC262257 GEC327693:GEC327793 GEC393229:GEC393329 GEC458765:GEC458865 GEC524301:GEC524401 GEC589837:GEC589937 GEC655373:GEC655473 GEC720909:GEC721009 GEC786445:GEC786545 GEC851981:GEC852081 GEC917517:GEC917617 GEC983053:GEC983153 GXV13:GXV63 GNY65549:GNY65649 GNY131085:GNY131185 GNY196621:GNY196721 GNY262157:GNY262257 GNY327693:GNY327793 GNY393229:GNY393329 GNY458765:GNY458865 GNY524301:GNY524401 GNY589837:GNY589937 GNY655373:GNY655473 GNY720909:GNY721009 GNY786445:GNY786545 GNY851981:GNY852081 GNY917517:GNY917617 GNY983053:GNY983153 HHR13:HHR63 GXU65549:GXU65649 GXU131085:GXU131185 GXU196621:GXU196721 GXU262157:GXU262257 GXU327693:GXU327793 GXU393229:GXU393329 GXU458765:GXU458865 GXU524301:GXU524401 GXU589837:GXU589937 GXU655373:GXU655473 GXU720909:GXU721009 GXU786445:GXU786545 GXU851981:GXU852081 GXU917517:GXU917617 GXU983053:GXU983153 HRN13:HRN63 HHQ65549:HHQ65649 HHQ131085:HHQ131185 HHQ196621:HHQ196721 HHQ262157:HHQ262257 HHQ327693:HHQ327793 HHQ393229:HHQ393329 HHQ458765:HHQ458865 HHQ524301:HHQ524401 HHQ589837:HHQ589937 HHQ655373:HHQ655473 HHQ720909:HHQ721009 HHQ786445:HHQ786545 HHQ851981:HHQ852081 HHQ917517:HHQ917617 HHQ983053:HHQ983153 IBJ13:IBJ63 HRM65549:HRM65649 HRM131085:HRM131185 HRM196621:HRM196721 HRM262157:HRM262257 HRM327693:HRM327793 HRM393229:HRM393329 HRM458765:HRM458865 HRM524301:HRM524401 HRM589837:HRM589937 HRM655373:HRM655473 HRM720909:HRM721009 HRM786445:HRM786545 HRM851981:HRM852081 HRM917517:HRM917617 HRM983053:HRM983153 ILF13:ILF63 IBI65549:IBI65649 IBI131085:IBI131185 IBI196621:IBI196721 IBI262157:IBI262257 IBI327693:IBI327793 IBI393229:IBI393329 IBI458765:IBI458865 IBI524301:IBI524401 IBI589837:IBI589937 IBI655373:IBI655473 IBI720909:IBI721009 IBI786445:IBI786545 IBI851981:IBI852081 IBI917517:IBI917617 IBI983053:IBI983153 IVB13:IVB63 ILE65549:ILE65649 ILE131085:ILE131185 ILE196621:ILE196721 ILE262157:ILE262257 ILE327693:ILE327793 ILE393229:ILE393329 ILE458765:ILE458865 ILE524301:ILE524401 ILE589837:ILE589937 ILE655373:ILE655473 ILE720909:ILE721009 ILE786445:ILE786545 ILE851981:ILE852081 ILE917517:ILE917617 ILE983053:ILE983153 JEX13:JEX63 IVA65549:IVA65649 IVA131085:IVA131185 IVA196621:IVA196721 IVA262157:IVA262257 IVA327693:IVA327793 IVA393229:IVA393329 IVA458765:IVA458865 IVA524301:IVA524401 IVA589837:IVA589937 IVA655373:IVA655473 IVA720909:IVA721009 IVA786445:IVA786545 IVA851981:IVA852081 IVA917517:IVA917617 IVA983053:IVA983153 JOT13:JOT63 JEW65549:JEW65649 JEW131085:JEW131185 JEW196621:JEW196721 JEW262157:JEW262257 JEW327693:JEW327793 JEW393229:JEW393329 JEW458765:JEW458865 JEW524301:JEW524401 JEW589837:JEW589937 JEW655373:JEW655473 JEW720909:JEW721009 JEW786445:JEW786545 JEW851981:JEW852081 JEW917517:JEW917617 JEW983053:JEW983153 JYP13:JYP63 JOS65549:JOS65649 JOS131085:JOS131185 JOS196621:JOS196721 JOS262157:JOS262257 JOS327693:JOS327793 JOS393229:JOS393329 JOS458765:JOS458865 JOS524301:JOS524401 JOS589837:JOS589937 JOS655373:JOS655473 JOS720909:JOS721009 JOS786445:JOS786545 JOS851981:JOS852081 JOS917517:JOS917617 JOS983053:JOS983153 KIL13:KIL63 JYO65549:JYO65649 JYO131085:JYO131185 JYO196621:JYO196721 JYO262157:JYO262257 JYO327693:JYO327793 JYO393229:JYO393329 JYO458765:JYO458865 JYO524301:JYO524401 JYO589837:JYO589937 JYO655373:JYO655473 JYO720909:JYO721009 JYO786445:JYO786545 JYO851981:JYO852081 JYO917517:JYO917617 JYO983053:JYO983153 KSH13:KSH63 KIK65549:KIK65649 KIK131085:KIK131185 KIK196621:KIK196721 KIK262157:KIK262257 KIK327693:KIK327793 KIK393229:KIK393329 KIK458765:KIK458865 KIK524301:KIK524401 KIK589837:KIK589937 KIK655373:KIK655473 KIK720909:KIK721009 KIK786445:KIK786545 KIK851981:KIK852081 KIK917517:KIK917617 KIK983053:KIK983153 LCD13:LCD63 KSG65549:KSG65649 KSG131085:KSG131185 KSG196621:KSG196721 KSG262157:KSG262257 KSG327693:KSG327793 KSG393229:KSG393329 KSG458765:KSG458865 KSG524301:KSG524401 KSG589837:KSG589937 KSG655373:KSG655473 KSG720909:KSG721009 KSG786445:KSG786545 KSG851981:KSG852081 KSG917517:KSG917617 KSG983053:KSG983153 LLZ13:LLZ63 LCC65549:LCC65649 LCC131085:LCC131185 LCC196621:LCC196721 LCC262157:LCC262257 LCC327693:LCC327793 LCC393229:LCC393329 LCC458765:LCC458865 LCC524301:LCC524401 LCC589837:LCC589937 LCC655373:LCC655473 LCC720909:LCC721009 LCC786445:LCC786545 LCC851981:LCC852081 LCC917517:LCC917617 LCC983053:LCC983153 LVV13:LVV63 LLY65549:LLY65649 LLY131085:LLY131185 LLY196621:LLY196721 LLY262157:LLY262257 LLY327693:LLY327793 LLY393229:LLY393329 LLY458765:LLY458865 LLY524301:LLY524401 LLY589837:LLY589937 LLY655373:LLY655473 LLY720909:LLY721009 LLY786445:LLY786545 LLY851981:LLY852081 LLY917517:LLY917617 LLY983053:LLY983153 MFR13:MFR63 LVU65549:LVU65649 LVU131085:LVU131185 LVU196621:LVU196721 LVU262157:LVU262257 LVU327693:LVU327793 LVU393229:LVU393329 LVU458765:LVU458865 LVU524301:LVU524401 LVU589837:LVU589937 LVU655373:LVU655473 LVU720909:LVU721009 LVU786445:LVU786545 LVU851981:LVU852081 LVU917517:LVU917617 LVU983053:LVU983153 MPN13:MPN63 MFQ65549:MFQ65649 MFQ131085:MFQ131185 MFQ196621:MFQ196721 MFQ262157:MFQ262257 MFQ327693:MFQ327793 MFQ393229:MFQ393329 MFQ458765:MFQ458865 MFQ524301:MFQ524401 MFQ589837:MFQ589937 MFQ655373:MFQ655473 MFQ720909:MFQ721009 MFQ786445:MFQ786545 MFQ851981:MFQ852081 MFQ917517:MFQ917617 MFQ983053:MFQ983153 MZJ13:MZJ63 MPM65549:MPM65649 MPM131085:MPM131185 MPM196621:MPM196721 MPM262157:MPM262257 MPM327693:MPM327793 MPM393229:MPM393329 MPM458765:MPM458865 MPM524301:MPM524401 MPM589837:MPM589937 MPM655373:MPM655473 MPM720909:MPM721009 MPM786445:MPM786545 MPM851981:MPM852081 MPM917517:MPM917617 MPM983053:MPM983153 NJF13:NJF63 MZI65549:MZI65649 MZI131085:MZI131185 MZI196621:MZI196721 MZI262157:MZI262257 MZI327693:MZI327793 MZI393229:MZI393329 MZI458765:MZI458865 MZI524301:MZI524401 MZI589837:MZI589937 MZI655373:MZI655473 MZI720909:MZI721009 MZI786445:MZI786545 MZI851981:MZI852081 MZI917517:MZI917617 MZI983053:MZI983153 NTB13:NTB63 NJE65549:NJE65649 NJE131085:NJE131185 NJE196621:NJE196721 NJE262157:NJE262257 NJE327693:NJE327793 NJE393229:NJE393329 NJE458765:NJE458865 NJE524301:NJE524401 NJE589837:NJE589937 NJE655373:NJE655473 NJE720909:NJE721009 NJE786445:NJE786545 NJE851981:NJE852081 NJE917517:NJE917617 NJE983053:NJE983153 OCX13:OCX63 NTA65549:NTA65649 NTA131085:NTA131185 NTA196621:NTA196721 NTA262157:NTA262257 NTA327693:NTA327793 NTA393229:NTA393329 NTA458765:NTA458865 NTA524301:NTA524401 NTA589837:NTA589937 NTA655373:NTA655473 NTA720909:NTA721009 NTA786445:NTA786545 NTA851981:NTA852081 NTA917517:NTA917617 NTA983053:NTA983153 OMT13:OMT63 OCW65549:OCW65649 OCW131085:OCW131185 OCW196621:OCW196721 OCW262157:OCW262257 OCW327693:OCW327793 OCW393229:OCW393329 OCW458765:OCW458865 OCW524301:OCW524401 OCW589837:OCW589937 OCW655373:OCW655473 OCW720909:OCW721009 OCW786445:OCW786545 OCW851981:OCW852081 OCW917517:OCW917617 OCW983053:OCW983153 OWP13:OWP63 OMS65549:OMS65649 OMS131085:OMS131185 OMS196621:OMS196721 OMS262157:OMS262257 OMS327693:OMS327793 OMS393229:OMS393329 OMS458765:OMS458865 OMS524301:OMS524401 OMS589837:OMS589937 OMS655373:OMS655473 OMS720909:OMS721009 OMS786445:OMS786545 OMS851981:OMS852081 OMS917517:OMS917617 OMS983053:OMS983153 PGL13:PGL63 OWO65549:OWO65649 OWO131085:OWO131185 OWO196621:OWO196721 OWO262157:OWO262257 OWO327693:OWO327793 OWO393229:OWO393329 OWO458765:OWO458865 OWO524301:OWO524401 OWO589837:OWO589937 OWO655373:OWO655473 OWO720909:OWO721009 OWO786445:OWO786545 OWO851981:OWO852081 OWO917517:OWO917617 OWO983053:OWO983153 PQH13:PQH63 PGK65549:PGK65649 PGK131085:PGK131185 PGK196621:PGK196721 PGK262157:PGK262257 PGK327693:PGK327793 PGK393229:PGK393329 PGK458765:PGK458865 PGK524301:PGK524401 PGK589837:PGK589937 PGK655373:PGK655473 PGK720909:PGK721009 PGK786445:PGK786545 PGK851981:PGK852081 PGK917517:PGK917617 PGK983053:PGK983153 QAD13:QAD63 PQG65549:PQG65649 PQG131085:PQG131185 PQG196621:PQG196721 PQG262157:PQG262257 PQG327693:PQG327793 PQG393229:PQG393329 PQG458765:PQG458865 PQG524301:PQG524401 PQG589837:PQG589937 PQG655373:PQG655473 PQG720909:PQG721009 PQG786445:PQG786545 PQG851981:PQG852081 PQG917517:PQG917617 PQG983053:PQG983153 QJZ13:QJZ63 QAC65549:QAC65649 QAC131085:QAC131185 QAC196621:QAC196721 QAC262157:QAC262257 QAC327693:QAC327793 QAC393229:QAC393329 QAC458765:QAC458865 QAC524301:QAC524401 QAC589837:QAC589937 QAC655373:QAC655473 QAC720909:QAC721009 QAC786445:QAC786545 QAC851981:QAC852081 QAC917517:QAC917617 QAC983053:QAC983153 QTV13:QTV63 QJY65549:QJY65649 QJY131085:QJY131185 QJY196621:QJY196721 QJY262157:QJY262257 QJY327693:QJY327793 QJY393229:QJY393329 QJY458765:QJY458865 QJY524301:QJY524401 QJY589837:QJY589937 QJY655373:QJY655473 QJY720909:QJY721009 QJY786445:QJY786545 QJY851981:QJY852081 QJY917517:QJY917617 QJY983053:QJY983153 RDR13:RDR63 QTU65549:QTU65649 QTU131085:QTU131185 QTU196621:QTU196721 QTU262157:QTU262257 QTU327693:QTU327793 QTU393229:QTU393329 QTU458765:QTU458865 QTU524301:QTU524401 QTU589837:QTU589937 QTU655373:QTU655473 QTU720909:QTU721009 QTU786445:QTU786545 QTU851981:QTU852081 QTU917517:QTU917617 QTU983053:QTU983153 RNN13:RNN63 RDQ65549:RDQ65649 RDQ131085:RDQ131185 RDQ196621:RDQ196721 RDQ262157:RDQ262257 RDQ327693:RDQ327793 RDQ393229:RDQ393329 RDQ458765:RDQ458865 RDQ524301:RDQ524401 RDQ589837:RDQ589937 RDQ655373:RDQ655473 RDQ720909:RDQ721009 RDQ786445:RDQ786545 RDQ851981:RDQ852081 RDQ917517:RDQ917617 RDQ983053:RDQ983153 RXJ13:RXJ63 RNM65549:RNM65649 RNM131085:RNM131185 RNM196621:RNM196721 RNM262157:RNM262257 RNM327693:RNM327793 RNM393229:RNM393329 RNM458765:RNM458865 RNM524301:RNM524401 RNM589837:RNM589937 RNM655373:RNM655473 RNM720909:RNM721009 RNM786445:RNM786545 RNM851981:RNM852081 RNM917517:RNM917617 RNM983053:RNM983153 SHF13:SHF63 RXI65549:RXI65649 RXI131085:RXI131185 RXI196621:RXI196721 RXI262157:RXI262257 RXI327693:RXI327793 RXI393229:RXI393329 RXI458765:RXI458865 RXI524301:RXI524401 RXI589837:RXI589937 RXI655373:RXI655473 RXI720909:RXI721009 RXI786445:RXI786545 RXI851981:RXI852081 RXI917517:RXI917617 RXI983053:RXI983153 SRB13:SRB63 SHE65549:SHE65649 SHE131085:SHE131185 SHE196621:SHE196721 SHE262157:SHE262257 SHE327693:SHE327793 SHE393229:SHE393329 SHE458765:SHE458865 SHE524301:SHE524401 SHE589837:SHE589937 SHE655373:SHE655473 SHE720909:SHE721009 SHE786445:SHE786545 SHE851981:SHE852081 SHE917517:SHE917617 SHE983053:SHE983153 TAX13:TAX63 SRA65549:SRA65649 SRA131085:SRA131185 SRA196621:SRA196721 SRA262157:SRA262257 SRA327693:SRA327793 SRA393229:SRA393329 SRA458765:SRA458865 SRA524301:SRA524401 SRA589837:SRA589937 SRA655373:SRA655473 SRA720909:SRA721009 SRA786445:SRA786545 SRA851981:SRA852081 SRA917517:SRA917617 SRA983053:SRA983153 TKT13:TKT63 TAW65549:TAW65649 TAW131085:TAW131185 TAW196621:TAW196721 TAW262157:TAW262257 TAW327693:TAW327793 TAW393229:TAW393329 TAW458765:TAW458865 TAW524301:TAW524401 TAW589837:TAW589937 TAW655373:TAW655473 TAW720909:TAW721009 TAW786445:TAW786545 TAW851981:TAW852081 TAW917517:TAW917617 TAW983053:TAW983153 TUP13:TUP63 TKS65549:TKS65649 TKS131085:TKS131185 TKS196621:TKS196721 TKS262157:TKS262257 TKS327693:TKS327793 TKS393229:TKS393329 TKS458765:TKS458865 TKS524301:TKS524401 TKS589837:TKS589937 TKS655373:TKS655473 TKS720909:TKS721009 TKS786445:TKS786545 TKS851981:TKS852081 TKS917517:TKS917617 TKS983053:TKS983153 UEL13:UEL63 TUO65549:TUO65649 TUO131085:TUO131185 TUO196621:TUO196721 TUO262157:TUO262257 TUO327693:TUO327793 TUO393229:TUO393329 TUO458765:TUO458865 TUO524301:TUO524401 TUO589837:TUO589937 TUO655373:TUO655473 TUO720909:TUO721009 TUO786445:TUO786545 TUO851981:TUO852081 TUO917517:TUO917617 TUO983053:TUO983153 UOH13:UOH63 UEK65549:UEK65649 UEK131085:UEK131185 UEK196621:UEK196721 UEK262157:UEK262257 UEK327693:UEK327793 UEK393229:UEK393329 UEK458765:UEK458865 UEK524301:UEK524401 UEK589837:UEK589937 UEK655373:UEK655473 UEK720909:UEK721009 UEK786445:UEK786545 UEK851981:UEK852081 UEK917517:UEK917617 UEK983053:UEK983153 UYD13:UYD63 UOG65549:UOG65649 UOG131085:UOG131185 UOG196621:UOG196721 UOG262157:UOG262257 UOG327693:UOG327793 UOG393229:UOG393329 UOG458765:UOG458865 UOG524301:UOG524401 UOG589837:UOG589937 UOG655373:UOG655473 UOG720909:UOG721009 UOG786445:UOG786545 UOG851981:UOG852081 UOG917517:UOG917617 UOG983053:UOG983153 VHZ13:VHZ63 UYC65549:UYC65649 UYC131085:UYC131185 UYC196621:UYC196721 UYC262157:UYC262257 UYC327693:UYC327793 UYC393229:UYC393329 UYC458765:UYC458865 UYC524301:UYC524401 UYC589837:UYC589937 UYC655373:UYC655473 UYC720909:UYC721009 UYC786445:UYC786545 UYC851981:UYC852081 UYC917517:UYC917617 UYC983053:UYC983153 VRV13:VRV63 VHY65549:VHY65649 VHY131085:VHY131185 VHY196621:VHY196721 VHY262157:VHY262257 VHY327693:VHY327793 VHY393229:VHY393329 VHY458765:VHY458865 VHY524301:VHY524401 VHY589837:VHY589937 VHY655373:VHY655473 VHY720909:VHY721009 VHY786445:VHY786545 VHY851981:VHY852081 VHY917517:VHY917617 VHY983053:VHY983153 WBR13:WBR63 VRU65549:VRU65649 VRU131085:VRU131185 VRU196621:VRU196721 VRU262157:VRU262257 VRU327693:VRU327793 VRU393229:VRU393329 VRU458765:VRU458865 VRU524301:VRU524401 VRU589837:VRU589937 VRU655373:VRU655473 VRU720909:VRU721009 VRU786445:VRU786545 VRU851981:VRU852081 VRU917517:VRU917617 VRU983053:VRU983153 WLN13:WLN63 WBQ65549:WBQ65649 WBQ131085:WBQ131185 WBQ196621:WBQ196721 WBQ262157:WBQ262257 WBQ327693:WBQ327793 WBQ393229:WBQ393329 WBQ458765:WBQ458865 WBQ524301:WBQ524401 WBQ589837:WBQ589937 WBQ655373:WBQ655473 WBQ720909:WBQ721009 WBQ786445:WBQ786545 WBQ851981:WBQ852081 WBQ917517:WBQ917617 WBQ983053:WBQ983153 WVJ13:WVJ63 WLM65549:WLM65649 WLM131085:WLM131185 WLM196621:WLM196721 WLM262157:WLM262257 WLM327693:WLM327793 WLM393229:WLM393329 WLM458765:WLM458865 WLM524301:WLM524401 WLM589837:WLM589937 WLM655373:WLM655473 WLM720909:WLM721009 WLM786445:WLM786545 WLM851981:WLM852081 WLM917517:WLM917617 WLM983053:WLM983153 WVI983053:WVI983153 WVI65549:WVI65649 WVI131085:WVI131185 WVI196621:WVI196721 WVI262157:WVI262257 WVI327693:WVI327793 WVI393229:WVI393329 WVI458765:WVI458865 WVI524301:WVI524401 WVI589837:WVI589937 WVI655373:WVI655473 WVI720909:WVI721009 WVI786445:WVI786545 WVI851981:WVI852081 WVI917517:WVI917617 IX13:IX63 WVJ66:WVJ114 WLN66:WLN114 WBR66:WBR114 VRV66:VRV114 VHZ66:VHZ114 UYD66:UYD114 UOH66:UOH114 UEL66:UEL114 TUP66:TUP114 TKT66:TKT114 TAX66:TAX114 SRB66:SRB114 SHF66:SHF114 RXJ66:RXJ114 RNN66:RNN114 RDR66:RDR114 QTV66:QTV114 QJZ66:QJZ114 QAD66:QAD114 PQH66:PQH114 PGL66:PGL114 OWP66:OWP114 OMT66:OMT114 OCX66:OCX114 NTB66:NTB114 NJF66:NJF114 MZJ66:MZJ114 MPN66:MPN114 MFR66:MFR114 LVV66:LVV114 LLZ66:LLZ114 LCD66:LCD114 KSH66:KSH114 KIL66:KIL114 JYP66:JYP114 JOT66:JOT114 JEX66:JEX114 IVB66:IVB114 ILF66:ILF114 IBJ66:IBJ114 HRN66:HRN114 HHR66:HHR114 GXV66:GXV114 GNZ66:GNZ114 GED66:GED114 FUH66:FUH114 FKL66:FKL114 FAP66:FAP114 EQT66:EQT114 EGX66:EGX114 DXB66:DXB114 DNF66:DNF114 DDJ66:DDJ114 CTN66:CTN114 CJR66:CJR114 BZV66:BZV114 BPZ66:BPZ114 BGD66:BGD114 AWH66:AWH114 AML66:AML114 ACP66:ACP114 ST66:ST114 IX66:IX114" xr:uid="{82CA60BB-3CBD-46D0-9680-9001DCEE7108}"/>
    <dataValidation allowBlank="1" showInputMessage="1" showErrorMessage="1" prompt="Written Work TOTAL Highest Possible Score" sqref="H65547:H65548 H131083:H131084 H196619:H196620 H262155:H262156 H327691:H327692 H393227:H393228 H458763:H458764 H524299:H524300 H589835:H589836 H655371:H655372 H720907:H720908 H786443:H786444 H851979:H851980 H917515:H917516 H983051:H983052 IX10:IX12 IW65547:IW65548 IW131083:IW131084 IW196619:IW196620 IW262155:IW262156 IW327691:IW327692 IW393227:IW393228 IW458763:IW458764 IW524299:IW524300 IW589835:IW589836 IW655371:IW655372 IW720907:IW720908 IW786443:IW786444 IW851979:IW851980 IW917515:IW917516 IW983051:IW983052 ST10:ST12 SS65547:SS65548 SS131083:SS131084 SS196619:SS196620 SS262155:SS262156 SS327691:SS327692 SS393227:SS393228 SS458763:SS458764 SS524299:SS524300 SS589835:SS589836 SS655371:SS655372 SS720907:SS720908 SS786443:SS786444 SS851979:SS851980 SS917515:SS917516 SS983051:SS983052 ACP10:ACP12 ACO65547:ACO65548 ACO131083:ACO131084 ACO196619:ACO196620 ACO262155:ACO262156 ACO327691:ACO327692 ACO393227:ACO393228 ACO458763:ACO458764 ACO524299:ACO524300 ACO589835:ACO589836 ACO655371:ACO655372 ACO720907:ACO720908 ACO786443:ACO786444 ACO851979:ACO851980 ACO917515:ACO917516 ACO983051:ACO983052 AML10:AML12 AMK65547:AMK65548 AMK131083:AMK131084 AMK196619:AMK196620 AMK262155:AMK262156 AMK327691:AMK327692 AMK393227:AMK393228 AMK458763:AMK458764 AMK524299:AMK524300 AMK589835:AMK589836 AMK655371:AMK655372 AMK720907:AMK720908 AMK786443:AMK786444 AMK851979:AMK851980 AMK917515:AMK917516 AMK983051:AMK983052 AWH10:AWH12 AWG65547:AWG65548 AWG131083:AWG131084 AWG196619:AWG196620 AWG262155:AWG262156 AWG327691:AWG327692 AWG393227:AWG393228 AWG458763:AWG458764 AWG524299:AWG524300 AWG589835:AWG589836 AWG655371:AWG655372 AWG720907:AWG720908 AWG786443:AWG786444 AWG851979:AWG851980 AWG917515:AWG917516 AWG983051:AWG983052 BGD10:BGD12 BGC65547:BGC65548 BGC131083:BGC131084 BGC196619:BGC196620 BGC262155:BGC262156 BGC327691:BGC327692 BGC393227:BGC393228 BGC458763:BGC458764 BGC524299:BGC524300 BGC589835:BGC589836 BGC655371:BGC655372 BGC720907:BGC720908 BGC786443:BGC786444 BGC851979:BGC851980 BGC917515:BGC917516 BGC983051:BGC983052 BPZ10:BPZ12 BPY65547:BPY65548 BPY131083:BPY131084 BPY196619:BPY196620 BPY262155:BPY262156 BPY327691:BPY327692 BPY393227:BPY393228 BPY458763:BPY458764 BPY524299:BPY524300 BPY589835:BPY589836 BPY655371:BPY655372 BPY720907:BPY720908 BPY786443:BPY786444 BPY851979:BPY851980 BPY917515:BPY917516 BPY983051:BPY983052 BZV10:BZV12 BZU65547:BZU65548 BZU131083:BZU131084 BZU196619:BZU196620 BZU262155:BZU262156 BZU327691:BZU327692 BZU393227:BZU393228 BZU458763:BZU458764 BZU524299:BZU524300 BZU589835:BZU589836 BZU655371:BZU655372 BZU720907:BZU720908 BZU786443:BZU786444 BZU851979:BZU851980 BZU917515:BZU917516 BZU983051:BZU983052 CJR10:CJR12 CJQ65547:CJQ65548 CJQ131083:CJQ131084 CJQ196619:CJQ196620 CJQ262155:CJQ262156 CJQ327691:CJQ327692 CJQ393227:CJQ393228 CJQ458763:CJQ458764 CJQ524299:CJQ524300 CJQ589835:CJQ589836 CJQ655371:CJQ655372 CJQ720907:CJQ720908 CJQ786443:CJQ786444 CJQ851979:CJQ851980 CJQ917515:CJQ917516 CJQ983051:CJQ983052 CTN10:CTN12 CTM65547:CTM65548 CTM131083:CTM131084 CTM196619:CTM196620 CTM262155:CTM262156 CTM327691:CTM327692 CTM393227:CTM393228 CTM458763:CTM458764 CTM524299:CTM524300 CTM589835:CTM589836 CTM655371:CTM655372 CTM720907:CTM720908 CTM786443:CTM786444 CTM851979:CTM851980 CTM917515:CTM917516 CTM983051:CTM983052 DDJ10:DDJ12 DDI65547:DDI65548 DDI131083:DDI131084 DDI196619:DDI196620 DDI262155:DDI262156 DDI327691:DDI327692 DDI393227:DDI393228 DDI458763:DDI458764 DDI524299:DDI524300 DDI589835:DDI589836 DDI655371:DDI655372 DDI720907:DDI720908 DDI786443:DDI786444 DDI851979:DDI851980 DDI917515:DDI917516 DDI983051:DDI983052 DNF10:DNF12 DNE65547:DNE65548 DNE131083:DNE131084 DNE196619:DNE196620 DNE262155:DNE262156 DNE327691:DNE327692 DNE393227:DNE393228 DNE458763:DNE458764 DNE524299:DNE524300 DNE589835:DNE589836 DNE655371:DNE655372 DNE720907:DNE720908 DNE786443:DNE786444 DNE851979:DNE851980 DNE917515:DNE917516 DNE983051:DNE983052 DXB10:DXB12 DXA65547:DXA65548 DXA131083:DXA131084 DXA196619:DXA196620 DXA262155:DXA262156 DXA327691:DXA327692 DXA393227:DXA393228 DXA458763:DXA458764 DXA524299:DXA524300 DXA589835:DXA589836 DXA655371:DXA655372 DXA720907:DXA720908 DXA786443:DXA786444 DXA851979:DXA851980 DXA917515:DXA917516 DXA983051:DXA983052 EGX10:EGX12 EGW65547:EGW65548 EGW131083:EGW131084 EGW196619:EGW196620 EGW262155:EGW262156 EGW327691:EGW327692 EGW393227:EGW393228 EGW458763:EGW458764 EGW524299:EGW524300 EGW589835:EGW589836 EGW655371:EGW655372 EGW720907:EGW720908 EGW786443:EGW786444 EGW851979:EGW851980 EGW917515:EGW917516 EGW983051:EGW983052 EQT10:EQT12 EQS65547:EQS65548 EQS131083:EQS131084 EQS196619:EQS196620 EQS262155:EQS262156 EQS327691:EQS327692 EQS393227:EQS393228 EQS458763:EQS458764 EQS524299:EQS524300 EQS589835:EQS589836 EQS655371:EQS655372 EQS720907:EQS720908 EQS786443:EQS786444 EQS851979:EQS851980 EQS917515:EQS917516 EQS983051:EQS983052 FAP10:FAP12 FAO65547:FAO65548 FAO131083:FAO131084 FAO196619:FAO196620 FAO262155:FAO262156 FAO327691:FAO327692 FAO393227:FAO393228 FAO458763:FAO458764 FAO524299:FAO524300 FAO589835:FAO589836 FAO655371:FAO655372 FAO720907:FAO720908 FAO786443:FAO786444 FAO851979:FAO851980 FAO917515:FAO917516 FAO983051:FAO983052 FKL10:FKL12 FKK65547:FKK65548 FKK131083:FKK131084 FKK196619:FKK196620 FKK262155:FKK262156 FKK327691:FKK327692 FKK393227:FKK393228 FKK458763:FKK458764 FKK524299:FKK524300 FKK589835:FKK589836 FKK655371:FKK655372 FKK720907:FKK720908 FKK786443:FKK786444 FKK851979:FKK851980 FKK917515:FKK917516 FKK983051:FKK983052 FUH10:FUH12 FUG65547:FUG65548 FUG131083:FUG131084 FUG196619:FUG196620 FUG262155:FUG262156 FUG327691:FUG327692 FUG393227:FUG393228 FUG458763:FUG458764 FUG524299:FUG524300 FUG589835:FUG589836 FUG655371:FUG655372 FUG720907:FUG720908 FUG786443:FUG786444 FUG851979:FUG851980 FUG917515:FUG917516 FUG983051:FUG983052 GED10:GED12 GEC65547:GEC65548 GEC131083:GEC131084 GEC196619:GEC196620 GEC262155:GEC262156 GEC327691:GEC327692 GEC393227:GEC393228 GEC458763:GEC458764 GEC524299:GEC524300 GEC589835:GEC589836 GEC655371:GEC655372 GEC720907:GEC720908 GEC786443:GEC786444 GEC851979:GEC851980 GEC917515:GEC917516 GEC983051:GEC983052 GNZ10:GNZ12 GNY65547:GNY65548 GNY131083:GNY131084 GNY196619:GNY196620 GNY262155:GNY262156 GNY327691:GNY327692 GNY393227:GNY393228 GNY458763:GNY458764 GNY524299:GNY524300 GNY589835:GNY589836 GNY655371:GNY655372 GNY720907:GNY720908 GNY786443:GNY786444 GNY851979:GNY851980 GNY917515:GNY917516 GNY983051:GNY983052 GXV10:GXV12 GXU65547:GXU65548 GXU131083:GXU131084 GXU196619:GXU196620 GXU262155:GXU262156 GXU327691:GXU327692 GXU393227:GXU393228 GXU458763:GXU458764 GXU524299:GXU524300 GXU589835:GXU589836 GXU655371:GXU655372 GXU720907:GXU720908 GXU786443:GXU786444 GXU851979:GXU851980 GXU917515:GXU917516 GXU983051:GXU983052 HHR10:HHR12 HHQ65547:HHQ65548 HHQ131083:HHQ131084 HHQ196619:HHQ196620 HHQ262155:HHQ262156 HHQ327691:HHQ327692 HHQ393227:HHQ393228 HHQ458763:HHQ458764 HHQ524299:HHQ524300 HHQ589835:HHQ589836 HHQ655371:HHQ655372 HHQ720907:HHQ720908 HHQ786443:HHQ786444 HHQ851979:HHQ851980 HHQ917515:HHQ917516 HHQ983051:HHQ983052 HRN10:HRN12 HRM65547:HRM65548 HRM131083:HRM131084 HRM196619:HRM196620 HRM262155:HRM262156 HRM327691:HRM327692 HRM393227:HRM393228 HRM458763:HRM458764 HRM524299:HRM524300 HRM589835:HRM589836 HRM655371:HRM655372 HRM720907:HRM720908 HRM786443:HRM786444 HRM851979:HRM851980 HRM917515:HRM917516 HRM983051:HRM983052 IBJ10:IBJ12 IBI65547:IBI65548 IBI131083:IBI131084 IBI196619:IBI196620 IBI262155:IBI262156 IBI327691:IBI327692 IBI393227:IBI393228 IBI458763:IBI458764 IBI524299:IBI524300 IBI589835:IBI589836 IBI655371:IBI655372 IBI720907:IBI720908 IBI786443:IBI786444 IBI851979:IBI851980 IBI917515:IBI917516 IBI983051:IBI983052 ILF10:ILF12 ILE65547:ILE65548 ILE131083:ILE131084 ILE196619:ILE196620 ILE262155:ILE262156 ILE327691:ILE327692 ILE393227:ILE393228 ILE458763:ILE458764 ILE524299:ILE524300 ILE589835:ILE589836 ILE655371:ILE655372 ILE720907:ILE720908 ILE786443:ILE786444 ILE851979:ILE851980 ILE917515:ILE917516 ILE983051:ILE983052 IVB10:IVB12 IVA65547:IVA65548 IVA131083:IVA131084 IVA196619:IVA196620 IVA262155:IVA262156 IVA327691:IVA327692 IVA393227:IVA393228 IVA458763:IVA458764 IVA524299:IVA524300 IVA589835:IVA589836 IVA655371:IVA655372 IVA720907:IVA720908 IVA786443:IVA786444 IVA851979:IVA851980 IVA917515:IVA917516 IVA983051:IVA983052 JEX10:JEX12 JEW65547:JEW65548 JEW131083:JEW131084 JEW196619:JEW196620 JEW262155:JEW262156 JEW327691:JEW327692 JEW393227:JEW393228 JEW458763:JEW458764 JEW524299:JEW524300 JEW589835:JEW589836 JEW655371:JEW655372 JEW720907:JEW720908 JEW786443:JEW786444 JEW851979:JEW851980 JEW917515:JEW917516 JEW983051:JEW983052 JOT10:JOT12 JOS65547:JOS65548 JOS131083:JOS131084 JOS196619:JOS196620 JOS262155:JOS262156 JOS327691:JOS327692 JOS393227:JOS393228 JOS458763:JOS458764 JOS524299:JOS524300 JOS589835:JOS589836 JOS655371:JOS655372 JOS720907:JOS720908 JOS786443:JOS786444 JOS851979:JOS851980 JOS917515:JOS917516 JOS983051:JOS983052 JYP10:JYP12 JYO65547:JYO65548 JYO131083:JYO131084 JYO196619:JYO196620 JYO262155:JYO262156 JYO327691:JYO327692 JYO393227:JYO393228 JYO458763:JYO458764 JYO524299:JYO524300 JYO589835:JYO589836 JYO655371:JYO655372 JYO720907:JYO720908 JYO786443:JYO786444 JYO851979:JYO851980 JYO917515:JYO917516 JYO983051:JYO983052 KIL10:KIL12 KIK65547:KIK65548 KIK131083:KIK131084 KIK196619:KIK196620 KIK262155:KIK262156 KIK327691:KIK327692 KIK393227:KIK393228 KIK458763:KIK458764 KIK524299:KIK524300 KIK589835:KIK589836 KIK655371:KIK655372 KIK720907:KIK720908 KIK786443:KIK786444 KIK851979:KIK851980 KIK917515:KIK917516 KIK983051:KIK983052 KSH10:KSH12 KSG65547:KSG65548 KSG131083:KSG131084 KSG196619:KSG196620 KSG262155:KSG262156 KSG327691:KSG327692 KSG393227:KSG393228 KSG458763:KSG458764 KSG524299:KSG524300 KSG589835:KSG589836 KSG655371:KSG655372 KSG720907:KSG720908 KSG786443:KSG786444 KSG851979:KSG851980 KSG917515:KSG917516 KSG983051:KSG983052 LCD10:LCD12 LCC65547:LCC65548 LCC131083:LCC131084 LCC196619:LCC196620 LCC262155:LCC262156 LCC327691:LCC327692 LCC393227:LCC393228 LCC458763:LCC458764 LCC524299:LCC524300 LCC589835:LCC589836 LCC655371:LCC655372 LCC720907:LCC720908 LCC786443:LCC786444 LCC851979:LCC851980 LCC917515:LCC917516 LCC983051:LCC983052 LLZ10:LLZ12 LLY65547:LLY65548 LLY131083:LLY131084 LLY196619:LLY196620 LLY262155:LLY262156 LLY327691:LLY327692 LLY393227:LLY393228 LLY458763:LLY458764 LLY524299:LLY524300 LLY589835:LLY589836 LLY655371:LLY655372 LLY720907:LLY720908 LLY786443:LLY786444 LLY851979:LLY851980 LLY917515:LLY917516 LLY983051:LLY983052 LVV10:LVV12 LVU65547:LVU65548 LVU131083:LVU131084 LVU196619:LVU196620 LVU262155:LVU262156 LVU327691:LVU327692 LVU393227:LVU393228 LVU458763:LVU458764 LVU524299:LVU524300 LVU589835:LVU589836 LVU655371:LVU655372 LVU720907:LVU720908 LVU786443:LVU786444 LVU851979:LVU851980 LVU917515:LVU917516 LVU983051:LVU983052 MFR10:MFR12 MFQ65547:MFQ65548 MFQ131083:MFQ131084 MFQ196619:MFQ196620 MFQ262155:MFQ262156 MFQ327691:MFQ327692 MFQ393227:MFQ393228 MFQ458763:MFQ458764 MFQ524299:MFQ524300 MFQ589835:MFQ589836 MFQ655371:MFQ655372 MFQ720907:MFQ720908 MFQ786443:MFQ786444 MFQ851979:MFQ851980 MFQ917515:MFQ917516 MFQ983051:MFQ983052 MPN10:MPN12 MPM65547:MPM65548 MPM131083:MPM131084 MPM196619:MPM196620 MPM262155:MPM262156 MPM327691:MPM327692 MPM393227:MPM393228 MPM458763:MPM458764 MPM524299:MPM524300 MPM589835:MPM589836 MPM655371:MPM655372 MPM720907:MPM720908 MPM786443:MPM786444 MPM851979:MPM851980 MPM917515:MPM917516 MPM983051:MPM983052 MZJ10:MZJ12 MZI65547:MZI65548 MZI131083:MZI131084 MZI196619:MZI196620 MZI262155:MZI262156 MZI327691:MZI327692 MZI393227:MZI393228 MZI458763:MZI458764 MZI524299:MZI524300 MZI589835:MZI589836 MZI655371:MZI655372 MZI720907:MZI720908 MZI786443:MZI786444 MZI851979:MZI851980 MZI917515:MZI917516 MZI983051:MZI983052 NJF10:NJF12 NJE65547:NJE65548 NJE131083:NJE131084 NJE196619:NJE196620 NJE262155:NJE262156 NJE327691:NJE327692 NJE393227:NJE393228 NJE458763:NJE458764 NJE524299:NJE524300 NJE589835:NJE589836 NJE655371:NJE655372 NJE720907:NJE720908 NJE786443:NJE786444 NJE851979:NJE851980 NJE917515:NJE917516 NJE983051:NJE983052 NTB10:NTB12 NTA65547:NTA65548 NTA131083:NTA131084 NTA196619:NTA196620 NTA262155:NTA262156 NTA327691:NTA327692 NTA393227:NTA393228 NTA458763:NTA458764 NTA524299:NTA524300 NTA589835:NTA589836 NTA655371:NTA655372 NTA720907:NTA720908 NTA786443:NTA786444 NTA851979:NTA851980 NTA917515:NTA917516 NTA983051:NTA983052 OCX10:OCX12 OCW65547:OCW65548 OCW131083:OCW131084 OCW196619:OCW196620 OCW262155:OCW262156 OCW327691:OCW327692 OCW393227:OCW393228 OCW458763:OCW458764 OCW524299:OCW524300 OCW589835:OCW589836 OCW655371:OCW655372 OCW720907:OCW720908 OCW786443:OCW786444 OCW851979:OCW851980 OCW917515:OCW917516 OCW983051:OCW983052 OMT10:OMT12 OMS65547:OMS65548 OMS131083:OMS131084 OMS196619:OMS196620 OMS262155:OMS262156 OMS327691:OMS327692 OMS393227:OMS393228 OMS458763:OMS458764 OMS524299:OMS524300 OMS589835:OMS589836 OMS655371:OMS655372 OMS720907:OMS720908 OMS786443:OMS786444 OMS851979:OMS851980 OMS917515:OMS917516 OMS983051:OMS983052 OWP10:OWP12 OWO65547:OWO65548 OWO131083:OWO131084 OWO196619:OWO196620 OWO262155:OWO262156 OWO327691:OWO327692 OWO393227:OWO393228 OWO458763:OWO458764 OWO524299:OWO524300 OWO589835:OWO589836 OWO655371:OWO655372 OWO720907:OWO720908 OWO786443:OWO786444 OWO851979:OWO851980 OWO917515:OWO917516 OWO983051:OWO983052 PGL10:PGL12 PGK65547:PGK65548 PGK131083:PGK131084 PGK196619:PGK196620 PGK262155:PGK262156 PGK327691:PGK327692 PGK393227:PGK393228 PGK458763:PGK458764 PGK524299:PGK524300 PGK589835:PGK589836 PGK655371:PGK655372 PGK720907:PGK720908 PGK786443:PGK786444 PGK851979:PGK851980 PGK917515:PGK917516 PGK983051:PGK983052 PQH10:PQH12 PQG65547:PQG65548 PQG131083:PQG131084 PQG196619:PQG196620 PQG262155:PQG262156 PQG327691:PQG327692 PQG393227:PQG393228 PQG458763:PQG458764 PQG524299:PQG524300 PQG589835:PQG589836 PQG655371:PQG655372 PQG720907:PQG720908 PQG786443:PQG786444 PQG851979:PQG851980 PQG917515:PQG917516 PQG983051:PQG983052 QAD10:QAD12 QAC65547:QAC65548 QAC131083:QAC131084 QAC196619:QAC196620 QAC262155:QAC262156 QAC327691:QAC327692 QAC393227:QAC393228 QAC458763:QAC458764 QAC524299:QAC524300 QAC589835:QAC589836 QAC655371:QAC655372 QAC720907:QAC720908 QAC786443:QAC786444 QAC851979:QAC851980 QAC917515:QAC917516 QAC983051:QAC983052 QJZ10:QJZ12 QJY65547:QJY65548 QJY131083:QJY131084 QJY196619:QJY196620 QJY262155:QJY262156 QJY327691:QJY327692 QJY393227:QJY393228 QJY458763:QJY458764 QJY524299:QJY524300 QJY589835:QJY589836 QJY655371:QJY655372 QJY720907:QJY720908 QJY786443:QJY786444 QJY851979:QJY851980 QJY917515:QJY917516 QJY983051:QJY983052 QTV10:QTV12 QTU65547:QTU65548 QTU131083:QTU131084 QTU196619:QTU196620 QTU262155:QTU262156 QTU327691:QTU327692 QTU393227:QTU393228 QTU458763:QTU458764 QTU524299:QTU524300 QTU589835:QTU589836 QTU655371:QTU655372 QTU720907:QTU720908 QTU786443:QTU786444 QTU851979:QTU851980 QTU917515:QTU917516 QTU983051:QTU983052 RDR10:RDR12 RDQ65547:RDQ65548 RDQ131083:RDQ131084 RDQ196619:RDQ196620 RDQ262155:RDQ262156 RDQ327691:RDQ327692 RDQ393227:RDQ393228 RDQ458763:RDQ458764 RDQ524299:RDQ524300 RDQ589835:RDQ589836 RDQ655371:RDQ655372 RDQ720907:RDQ720908 RDQ786443:RDQ786444 RDQ851979:RDQ851980 RDQ917515:RDQ917516 RDQ983051:RDQ983052 RNN10:RNN12 RNM65547:RNM65548 RNM131083:RNM131084 RNM196619:RNM196620 RNM262155:RNM262156 RNM327691:RNM327692 RNM393227:RNM393228 RNM458763:RNM458764 RNM524299:RNM524300 RNM589835:RNM589836 RNM655371:RNM655372 RNM720907:RNM720908 RNM786443:RNM786444 RNM851979:RNM851980 RNM917515:RNM917516 RNM983051:RNM983052 RXJ10:RXJ12 RXI65547:RXI65548 RXI131083:RXI131084 RXI196619:RXI196620 RXI262155:RXI262156 RXI327691:RXI327692 RXI393227:RXI393228 RXI458763:RXI458764 RXI524299:RXI524300 RXI589835:RXI589836 RXI655371:RXI655372 RXI720907:RXI720908 RXI786443:RXI786444 RXI851979:RXI851980 RXI917515:RXI917516 RXI983051:RXI983052 SHF10:SHF12 SHE65547:SHE65548 SHE131083:SHE131084 SHE196619:SHE196620 SHE262155:SHE262156 SHE327691:SHE327692 SHE393227:SHE393228 SHE458763:SHE458764 SHE524299:SHE524300 SHE589835:SHE589836 SHE655371:SHE655372 SHE720907:SHE720908 SHE786443:SHE786444 SHE851979:SHE851980 SHE917515:SHE917516 SHE983051:SHE983052 SRB10:SRB12 SRA65547:SRA65548 SRA131083:SRA131084 SRA196619:SRA196620 SRA262155:SRA262156 SRA327691:SRA327692 SRA393227:SRA393228 SRA458763:SRA458764 SRA524299:SRA524300 SRA589835:SRA589836 SRA655371:SRA655372 SRA720907:SRA720908 SRA786443:SRA786444 SRA851979:SRA851980 SRA917515:SRA917516 SRA983051:SRA983052 TAX10:TAX12 TAW65547:TAW65548 TAW131083:TAW131084 TAW196619:TAW196620 TAW262155:TAW262156 TAW327691:TAW327692 TAW393227:TAW393228 TAW458763:TAW458764 TAW524299:TAW524300 TAW589835:TAW589836 TAW655371:TAW655372 TAW720907:TAW720908 TAW786443:TAW786444 TAW851979:TAW851980 TAW917515:TAW917516 TAW983051:TAW983052 TKT10:TKT12 TKS65547:TKS65548 TKS131083:TKS131084 TKS196619:TKS196620 TKS262155:TKS262156 TKS327691:TKS327692 TKS393227:TKS393228 TKS458763:TKS458764 TKS524299:TKS524300 TKS589835:TKS589836 TKS655371:TKS655372 TKS720907:TKS720908 TKS786443:TKS786444 TKS851979:TKS851980 TKS917515:TKS917516 TKS983051:TKS983052 TUP10:TUP12 TUO65547:TUO65548 TUO131083:TUO131084 TUO196619:TUO196620 TUO262155:TUO262156 TUO327691:TUO327692 TUO393227:TUO393228 TUO458763:TUO458764 TUO524299:TUO524300 TUO589835:TUO589836 TUO655371:TUO655372 TUO720907:TUO720908 TUO786443:TUO786444 TUO851979:TUO851980 TUO917515:TUO917516 TUO983051:TUO983052 UEL10:UEL12 UEK65547:UEK65548 UEK131083:UEK131084 UEK196619:UEK196620 UEK262155:UEK262156 UEK327691:UEK327692 UEK393227:UEK393228 UEK458763:UEK458764 UEK524299:UEK524300 UEK589835:UEK589836 UEK655371:UEK655372 UEK720907:UEK720908 UEK786443:UEK786444 UEK851979:UEK851980 UEK917515:UEK917516 UEK983051:UEK983052 UOH10:UOH12 UOG65547:UOG65548 UOG131083:UOG131084 UOG196619:UOG196620 UOG262155:UOG262156 UOG327691:UOG327692 UOG393227:UOG393228 UOG458763:UOG458764 UOG524299:UOG524300 UOG589835:UOG589836 UOG655371:UOG655372 UOG720907:UOG720908 UOG786443:UOG786444 UOG851979:UOG851980 UOG917515:UOG917516 UOG983051:UOG983052 UYD10:UYD12 UYC65547:UYC65548 UYC131083:UYC131084 UYC196619:UYC196620 UYC262155:UYC262156 UYC327691:UYC327692 UYC393227:UYC393228 UYC458763:UYC458764 UYC524299:UYC524300 UYC589835:UYC589836 UYC655371:UYC655372 UYC720907:UYC720908 UYC786443:UYC786444 UYC851979:UYC851980 UYC917515:UYC917516 UYC983051:UYC983052 VHZ10:VHZ12 VHY65547:VHY65548 VHY131083:VHY131084 VHY196619:VHY196620 VHY262155:VHY262156 VHY327691:VHY327692 VHY393227:VHY393228 VHY458763:VHY458764 VHY524299:VHY524300 VHY589835:VHY589836 VHY655371:VHY655372 VHY720907:VHY720908 VHY786443:VHY786444 VHY851979:VHY851980 VHY917515:VHY917516 VHY983051:VHY983052 VRV10:VRV12 VRU65547:VRU65548 VRU131083:VRU131084 VRU196619:VRU196620 VRU262155:VRU262156 VRU327691:VRU327692 VRU393227:VRU393228 VRU458763:VRU458764 VRU524299:VRU524300 VRU589835:VRU589836 VRU655371:VRU655372 VRU720907:VRU720908 VRU786443:VRU786444 VRU851979:VRU851980 VRU917515:VRU917516 VRU983051:VRU983052 WBR10:WBR12 WBQ65547:WBQ65548 WBQ131083:WBQ131084 WBQ196619:WBQ196620 WBQ262155:WBQ262156 WBQ327691:WBQ327692 WBQ393227:WBQ393228 WBQ458763:WBQ458764 WBQ524299:WBQ524300 WBQ589835:WBQ589836 WBQ655371:WBQ655372 WBQ720907:WBQ720908 WBQ786443:WBQ786444 WBQ851979:WBQ851980 WBQ917515:WBQ917516 WBQ983051:WBQ983052 WLN10:WLN12 WLM65547:WLM65548 WLM131083:WLM131084 WLM196619:WLM196620 WLM262155:WLM262156 WLM327691:WLM327692 WLM393227:WLM393228 WLM458763:WLM458764 WLM524299:WLM524300 WLM589835:WLM589836 WLM655371:WLM655372 WLM720907:WLM720908 WLM786443:WLM786444 WLM851979:WLM851980 WLM917515:WLM917516 WLM983051:WLM983052 WVJ10:WVJ12 WVI65547:WVI65548 WVI131083:WVI131084 WVI196619:WVI196620 WVI262155:WVI262156 WVI327691:WVI327692 WVI393227:WVI393228 WVI458763:WVI458764 WVI524299:WVI524300 WVI589835:WVI589836 WVI655371:WVI655372 WVI720907:WVI720908 WVI786443:WVI786444 WVI851979:WVI851980 WVI917515:WVI917516 WVI983051:WVI983052" xr:uid="{3A59D0F0-3675-4C58-9B82-5C336332E2BD}"/>
    <dataValidation allowBlank="1" showInputMessage="1" showErrorMessage="1" prompt="Written Work Percentage Score" sqref="I65547:I65649 I131083:I131185 I196619:I196721 I262155:I262257 I327691:I327793 I393227:I393329 I458763:I458865 I524299:I524401 I589835:I589937 I655371:I655473 I720907:I721009 I786443:I786545 I851979:I852081 I917515:I917617 I983051:I983153 IX65547:IX65649 IX131083:IX131185 IX196619:IX196721 IX262155:IX262257 IX327691:IX327793 IX393227:IX393329 IX458763:IX458865 IX524299:IX524401 IX589835:IX589937 IX655371:IX655473 IX720907:IX721009 IX786443:IX786545 IX851979:IX852081 IX917515:IX917617 IX983051:IX983153 SU10:SU63 ST65547:ST65649 ST131083:ST131185 ST196619:ST196721 ST262155:ST262257 ST327691:ST327793 ST393227:ST393329 ST458763:ST458865 ST524299:ST524401 ST589835:ST589937 ST655371:ST655473 ST720907:ST721009 ST786443:ST786545 ST851979:ST852081 ST917515:ST917617 ST983051:ST983153 ACQ10:ACQ63 ACP65547:ACP65649 ACP131083:ACP131185 ACP196619:ACP196721 ACP262155:ACP262257 ACP327691:ACP327793 ACP393227:ACP393329 ACP458763:ACP458865 ACP524299:ACP524401 ACP589835:ACP589937 ACP655371:ACP655473 ACP720907:ACP721009 ACP786443:ACP786545 ACP851979:ACP852081 ACP917515:ACP917617 ACP983051:ACP983153 AMM10:AMM63 AML65547:AML65649 AML131083:AML131185 AML196619:AML196721 AML262155:AML262257 AML327691:AML327793 AML393227:AML393329 AML458763:AML458865 AML524299:AML524401 AML589835:AML589937 AML655371:AML655473 AML720907:AML721009 AML786443:AML786545 AML851979:AML852081 AML917515:AML917617 AML983051:AML983153 AWI10:AWI63 AWH65547:AWH65649 AWH131083:AWH131185 AWH196619:AWH196721 AWH262155:AWH262257 AWH327691:AWH327793 AWH393227:AWH393329 AWH458763:AWH458865 AWH524299:AWH524401 AWH589835:AWH589937 AWH655371:AWH655473 AWH720907:AWH721009 AWH786443:AWH786545 AWH851979:AWH852081 AWH917515:AWH917617 AWH983051:AWH983153 BGE10:BGE63 BGD65547:BGD65649 BGD131083:BGD131185 BGD196619:BGD196721 BGD262155:BGD262257 BGD327691:BGD327793 BGD393227:BGD393329 BGD458763:BGD458865 BGD524299:BGD524401 BGD589835:BGD589937 BGD655371:BGD655473 BGD720907:BGD721009 BGD786443:BGD786545 BGD851979:BGD852081 BGD917515:BGD917617 BGD983051:BGD983153 BQA10:BQA63 BPZ65547:BPZ65649 BPZ131083:BPZ131185 BPZ196619:BPZ196721 BPZ262155:BPZ262257 BPZ327691:BPZ327793 BPZ393227:BPZ393329 BPZ458763:BPZ458865 BPZ524299:BPZ524401 BPZ589835:BPZ589937 BPZ655371:BPZ655473 BPZ720907:BPZ721009 BPZ786443:BPZ786545 BPZ851979:BPZ852081 BPZ917515:BPZ917617 BPZ983051:BPZ983153 BZW10:BZW63 BZV65547:BZV65649 BZV131083:BZV131185 BZV196619:BZV196721 BZV262155:BZV262257 BZV327691:BZV327793 BZV393227:BZV393329 BZV458763:BZV458865 BZV524299:BZV524401 BZV589835:BZV589937 BZV655371:BZV655473 BZV720907:BZV721009 BZV786443:BZV786545 BZV851979:BZV852081 BZV917515:BZV917617 BZV983051:BZV983153 CJS10:CJS63 CJR65547:CJR65649 CJR131083:CJR131185 CJR196619:CJR196721 CJR262155:CJR262257 CJR327691:CJR327793 CJR393227:CJR393329 CJR458763:CJR458865 CJR524299:CJR524401 CJR589835:CJR589937 CJR655371:CJR655473 CJR720907:CJR721009 CJR786443:CJR786545 CJR851979:CJR852081 CJR917515:CJR917617 CJR983051:CJR983153 CTO10:CTO63 CTN65547:CTN65649 CTN131083:CTN131185 CTN196619:CTN196721 CTN262155:CTN262257 CTN327691:CTN327793 CTN393227:CTN393329 CTN458763:CTN458865 CTN524299:CTN524401 CTN589835:CTN589937 CTN655371:CTN655473 CTN720907:CTN721009 CTN786443:CTN786545 CTN851979:CTN852081 CTN917515:CTN917617 CTN983051:CTN983153 DDK10:DDK63 DDJ65547:DDJ65649 DDJ131083:DDJ131185 DDJ196619:DDJ196721 DDJ262155:DDJ262257 DDJ327691:DDJ327793 DDJ393227:DDJ393329 DDJ458763:DDJ458865 DDJ524299:DDJ524401 DDJ589835:DDJ589937 DDJ655371:DDJ655473 DDJ720907:DDJ721009 DDJ786443:DDJ786545 DDJ851979:DDJ852081 DDJ917515:DDJ917617 DDJ983051:DDJ983153 DNG10:DNG63 DNF65547:DNF65649 DNF131083:DNF131185 DNF196619:DNF196721 DNF262155:DNF262257 DNF327691:DNF327793 DNF393227:DNF393329 DNF458763:DNF458865 DNF524299:DNF524401 DNF589835:DNF589937 DNF655371:DNF655473 DNF720907:DNF721009 DNF786443:DNF786545 DNF851979:DNF852081 DNF917515:DNF917617 DNF983051:DNF983153 DXC10:DXC63 DXB65547:DXB65649 DXB131083:DXB131185 DXB196619:DXB196721 DXB262155:DXB262257 DXB327691:DXB327793 DXB393227:DXB393329 DXB458763:DXB458865 DXB524299:DXB524401 DXB589835:DXB589937 DXB655371:DXB655473 DXB720907:DXB721009 DXB786443:DXB786545 DXB851979:DXB852081 DXB917515:DXB917617 DXB983051:DXB983153 EGY10:EGY63 EGX65547:EGX65649 EGX131083:EGX131185 EGX196619:EGX196721 EGX262155:EGX262257 EGX327691:EGX327793 EGX393227:EGX393329 EGX458763:EGX458865 EGX524299:EGX524401 EGX589835:EGX589937 EGX655371:EGX655473 EGX720907:EGX721009 EGX786443:EGX786545 EGX851979:EGX852081 EGX917515:EGX917617 EGX983051:EGX983153 EQU10:EQU63 EQT65547:EQT65649 EQT131083:EQT131185 EQT196619:EQT196721 EQT262155:EQT262257 EQT327691:EQT327793 EQT393227:EQT393329 EQT458763:EQT458865 EQT524299:EQT524401 EQT589835:EQT589937 EQT655371:EQT655473 EQT720907:EQT721009 EQT786443:EQT786545 EQT851979:EQT852081 EQT917515:EQT917617 EQT983051:EQT983153 FAQ10:FAQ63 FAP65547:FAP65649 FAP131083:FAP131185 FAP196619:FAP196721 FAP262155:FAP262257 FAP327691:FAP327793 FAP393227:FAP393329 FAP458763:FAP458865 FAP524299:FAP524401 FAP589835:FAP589937 FAP655371:FAP655473 FAP720907:FAP721009 FAP786443:FAP786545 FAP851979:FAP852081 FAP917515:FAP917617 FAP983051:FAP983153 FKM10:FKM63 FKL65547:FKL65649 FKL131083:FKL131185 FKL196619:FKL196721 FKL262155:FKL262257 FKL327691:FKL327793 FKL393227:FKL393329 FKL458763:FKL458865 FKL524299:FKL524401 FKL589835:FKL589937 FKL655371:FKL655473 FKL720907:FKL721009 FKL786443:FKL786545 FKL851979:FKL852081 FKL917515:FKL917617 FKL983051:FKL983153 FUI10:FUI63 FUH65547:FUH65649 FUH131083:FUH131185 FUH196619:FUH196721 FUH262155:FUH262257 FUH327691:FUH327793 FUH393227:FUH393329 FUH458763:FUH458865 FUH524299:FUH524401 FUH589835:FUH589937 FUH655371:FUH655473 FUH720907:FUH721009 FUH786443:FUH786545 FUH851979:FUH852081 FUH917515:FUH917617 FUH983051:FUH983153 GEE10:GEE63 GED65547:GED65649 GED131083:GED131185 GED196619:GED196721 GED262155:GED262257 GED327691:GED327793 GED393227:GED393329 GED458763:GED458865 GED524299:GED524401 GED589835:GED589937 GED655371:GED655473 GED720907:GED721009 GED786443:GED786545 GED851979:GED852081 GED917515:GED917617 GED983051:GED983153 GOA10:GOA63 GNZ65547:GNZ65649 GNZ131083:GNZ131185 GNZ196619:GNZ196721 GNZ262155:GNZ262257 GNZ327691:GNZ327793 GNZ393227:GNZ393329 GNZ458763:GNZ458865 GNZ524299:GNZ524401 GNZ589835:GNZ589937 GNZ655371:GNZ655473 GNZ720907:GNZ721009 GNZ786443:GNZ786545 GNZ851979:GNZ852081 GNZ917515:GNZ917617 GNZ983051:GNZ983153 GXW10:GXW63 GXV65547:GXV65649 GXV131083:GXV131185 GXV196619:GXV196721 GXV262155:GXV262257 GXV327691:GXV327793 GXV393227:GXV393329 GXV458763:GXV458865 GXV524299:GXV524401 GXV589835:GXV589937 GXV655371:GXV655473 GXV720907:GXV721009 GXV786443:GXV786545 GXV851979:GXV852081 GXV917515:GXV917617 GXV983051:GXV983153 HHS10:HHS63 HHR65547:HHR65649 HHR131083:HHR131185 HHR196619:HHR196721 HHR262155:HHR262257 HHR327691:HHR327793 HHR393227:HHR393329 HHR458763:HHR458865 HHR524299:HHR524401 HHR589835:HHR589937 HHR655371:HHR655473 HHR720907:HHR721009 HHR786443:HHR786545 HHR851979:HHR852081 HHR917515:HHR917617 HHR983051:HHR983153 HRO10:HRO63 HRN65547:HRN65649 HRN131083:HRN131185 HRN196619:HRN196721 HRN262155:HRN262257 HRN327691:HRN327793 HRN393227:HRN393329 HRN458763:HRN458865 HRN524299:HRN524401 HRN589835:HRN589937 HRN655371:HRN655473 HRN720907:HRN721009 HRN786443:HRN786545 HRN851979:HRN852081 HRN917515:HRN917617 HRN983051:HRN983153 IBK10:IBK63 IBJ65547:IBJ65649 IBJ131083:IBJ131185 IBJ196619:IBJ196721 IBJ262155:IBJ262257 IBJ327691:IBJ327793 IBJ393227:IBJ393329 IBJ458763:IBJ458865 IBJ524299:IBJ524401 IBJ589835:IBJ589937 IBJ655371:IBJ655473 IBJ720907:IBJ721009 IBJ786443:IBJ786545 IBJ851979:IBJ852081 IBJ917515:IBJ917617 IBJ983051:IBJ983153 ILG10:ILG63 ILF65547:ILF65649 ILF131083:ILF131185 ILF196619:ILF196721 ILF262155:ILF262257 ILF327691:ILF327793 ILF393227:ILF393329 ILF458763:ILF458865 ILF524299:ILF524401 ILF589835:ILF589937 ILF655371:ILF655473 ILF720907:ILF721009 ILF786443:ILF786545 ILF851979:ILF852081 ILF917515:ILF917617 ILF983051:ILF983153 IVC10:IVC63 IVB65547:IVB65649 IVB131083:IVB131185 IVB196619:IVB196721 IVB262155:IVB262257 IVB327691:IVB327793 IVB393227:IVB393329 IVB458763:IVB458865 IVB524299:IVB524401 IVB589835:IVB589937 IVB655371:IVB655473 IVB720907:IVB721009 IVB786443:IVB786545 IVB851979:IVB852081 IVB917515:IVB917617 IVB983051:IVB983153 JEY10:JEY63 JEX65547:JEX65649 JEX131083:JEX131185 JEX196619:JEX196721 JEX262155:JEX262257 JEX327691:JEX327793 JEX393227:JEX393329 JEX458763:JEX458865 JEX524299:JEX524401 JEX589835:JEX589937 JEX655371:JEX655473 JEX720907:JEX721009 JEX786443:JEX786545 JEX851979:JEX852081 JEX917515:JEX917617 JEX983051:JEX983153 JOU10:JOU63 JOT65547:JOT65649 JOT131083:JOT131185 JOT196619:JOT196721 JOT262155:JOT262257 JOT327691:JOT327793 JOT393227:JOT393329 JOT458763:JOT458865 JOT524299:JOT524401 JOT589835:JOT589937 JOT655371:JOT655473 JOT720907:JOT721009 JOT786443:JOT786545 JOT851979:JOT852081 JOT917515:JOT917617 JOT983051:JOT983153 JYQ10:JYQ63 JYP65547:JYP65649 JYP131083:JYP131185 JYP196619:JYP196721 JYP262155:JYP262257 JYP327691:JYP327793 JYP393227:JYP393329 JYP458763:JYP458865 JYP524299:JYP524401 JYP589835:JYP589937 JYP655371:JYP655473 JYP720907:JYP721009 JYP786443:JYP786545 JYP851979:JYP852081 JYP917515:JYP917617 JYP983051:JYP983153 KIM10:KIM63 KIL65547:KIL65649 KIL131083:KIL131185 KIL196619:KIL196721 KIL262155:KIL262257 KIL327691:KIL327793 KIL393227:KIL393329 KIL458763:KIL458865 KIL524299:KIL524401 KIL589835:KIL589937 KIL655371:KIL655473 KIL720907:KIL721009 KIL786443:KIL786545 KIL851979:KIL852081 KIL917515:KIL917617 KIL983051:KIL983153 KSI10:KSI63 KSH65547:KSH65649 KSH131083:KSH131185 KSH196619:KSH196721 KSH262155:KSH262257 KSH327691:KSH327793 KSH393227:KSH393329 KSH458763:KSH458865 KSH524299:KSH524401 KSH589835:KSH589937 KSH655371:KSH655473 KSH720907:KSH721009 KSH786443:KSH786545 KSH851979:KSH852081 KSH917515:KSH917617 KSH983051:KSH983153 LCE10:LCE63 LCD65547:LCD65649 LCD131083:LCD131185 LCD196619:LCD196721 LCD262155:LCD262257 LCD327691:LCD327793 LCD393227:LCD393329 LCD458763:LCD458865 LCD524299:LCD524401 LCD589835:LCD589937 LCD655371:LCD655473 LCD720907:LCD721009 LCD786443:LCD786545 LCD851979:LCD852081 LCD917515:LCD917617 LCD983051:LCD983153 LMA10:LMA63 LLZ65547:LLZ65649 LLZ131083:LLZ131185 LLZ196619:LLZ196721 LLZ262155:LLZ262257 LLZ327691:LLZ327793 LLZ393227:LLZ393329 LLZ458763:LLZ458865 LLZ524299:LLZ524401 LLZ589835:LLZ589937 LLZ655371:LLZ655473 LLZ720907:LLZ721009 LLZ786443:LLZ786545 LLZ851979:LLZ852081 LLZ917515:LLZ917617 LLZ983051:LLZ983153 LVW10:LVW63 LVV65547:LVV65649 LVV131083:LVV131185 LVV196619:LVV196721 LVV262155:LVV262257 LVV327691:LVV327793 LVV393227:LVV393329 LVV458763:LVV458865 LVV524299:LVV524401 LVV589835:LVV589937 LVV655371:LVV655473 LVV720907:LVV721009 LVV786443:LVV786545 LVV851979:LVV852081 LVV917515:LVV917617 LVV983051:LVV983153 MFS10:MFS63 MFR65547:MFR65649 MFR131083:MFR131185 MFR196619:MFR196721 MFR262155:MFR262257 MFR327691:MFR327793 MFR393227:MFR393329 MFR458763:MFR458865 MFR524299:MFR524401 MFR589835:MFR589937 MFR655371:MFR655473 MFR720907:MFR721009 MFR786443:MFR786545 MFR851979:MFR852081 MFR917515:MFR917617 MFR983051:MFR983153 MPO10:MPO63 MPN65547:MPN65649 MPN131083:MPN131185 MPN196619:MPN196721 MPN262155:MPN262257 MPN327691:MPN327793 MPN393227:MPN393329 MPN458763:MPN458865 MPN524299:MPN524401 MPN589835:MPN589937 MPN655371:MPN655473 MPN720907:MPN721009 MPN786443:MPN786545 MPN851979:MPN852081 MPN917515:MPN917617 MPN983051:MPN983153 MZK10:MZK63 MZJ65547:MZJ65649 MZJ131083:MZJ131185 MZJ196619:MZJ196721 MZJ262155:MZJ262257 MZJ327691:MZJ327793 MZJ393227:MZJ393329 MZJ458763:MZJ458865 MZJ524299:MZJ524401 MZJ589835:MZJ589937 MZJ655371:MZJ655473 MZJ720907:MZJ721009 MZJ786443:MZJ786545 MZJ851979:MZJ852081 MZJ917515:MZJ917617 MZJ983051:MZJ983153 NJG10:NJG63 NJF65547:NJF65649 NJF131083:NJF131185 NJF196619:NJF196721 NJF262155:NJF262257 NJF327691:NJF327793 NJF393227:NJF393329 NJF458763:NJF458865 NJF524299:NJF524401 NJF589835:NJF589937 NJF655371:NJF655473 NJF720907:NJF721009 NJF786443:NJF786545 NJF851979:NJF852081 NJF917515:NJF917617 NJF983051:NJF983153 NTC10:NTC63 NTB65547:NTB65649 NTB131083:NTB131185 NTB196619:NTB196721 NTB262155:NTB262257 NTB327691:NTB327793 NTB393227:NTB393329 NTB458763:NTB458865 NTB524299:NTB524401 NTB589835:NTB589937 NTB655371:NTB655473 NTB720907:NTB721009 NTB786443:NTB786545 NTB851979:NTB852081 NTB917515:NTB917617 NTB983051:NTB983153 OCY10:OCY63 OCX65547:OCX65649 OCX131083:OCX131185 OCX196619:OCX196721 OCX262155:OCX262257 OCX327691:OCX327793 OCX393227:OCX393329 OCX458763:OCX458865 OCX524299:OCX524401 OCX589835:OCX589937 OCX655371:OCX655473 OCX720907:OCX721009 OCX786443:OCX786545 OCX851979:OCX852081 OCX917515:OCX917617 OCX983051:OCX983153 OMU10:OMU63 OMT65547:OMT65649 OMT131083:OMT131185 OMT196619:OMT196721 OMT262155:OMT262257 OMT327691:OMT327793 OMT393227:OMT393329 OMT458763:OMT458865 OMT524299:OMT524401 OMT589835:OMT589937 OMT655371:OMT655473 OMT720907:OMT721009 OMT786443:OMT786545 OMT851979:OMT852081 OMT917515:OMT917617 OMT983051:OMT983153 OWQ10:OWQ63 OWP65547:OWP65649 OWP131083:OWP131185 OWP196619:OWP196721 OWP262155:OWP262257 OWP327691:OWP327793 OWP393227:OWP393329 OWP458763:OWP458865 OWP524299:OWP524401 OWP589835:OWP589937 OWP655371:OWP655473 OWP720907:OWP721009 OWP786443:OWP786545 OWP851979:OWP852081 OWP917515:OWP917617 OWP983051:OWP983153 PGM10:PGM63 PGL65547:PGL65649 PGL131083:PGL131185 PGL196619:PGL196721 PGL262155:PGL262257 PGL327691:PGL327793 PGL393227:PGL393329 PGL458763:PGL458865 PGL524299:PGL524401 PGL589835:PGL589937 PGL655371:PGL655473 PGL720907:PGL721009 PGL786443:PGL786545 PGL851979:PGL852081 PGL917515:PGL917617 PGL983051:PGL983153 PQI10:PQI63 PQH65547:PQH65649 PQH131083:PQH131185 PQH196619:PQH196721 PQH262155:PQH262257 PQH327691:PQH327793 PQH393227:PQH393329 PQH458763:PQH458865 PQH524299:PQH524401 PQH589835:PQH589937 PQH655371:PQH655473 PQH720907:PQH721009 PQH786443:PQH786545 PQH851979:PQH852081 PQH917515:PQH917617 PQH983051:PQH983153 QAE10:QAE63 QAD65547:QAD65649 QAD131083:QAD131185 QAD196619:QAD196721 QAD262155:QAD262257 QAD327691:QAD327793 QAD393227:QAD393329 QAD458763:QAD458865 QAD524299:QAD524401 QAD589835:QAD589937 QAD655371:QAD655473 QAD720907:QAD721009 QAD786443:QAD786545 QAD851979:QAD852081 QAD917515:QAD917617 QAD983051:QAD983153 QKA10:QKA63 QJZ65547:QJZ65649 QJZ131083:QJZ131185 QJZ196619:QJZ196721 QJZ262155:QJZ262257 QJZ327691:QJZ327793 QJZ393227:QJZ393329 QJZ458763:QJZ458865 QJZ524299:QJZ524401 QJZ589835:QJZ589937 QJZ655371:QJZ655473 QJZ720907:QJZ721009 QJZ786443:QJZ786545 QJZ851979:QJZ852081 QJZ917515:QJZ917617 QJZ983051:QJZ983153 QTW10:QTW63 QTV65547:QTV65649 QTV131083:QTV131185 QTV196619:QTV196721 QTV262155:QTV262257 QTV327691:QTV327793 QTV393227:QTV393329 QTV458763:QTV458865 QTV524299:QTV524401 QTV589835:QTV589937 QTV655371:QTV655473 QTV720907:QTV721009 QTV786443:QTV786545 QTV851979:QTV852081 QTV917515:QTV917617 QTV983051:QTV983153 RDS10:RDS63 RDR65547:RDR65649 RDR131083:RDR131185 RDR196619:RDR196721 RDR262155:RDR262257 RDR327691:RDR327793 RDR393227:RDR393329 RDR458763:RDR458865 RDR524299:RDR524401 RDR589835:RDR589937 RDR655371:RDR655473 RDR720907:RDR721009 RDR786443:RDR786545 RDR851979:RDR852081 RDR917515:RDR917617 RDR983051:RDR983153 RNO10:RNO63 RNN65547:RNN65649 RNN131083:RNN131185 RNN196619:RNN196721 RNN262155:RNN262257 RNN327691:RNN327793 RNN393227:RNN393329 RNN458763:RNN458865 RNN524299:RNN524401 RNN589835:RNN589937 RNN655371:RNN655473 RNN720907:RNN721009 RNN786443:RNN786545 RNN851979:RNN852081 RNN917515:RNN917617 RNN983051:RNN983153 RXK10:RXK63 RXJ65547:RXJ65649 RXJ131083:RXJ131185 RXJ196619:RXJ196721 RXJ262155:RXJ262257 RXJ327691:RXJ327793 RXJ393227:RXJ393329 RXJ458763:RXJ458865 RXJ524299:RXJ524401 RXJ589835:RXJ589937 RXJ655371:RXJ655473 RXJ720907:RXJ721009 RXJ786443:RXJ786545 RXJ851979:RXJ852081 RXJ917515:RXJ917617 RXJ983051:RXJ983153 SHG10:SHG63 SHF65547:SHF65649 SHF131083:SHF131185 SHF196619:SHF196721 SHF262155:SHF262257 SHF327691:SHF327793 SHF393227:SHF393329 SHF458763:SHF458865 SHF524299:SHF524401 SHF589835:SHF589937 SHF655371:SHF655473 SHF720907:SHF721009 SHF786443:SHF786545 SHF851979:SHF852081 SHF917515:SHF917617 SHF983051:SHF983153 SRC10:SRC63 SRB65547:SRB65649 SRB131083:SRB131185 SRB196619:SRB196721 SRB262155:SRB262257 SRB327691:SRB327793 SRB393227:SRB393329 SRB458763:SRB458865 SRB524299:SRB524401 SRB589835:SRB589937 SRB655371:SRB655473 SRB720907:SRB721009 SRB786443:SRB786545 SRB851979:SRB852081 SRB917515:SRB917617 SRB983051:SRB983153 TAY10:TAY63 TAX65547:TAX65649 TAX131083:TAX131185 TAX196619:TAX196721 TAX262155:TAX262257 TAX327691:TAX327793 TAX393227:TAX393329 TAX458763:TAX458865 TAX524299:TAX524401 TAX589835:TAX589937 TAX655371:TAX655473 TAX720907:TAX721009 TAX786443:TAX786545 TAX851979:TAX852081 TAX917515:TAX917617 TAX983051:TAX983153 TKU10:TKU63 TKT65547:TKT65649 TKT131083:TKT131185 TKT196619:TKT196721 TKT262155:TKT262257 TKT327691:TKT327793 TKT393227:TKT393329 TKT458763:TKT458865 TKT524299:TKT524401 TKT589835:TKT589937 TKT655371:TKT655473 TKT720907:TKT721009 TKT786443:TKT786545 TKT851979:TKT852081 TKT917515:TKT917617 TKT983051:TKT983153 TUQ10:TUQ63 TUP65547:TUP65649 TUP131083:TUP131185 TUP196619:TUP196721 TUP262155:TUP262257 TUP327691:TUP327793 TUP393227:TUP393329 TUP458763:TUP458865 TUP524299:TUP524401 TUP589835:TUP589937 TUP655371:TUP655473 TUP720907:TUP721009 TUP786443:TUP786545 TUP851979:TUP852081 TUP917515:TUP917617 TUP983051:TUP983153 UEM10:UEM63 UEL65547:UEL65649 UEL131083:UEL131185 UEL196619:UEL196721 UEL262155:UEL262257 UEL327691:UEL327793 UEL393227:UEL393329 UEL458763:UEL458865 UEL524299:UEL524401 UEL589835:UEL589937 UEL655371:UEL655473 UEL720907:UEL721009 UEL786443:UEL786545 UEL851979:UEL852081 UEL917515:UEL917617 UEL983051:UEL983153 UOI10:UOI63 UOH65547:UOH65649 UOH131083:UOH131185 UOH196619:UOH196721 UOH262155:UOH262257 UOH327691:UOH327793 UOH393227:UOH393329 UOH458763:UOH458865 UOH524299:UOH524401 UOH589835:UOH589937 UOH655371:UOH655473 UOH720907:UOH721009 UOH786443:UOH786545 UOH851979:UOH852081 UOH917515:UOH917617 UOH983051:UOH983153 UYE10:UYE63 UYD65547:UYD65649 UYD131083:UYD131185 UYD196619:UYD196721 UYD262155:UYD262257 UYD327691:UYD327793 UYD393227:UYD393329 UYD458763:UYD458865 UYD524299:UYD524401 UYD589835:UYD589937 UYD655371:UYD655473 UYD720907:UYD721009 UYD786443:UYD786545 UYD851979:UYD852081 UYD917515:UYD917617 UYD983051:UYD983153 VIA10:VIA63 VHZ65547:VHZ65649 VHZ131083:VHZ131185 VHZ196619:VHZ196721 VHZ262155:VHZ262257 VHZ327691:VHZ327793 VHZ393227:VHZ393329 VHZ458763:VHZ458865 VHZ524299:VHZ524401 VHZ589835:VHZ589937 VHZ655371:VHZ655473 VHZ720907:VHZ721009 VHZ786443:VHZ786545 VHZ851979:VHZ852081 VHZ917515:VHZ917617 VHZ983051:VHZ983153 VRW10:VRW63 VRV65547:VRV65649 VRV131083:VRV131185 VRV196619:VRV196721 VRV262155:VRV262257 VRV327691:VRV327793 VRV393227:VRV393329 VRV458763:VRV458865 VRV524299:VRV524401 VRV589835:VRV589937 VRV655371:VRV655473 VRV720907:VRV721009 VRV786443:VRV786545 VRV851979:VRV852081 VRV917515:VRV917617 VRV983051:VRV983153 WBS10:WBS63 WBR65547:WBR65649 WBR131083:WBR131185 WBR196619:WBR196721 WBR262155:WBR262257 WBR327691:WBR327793 WBR393227:WBR393329 WBR458763:WBR458865 WBR524299:WBR524401 WBR589835:WBR589937 WBR655371:WBR655473 WBR720907:WBR721009 WBR786443:WBR786545 WBR851979:WBR852081 WBR917515:WBR917617 WBR983051:WBR983153 WLO10:WLO63 WLN65547:WLN65649 WLN131083:WLN131185 WLN196619:WLN196721 WLN262155:WLN262257 WLN327691:WLN327793 WLN393227:WLN393329 WLN458763:WLN458865 WLN524299:WLN524401 WLN589835:WLN589937 WLN655371:WLN655473 WLN720907:WLN721009 WLN786443:WLN786545 WLN851979:WLN852081 WLN917515:WLN917617 WLN983051:WLN983153 WVK10:WVK63 WVJ983051:WVJ983153 WVJ65547:WVJ65649 WVJ131083:WVJ131185 WVJ196619:WVJ196721 WVJ262155:WVJ262257 WVJ327691:WVJ327793 WVJ393227:WVJ393329 WVJ458763:WVJ458865 WVJ524299:WVJ524401 WVJ589835:WVJ589937 WVJ655371:WVJ655473 WVJ720907:WVJ721009 WVJ786443:WVJ786545 WVJ851979:WVJ852081 WVJ917515:WVJ917617 IY10:IY63 WVK66:WVK114 WLO66:WLO114 WBS66:WBS114 VRW66:VRW114 VIA66:VIA114 UYE66:UYE114 UOI66:UOI114 UEM66:UEM114 TUQ66:TUQ114 TKU66:TKU114 TAY66:TAY114 SRC66:SRC114 SHG66:SHG114 RXK66:RXK114 RNO66:RNO114 RDS66:RDS114 QTW66:QTW114 QKA66:QKA114 QAE66:QAE114 PQI66:PQI114 PGM66:PGM114 OWQ66:OWQ114 OMU66:OMU114 OCY66:OCY114 NTC66:NTC114 NJG66:NJG114 MZK66:MZK114 MPO66:MPO114 MFS66:MFS114 LVW66:LVW114 LMA66:LMA114 LCE66:LCE114 KSI66:KSI114 KIM66:KIM114 JYQ66:JYQ114 JOU66:JOU114 JEY66:JEY114 IVC66:IVC114 ILG66:ILG114 IBK66:IBK114 HRO66:HRO114 HHS66:HHS114 GXW66:GXW114 GOA66:GOA114 GEE66:GEE114 FUI66:FUI114 FKM66:FKM114 FAQ66:FAQ114 EQU66:EQU114 EGY66:EGY114 DXC66:DXC114 DNG66:DNG114 DDK66:DDK114 CTO66:CTO114 CJS66:CJS114 BZW66:BZW114 BQA66:BQA114 BGE66:BGE114 AWI66:AWI114 AMM66:AMM114 ACQ66:ACQ114 SU66:SU114 IY66:IY114" xr:uid="{78C40177-8422-4CA2-9E37-23EF7FF55FF1}"/>
    <dataValidation allowBlank="1" showInputMessage="1" showErrorMessage="1" prompt="Written Work Weighted Score" sqref="J65547:J65649 J131083:J131185 J196619:J196721 J262155:J262257 J327691:J327793 J393227:J393329 J458763:J458865 J524299:J524401 J589835:J589937 J655371:J655473 J720907:J721009 J786443:J786545 J851979:J852081 J917515:J917617 J983051:J983153 IY65547:IY65649 IY131083:IY131185 IY196619:IY196721 IY262155:IY262257 IY327691:IY327793 IY393227:IY393329 IY458763:IY458865 IY524299:IY524401 IY589835:IY589937 IY655371:IY655473 IY720907:IY721009 IY786443:IY786545 IY851979:IY852081 IY917515:IY917617 IY983051:IY983153 SV10:SV63 SU65547:SU65649 SU131083:SU131185 SU196619:SU196721 SU262155:SU262257 SU327691:SU327793 SU393227:SU393329 SU458763:SU458865 SU524299:SU524401 SU589835:SU589937 SU655371:SU655473 SU720907:SU721009 SU786443:SU786545 SU851979:SU852081 SU917515:SU917617 SU983051:SU983153 ACR10:ACR63 ACQ65547:ACQ65649 ACQ131083:ACQ131185 ACQ196619:ACQ196721 ACQ262155:ACQ262257 ACQ327691:ACQ327793 ACQ393227:ACQ393329 ACQ458763:ACQ458865 ACQ524299:ACQ524401 ACQ589835:ACQ589937 ACQ655371:ACQ655473 ACQ720907:ACQ721009 ACQ786443:ACQ786545 ACQ851979:ACQ852081 ACQ917515:ACQ917617 ACQ983051:ACQ983153 AMN10:AMN63 AMM65547:AMM65649 AMM131083:AMM131185 AMM196619:AMM196721 AMM262155:AMM262257 AMM327691:AMM327793 AMM393227:AMM393329 AMM458763:AMM458865 AMM524299:AMM524401 AMM589835:AMM589937 AMM655371:AMM655473 AMM720907:AMM721009 AMM786443:AMM786545 AMM851979:AMM852081 AMM917515:AMM917617 AMM983051:AMM983153 AWJ10:AWJ63 AWI65547:AWI65649 AWI131083:AWI131185 AWI196619:AWI196721 AWI262155:AWI262257 AWI327691:AWI327793 AWI393227:AWI393329 AWI458763:AWI458865 AWI524299:AWI524401 AWI589835:AWI589937 AWI655371:AWI655473 AWI720907:AWI721009 AWI786443:AWI786545 AWI851979:AWI852081 AWI917515:AWI917617 AWI983051:AWI983153 BGF10:BGF63 BGE65547:BGE65649 BGE131083:BGE131185 BGE196619:BGE196721 BGE262155:BGE262257 BGE327691:BGE327793 BGE393227:BGE393329 BGE458763:BGE458865 BGE524299:BGE524401 BGE589835:BGE589937 BGE655371:BGE655473 BGE720907:BGE721009 BGE786443:BGE786545 BGE851979:BGE852081 BGE917515:BGE917617 BGE983051:BGE983153 BQB10:BQB63 BQA65547:BQA65649 BQA131083:BQA131185 BQA196619:BQA196721 BQA262155:BQA262257 BQA327691:BQA327793 BQA393227:BQA393329 BQA458763:BQA458865 BQA524299:BQA524401 BQA589835:BQA589937 BQA655371:BQA655473 BQA720907:BQA721009 BQA786443:BQA786545 BQA851979:BQA852081 BQA917515:BQA917617 BQA983051:BQA983153 BZX10:BZX63 BZW65547:BZW65649 BZW131083:BZW131185 BZW196619:BZW196721 BZW262155:BZW262257 BZW327691:BZW327793 BZW393227:BZW393329 BZW458763:BZW458865 BZW524299:BZW524401 BZW589835:BZW589937 BZW655371:BZW655473 BZW720907:BZW721009 BZW786443:BZW786545 BZW851979:BZW852081 BZW917515:BZW917617 BZW983051:BZW983153 CJT10:CJT63 CJS65547:CJS65649 CJS131083:CJS131185 CJS196619:CJS196721 CJS262155:CJS262257 CJS327691:CJS327793 CJS393227:CJS393329 CJS458763:CJS458865 CJS524299:CJS524401 CJS589835:CJS589937 CJS655371:CJS655473 CJS720907:CJS721009 CJS786443:CJS786545 CJS851979:CJS852081 CJS917515:CJS917617 CJS983051:CJS983153 CTP10:CTP63 CTO65547:CTO65649 CTO131083:CTO131185 CTO196619:CTO196721 CTO262155:CTO262257 CTO327691:CTO327793 CTO393227:CTO393329 CTO458763:CTO458865 CTO524299:CTO524401 CTO589835:CTO589937 CTO655371:CTO655473 CTO720907:CTO721009 CTO786443:CTO786545 CTO851979:CTO852081 CTO917515:CTO917617 CTO983051:CTO983153 DDL10:DDL63 DDK65547:DDK65649 DDK131083:DDK131185 DDK196619:DDK196721 DDK262155:DDK262257 DDK327691:DDK327793 DDK393227:DDK393329 DDK458763:DDK458865 DDK524299:DDK524401 DDK589835:DDK589937 DDK655371:DDK655473 DDK720907:DDK721009 DDK786443:DDK786545 DDK851979:DDK852081 DDK917515:DDK917617 DDK983051:DDK983153 DNH10:DNH63 DNG65547:DNG65649 DNG131083:DNG131185 DNG196619:DNG196721 DNG262155:DNG262257 DNG327691:DNG327793 DNG393227:DNG393329 DNG458763:DNG458865 DNG524299:DNG524401 DNG589835:DNG589937 DNG655371:DNG655473 DNG720907:DNG721009 DNG786443:DNG786545 DNG851979:DNG852081 DNG917515:DNG917617 DNG983051:DNG983153 DXD10:DXD63 DXC65547:DXC65649 DXC131083:DXC131185 DXC196619:DXC196721 DXC262155:DXC262257 DXC327691:DXC327793 DXC393227:DXC393329 DXC458763:DXC458865 DXC524299:DXC524401 DXC589835:DXC589937 DXC655371:DXC655473 DXC720907:DXC721009 DXC786443:DXC786545 DXC851979:DXC852081 DXC917515:DXC917617 DXC983051:DXC983153 EGZ10:EGZ63 EGY65547:EGY65649 EGY131083:EGY131185 EGY196619:EGY196721 EGY262155:EGY262257 EGY327691:EGY327793 EGY393227:EGY393329 EGY458763:EGY458865 EGY524299:EGY524401 EGY589835:EGY589937 EGY655371:EGY655473 EGY720907:EGY721009 EGY786443:EGY786545 EGY851979:EGY852081 EGY917515:EGY917617 EGY983051:EGY983153 EQV10:EQV63 EQU65547:EQU65649 EQU131083:EQU131185 EQU196619:EQU196721 EQU262155:EQU262257 EQU327691:EQU327793 EQU393227:EQU393329 EQU458763:EQU458865 EQU524299:EQU524401 EQU589835:EQU589937 EQU655371:EQU655473 EQU720907:EQU721009 EQU786443:EQU786545 EQU851979:EQU852081 EQU917515:EQU917617 EQU983051:EQU983153 FAR10:FAR63 FAQ65547:FAQ65649 FAQ131083:FAQ131185 FAQ196619:FAQ196721 FAQ262155:FAQ262257 FAQ327691:FAQ327793 FAQ393227:FAQ393329 FAQ458763:FAQ458865 FAQ524299:FAQ524401 FAQ589835:FAQ589937 FAQ655371:FAQ655473 FAQ720907:FAQ721009 FAQ786443:FAQ786545 FAQ851979:FAQ852081 FAQ917515:FAQ917617 FAQ983051:FAQ983153 FKN10:FKN63 FKM65547:FKM65649 FKM131083:FKM131185 FKM196619:FKM196721 FKM262155:FKM262257 FKM327691:FKM327793 FKM393227:FKM393329 FKM458763:FKM458865 FKM524299:FKM524401 FKM589835:FKM589937 FKM655371:FKM655473 FKM720907:FKM721009 FKM786443:FKM786545 FKM851979:FKM852081 FKM917515:FKM917617 FKM983051:FKM983153 FUJ10:FUJ63 FUI65547:FUI65649 FUI131083:FUI131185 FUI196619:FUI196721 FUI262155:FUI262257 FUI327691:FUI327793 FUI393227:FUI393329 FUI458763:FUI458865 FUI524299:FUI524401 FUI589835:FUI589937 FUI655371:FUI655473 FUI720907:FUI721009 FUI786443:FUI786545 FUI851979:FUI852081 FUI917515:FUI917617 FUI983051:FUI983153 GEF10:GEF63 GEE65547:GEE65649 GEE131083:GEE131185 GEE196619:GEE196721 GEE262155:GEE262257 GEE327691:GEE327793 GEE393227:GEE393329 GEE458763:GEE458865 GEE524299:GEE524401 GEE589835:GEE589937 GEE655371:GEE655473 GEE720907:GEE721009 GEE786443:GEE786545 GEE851979:GEE852081 GEE917515:GEE917617 GEE983051:GEE983153 GOB10:GOB63 GOA65547:GOA65649 GOA131083:GOA131185 GOA196619:GOA196721 GOA262155:GOA262257 GOA327691:GOA327793 GOA393227:GOA393329 GOA458763:GOA458865 GOA524299:GOA524401 GOA589835:GOA589937 GOA655371:GOA655473 GOA720907:GOA721009 GOA786443:GOA786545 GOA851979:GOA852081 GOA917515:GOA917617 GOA983051:GOA983153 GXX10:GXX63 GXW65547:GXW65649 GXW131083:GXW131185 GXW196619:GXW196721 GXW262155:GXW262257 GXW327691:GXW327793 GXW393227:GXW393329 GXW458763:GXW458865 GXW524299:GXW524401 GXW589835:GXW589937 GXW655371:GXW655473 GXW720907:GXW721009 GXW786443:GXW786545 GXW851979:GXW852081 GXW917515:GXW917617 GXW983051:GXW983153 HHT10:HHT63 HHS65547:HHS65649 HHS131083:HHS131185 HHS196619:HHS196721 HHS262155:HHS262257 HHS327691:HHS327793 HHS393227:HHS393329 HHS458763:HHS458865 HHS524299:HHS524401 HHS589835:HHS589937 HHS655371:HHS655473 HHS720907:HHS721009 HHS786443:HHS786545 HHS851979:HHS852081 HHS917515:HHS917617 HHS983051:HHS983153 HRP10:HRP63 HRO65547:HRO65649 HRO131083:HRO131185 HRO196619:HRO196721 HRO262155:HRO262257 HRO327691:HRO327793 HRO393227:HRO393329 HRO458763:HRO458865 HRO524299:HRO524401 HRO589835:HRO589937 HRO655371:HRO655473 HRO720907:HRO721009 HRO786443:HRO786545 HRO851979:HRO852081 HRO917515:HRO917617 HRO983051:HRO983153 IBL10:IBL63 IBK65547:IBK65649 IBK131083:IBK131185 IBK196619:IBK196721 IBK262155:IBK262257 IBK327691:IBK327793 IBK393227:IBK393329 IBK458763:IBK458865 IBK524299:IBK524401 IBK589835:IBK589937 IBK655371:IBK655473 IBK720907:IBK721009 IBK786443:IBK786545 IBK851979:IBK852081 IBK917515:IBK917617 IBK983051:IBK983153 ILH10:ILH63 ILG65547:ILG65649 ILG131083:ILG131185 ILG196619:ILG196721 ILG262155:ILG262257 ILG327691:ILG327793 ILG393227:ILG393329 ILG458763:ILG458865 ILG524299:ILG524401 ILG589835:ILG589937 ILG655371:ILG655473 ILG720907:ILG721009 ILG786443:ILG786545 ILG851979:ILG852081 ILG917515:ILG917617 ILG983051:ILG983153 IVD10:IVD63 IVC65547:IVC65649 IVC131083:IVC131185 IVC196619:IVC196721 IVC262155:IVC262257 IVC327691:IVC327793 IVC393227:IVC393329 IVC458763:IVC458865 IVC524299:IVC524401 IVC589835:IVC589937 IVC655371:IVC655473 IVC720907:IVC721009 IVC786443:IVC786545 IVC851979:IVC852081 IVC917515:IVC917617 IVC983051:IVC983153 JEZ10:JEZ63 JEY65547:JEY65649 JEY131083:JEY131185 JEY196619:JEY196721 JEY262155:JEY262257 JEY327691:JEY327793 JEY393227:JEY393329 JEY458763:JEY458865 JEY524299:JEY524401 JEY589835:JEY589937 JEY655371:JEY655473 JEY720907:JEY721009 JEY786443:JEY786545 JEY851979:JEY852081 JEY917515:JEY917617 JEY983051:JEY983153 JOV10:JOV63 JOU65547:JOU65649 JOU131083:JOU131185 JOU196619:JOU196721 JOU262155:JOU262257 JOU327691:JOU327793 JOU393227:JOU393329 JOU458763:JOU458865 JOU524299:JOU524401 JOU589835:JOU589937 JOU655371:JOU655473 JOU720907:JOU721009 JOU786443:JOU786545 JOU851979:JOU852081 JOU917515:JOU917617 JOU983051:JOU983153 JYR10:JYR63 JYQ65547:JYQ65649 JYQ131083:JYQ131185 JYQ196619:JYQ196721 JYQ262155:JYQ262257 JYQ327691:JYQ327793 JYQ393227:JYQ393329 JYQ458763:JYQ458865 JYQ524299:JYQ524401 JYQ589835:JYQ589937 JYQ655371:JYQ655473 JYQ720907:JYQ721009 JYQ786443:JYQ786545 JYQ851979:JYQ852081 JYQ917515:JYQ917617 JYQ983051:JYQ983153 KIN10:KIN63 KIM65547:KIM65649 KIM131083:KIM131185 KIM196619:KIM196721 KIM262155:KIM262257 KIM327691:KIM327793 KIM393227:KIM393329 KIM458763:KIM458865 KIM524299:KIM524401 KIM589835:KIM589937 KIM655371:KIM655473 KIM720907:KIM721009 KIM786443:KIM786545 KIM851979:KIM852081 KIM917515:KIM917617 KIM983051:KIM983153 KSJ10:KSJ63 KSI65547:KSI65649 KSI131083:KSI131185 KSI196619:KSI196721 KSI262155:KSI262257 KSI327691:KSI327793 KSI393227:KSI393329 KSI458763:KSI458865 KSI524299:KSI524401 KSI589835:KSI589937 KSI655371:KSI655473 KSI720907:KSI721009 KSI786443:KSI786545 KSI851979:KSI852081 KSI917515:KSI917617 KSI983051:KSI983153 LCF10:LCF63 LCE65547:LCE65649 LCE131083:LCE131185 LCE196619:LCE196721 LCE262155:LCE262257 LCE327691:LCE327793 LCE393227:LCE393329 LCE458763:LCE458865 LCE524299:LCE524401 LCE589835:LCE589937 LCE655371:LCE655473 LCE720907:LCE721009 LCE786443:LCE786545 LCE851979:LCE852081 LCE917515:LCE917617 LCE983051:LCE983153 LMB10:LMB63 LMA65547:LMA65649 LMA131083:LMA131185 LMA196619:LMA196721 LMA262155:LMA262257 LMA327691:LMA327793 LMA393227:LMA393329 LMA458763:LMA458865 LMA524299:LMA524401 LMA589835:LMA589937 LMA655371:LMA655473 LMA720907:LMA721009 LMA786443:LMA786545 LMA851979:LMA852081 LMA917515:LMA917617 LMA983051:LMA983153 LVX10:LVX63 LVW65547:LVW65649 LVW131083:LVW131185 LVW196619:LVW196721 LVW262155:LVW262257 LVW327691:LVW327793 LVW393227:LVW393329 LVW458763:LVW458865 LVW524299:LVW524401 LVW589835:LVW589937 LVW655371:LVW655473 LVW720907:LVW721009 LVW786443:LVW786545 LVW851979:LVW852081 LVW917515:LVW917617 LVW983051:LVW983153 MFT10:MFT63 MFS65547:MFS65649 MFS131083:MFS131185 MFS196619:MFS196721 MFS262155:MFS262257 MFS327691:MFS327793 MFS393227:MFS393329 MFS458763:MFS458865 MFS524299:MFS524401 MFS589835:MFS589937 MFS655371:MFS655473 MFS720907:MFS721009 MFS786443:MFS786545 MFS851979:MFS852081 MFS917515:MFS917617 MFS983051:MFS983153 MPP10:MPP63 MPO65547:MPO65649 MPO131083:MPO131185 MPO196619:MPO196721 MPO262155:MPO262257 MPO327691:MPO327793 MPO393227:MPO393329 MPO458763:MPO458865 MPO524299:MPO524401 MPO589835:MPO589937 MPO655371:MPO655473 MPO720907:MPO721009 MPO786443:MPO786545 MPO851979:MPO852081 MPO917515:MPO917617 MPO983051:MPO983153 MZL10:MZL63 MZK65547:MZK65649 MZK131083:MZK131185 MZK196619:MZK196721 MZK262155:MZK262257 MZK327691:MZK327793 MZK393227:MZK393329 MZK458763:MZK458865 MZK524299:MZK524401 MZK589835:MZK589937 MZK655371:MZK655473 MZK720907:MZK721009 MZK786443:MZK786545 MZK851979:MZK852081 MZK917515:MZK917617 MZK983051:MZK983153 NJH10:NJH63 NJG65547:NJG65649 NJG131083:NJG131185 NJG196619:NJG196721 NJG262155:NJG262257 NJG327691:NJG327793 NJG393227:NJG393329 NJG458763:NJG458865 NJG524299:NJG524401 NJG589835:NJG589937 NJG655371:NJG655473 NJG720907:NJG721009 NJG786443:NJG786545 NJG851979:NJG852081 NJG917515:NJG917617 NJG983051:NJG983153 NTD10:NTD63 NTC65547:NTC65649 NTC131083:NTC131185 NTC196619:NTC196721 NTC262155:NTC262257 NTC327691:NTC327793 NTC393227:NTC393329 NTC458763:NTC458865 NTC524299:NTC524401 NTC589835:NTC589937 NTC655371:NTC655473 NTC720907:NTC721009 NTC786443:NTC786545 NTC851979:NTC852081 NTC917515:NTC917617 NTC983051:NTC983153 OCZ10:OCZ63 OCY65547:OCY65649 OCY131083:OCY131185 OCY196619:OCY196721 OCY262155:OCY262257 OCY327691:OCY327793 OCY393227:OCY393329 OCY458763:OCY458865 OCY524299:OCY524401 OCY589835:OCY589937 OCY655371:OCY655473 OCY720907:OCY721009 OCY786443:OCY786545 OCY851979:OCY852081 OCY917515:OCY917617 OCY983051:OCY983153 OMV10:OMV63 OMU65547:OMU65649 OMU131083:OMU131185 OMU196619:OMU196721 OMU262155:OMU262257 OMU327691:OMU327793 OMU393227:OMU393329 OMU458763:OMU458865 OMU524299:OMU524401 OMU589835:OMU589937 OMU655371:OMU655473 OMU720907:OMU721009 OMU786443:OMU786545 OMU851979:OMU852081 OMU917515:OMU917617 OMU983051:OMU983153 OWR10:OWR63 OWQ65547:OWQ65649 OWQ131083:OWQ131185 OWQ196619:OWQ196721 OWQ262155:OWQ262257 OWQ327691:OWQ327793 OWQ393227:OWQ393329 OWQ458763:OWQ458865 OWQ524299:OWQ524401 OWQ589835:OWQ589937 OWQ655371:OWQ655473 OWQ720907:OWQ721009 OWQ786443:OWQ786545 OWQ851979:OWQ852081 OWQ917515:OWQ917617 OWQ983051:OWQ983153 PGN10:PGN63 PGM65547:PGM65649 PGM131083:PGM131185 PGM196619:PGM196721 PGM262155:PGM262257 PGM327691:PGM327793 PGM393227:PGM393329 PGM458763:PGM458865 PGM524299:PGM524401 PGM589835:PGM589937 PGM655371:PGM655473 PGM720907:PGM721009 PGM786443:PGM786545 PGM851979:PGM852081 PGM917515:PGM917617 PGM983051:PGM983153 PQJ10:PQJ63 PQI65547:PQI65649 PQI131083:PQI131185 PQI196619:PQI196721 PQI262155:PQI262257 PQI327691:PQI327793 PQI393227:PQI393329 PQI458763:PQI458865 PQI524299:PQI524401 PQI589835:PQI589937 PQI655371:PQI655473 PQI720907:PQI721009 PQI786443:PQI786545 PQI851979:PQI852081 PQI917515:PQI917617 PQI983051:PQI983153 QAF10:QAF63 QAE65547:QAE65649 QAE131083:QAE131185 QAE196619:QAE196721 QAE262155:QAE262257 QAE327691:QAE327793 QAE393227:QAE393329 QAE458763:QAE458865 QAE524299:QAE524401 QAE589835:QAE589937 QAE655371:QAE655473 QAE720907:QAE721009 QAE786443:QAE786545 QAE851979:QAE852081 QAE917515:QAE917617 QAE983051:QAE983153 QKB10:QKB63 QKA65547:QKA65649 QKA131083:QKA131185 QKA196619:QKA196721 QKA262155:QKA262257 QKA327691:QKA327793 QKA393227:QKA393329 QKA458763:QKA458865 QKA524299:QKA524401 QKA589835:QKA589937 QKA655371:QKA655473 QKA720907:QKA721009 QKA786443:QKA786545 QKA851979:QKA852081 QKA917515:QKA917617 QKA983051:QKA983153 QTX10:QTX63 QTW65547:QTW65649 QTW131083:QTW131185 QTW196619:QTW196721 QTW262155:QTW262257 QTW327691:QTW327793 QTW393227:QTW393329 QTW458763:QTW458865 QTW524299:QTW524401 QTW589835:QTW589937 QTW655371:QTW655473 QTW720907:QTW721009 QTW786443:QTW786545 QTW851979:QTW852081 QTW917515:QTW917617 QTW983051:QTW983153 RDT10:RDT63 RDS65547:RDS65649 RDS131083:RDS131185 RDS196619:RDS196721 RDS262155:RDS262257 RDS327691:RDS327793 RDS393227:RDS393329 RDS458763:RDS458865 RDS524299:RDS524401 RDS589835:RDS589937 RDS655371:RDS655473 RDS720907:RDS721009 RDS786443:RDS786545 RDS851979:RDS852081 RDS917515:RDS917617 RDS983051:RDS983153 RNP10:RNP63 RNO65547:RNO65649 RNO131083:RNO131185 RNO196619:RNO196721 RNO262155:RNO262257 RNO327691:RNO327793 RNO393227:RNO393329 RNO458763:RNO458865 RNO524299:RNO524401 RNO589835:RNO589937 RNO655371:RNO655473 RNO720907:RNO721009 RNO786443:RNO786545 RNO851979:RNO852081 RNO917515:RNO917617 RNO983051:RNO983153 RXL10:RXL63 RXK65547:RXK65649 RXK131083:RXK131185 RXK196619:RXK196721 RXK262155:RXK262257 RXK327691:RXK327793 RXK393227:RXK393329 RXK458763:RXK458865 RXK524299:RXK524401 RXK589835:RXK589937 RXK655371:RXK655473 RXK720907:RXK721009 RXK786443:RXK786545 RXK851979:RXK852081 RXK917515:RXK917617 RXK983051:RXK983153 SHH10:SHH63 SHG65547:SHG65649 SHG131083:SHG131185 SHG196619:SHG196721 SHG262155:SHG262257 SHG327691:SHG327793 SHG393227:SHG393329 SHG458763:SHG458865 SHG524299:SHG524401 SHG589835:SHG589937 SHG655371:SHG655473 SHG720907:SHG721009 SHG786443:SHG786545 SHG851979:SHG852081 SHG917515:SHG917617 SHG983051:SHG983153 SRD10:SRD63 SRC65547:SRC65649 SRC131083:SRC131185 SRC196619:SRC196721 SRC262155:SRC262257 SRC327691:SRC327793 SRC393227:SRC393329 SRC458763:SRC458865 SRC524299:SRC524401 SRC589835:SRC589937 SRC655371:SRC655473 SRC720907:SRC721009 SRC786443:SRC786545 SRC851979:SRC852081 SRC917515:SRC917617 SRC983051:SRC983153 TAZ10:TAZ63 TAY65547:TAY65649 TAY131083:TAY131185 TAY196619:TAY196721 TAY262155:TAY262257 TAY327691:TAY327793 TAY393227:TAY393329 TAY458763:TAY458865 TAY524299:TAY524401 TAY589835:TAY589937 TAY655371:TAY655473 TAY720907:TAY721009 TAY786443:TAY786545 TAY851979:TAY852081 TAY917515:TAY917617 TAY983051:TAY983153 TKV10:TKV63 TKU65547:TKU65649 TKU131083:TKU131185 TKU196619:TKU196721 TKU262155:TKU262257 TKU327691:TKU327793 TKU393227:TKU393329 TKU458763:TKU458865 TKU524299:TKU524401 TKU589835:TKU589937 TKU655371:TKU655473 TKU720907:TKU721009 TKU786443:TKU786545 TKU851979:TKU852081 TKU917515:TKU917617 TKU983051:TKU983153 TUR10:TUR63 TUQ65547:TUQ65649 TUQ131083:TUQ131185 TUQ196619:TUQ196721 TUQ262155:TUQ262257 TUQ327691:TUQ327793 TUQ393227:TUQ393329 TUQ458763:TUQ458865 TUQ524299:TUQ524401 TUQ589835:TUQ589937 TUQ655371:TUQ655473 TUQ720907:TUQ721009 TUQ786443:TUQ786545 TUQ851979:TUQ852081 TUQ917515:TUQ917617 TUQ983051:TUQ983153 UEN10:UEN63 UEM65547:UEM65649 UEM131083:UEM131185 UEM196619:UEM196721 UEM262155:UEM262257 UEM327691:UEM327793 UEM393227:UEM393329 UEM458763:UEM458865 UEM524299:UEM524401 UEM589835:UEM589937 UEM655371:UEM655473 UEM720907:UEM721009 UEM786443:UEM786545 UEM851979:UEM852081 UEM917515:UEM917617 UEM983051:UEM983153 UOJ10:UOJ63 UOI65547:UOI65649 UOI131083:UOI131185 UOI196619:UOI196721 UOI262155:UOI262257 UOI327691:UOI327793 UOI393227:UOI393329 UOI458763:UOI458865 UOI524299:UOI524401 UOI589835:UOI589937 UOI655371:UOI655473 UOI720907:UOI721009 UOI786443:UOI786545 UOI851979:UOI852081 UOI917515:UOI917617 UOI983051:UOI983153 UYF10:UYF63 UYE65547:UYE65649 UYE131083:UYE131185 UYE196619:UYE196721 UYE262155:UYE262257 UYE327691:UYE327793 UYE393227:UYE393329 UYE458763:UYE458865 UYE524299:UYE524401 UYE589835:UYE589937 UYE655371:UYE655473 UYE720907:UYE721009 UYE786443:UYE786545 UYE851979:UYE852081 UYE917515:UYE917617 UYE983051:UYE983153 VIB10:VIB63 VIA65547:VIA65649 VIA131083:VIA131185 VIA196619:VIA196721 VIA262155:VIA262257 VIA327691:VIA327793 VIA393227:VIA393329 VIA458763:VIA458865 VIA524299:VIA524401 VIA589835:VIA589937 VIA655371:VIA655473 VIA720907:VIA721009 VIA786443:VIA786545 VIA851979:VIA852081 VIA917515:VIA917617 VIA983051:VIA983153 VRX10:VRX63 VRW65547:VRW65649 VRW131083:VRW131185 VRW196619:VRW196721 VRW262155:VRW262257 VRW327691:VRW327793 VRW393227:VRW393329 VRW458763:VRW458865 VRW524299:VRW524401 VRW589835:VRW589937 VRW655371:VRW655473 VRW720907:VRW721009 VRW786443:VRW786545 VRW851979:VRW852081 VRW917515:VRW917617 VRW983051:VRW983153 WBT10:WBT63 WBS65547:WBS65649 WBS131083:WBS131185 WBS196619:WBS196721 WBS262155:WBS262257 WBS327691:WBS327793 WBS393227:WBS393329 WBS458763:WBS458865 WBS524299:WBS524401 WBS589835:WBS589937 WBS655371:WBS655473 WBS720907:WBS721009 WBS786443:WBS786545 WBS851979:WBS852081 WBS917515:WBS917617 WBS983051:WBS983153 WLP10:WLP63 WLO65547:WLO65649 WLO131083:WLO131185 WLO196619:WLO196721 WLO262155:WLO262257 WLO327691:WLO327793 WLO393227:WLO393329 WLO458763:WLO458865 WLO524299:WLO524401 WLO589835:WLO589937 WLO655371:WLO655473 WLO720907:WLO721009 WLO786443:WLO786545 WLO851979:WLO852081 WLO917515:WLO917617 WLO983051:WLO983153 WVL10:WVL63 WVK983051:WVK983153 WVK65547:WVK65649 WVK131083:WVK131185 WVK196619:WVK196721 WVK262155:WVK262257 WVK327691:WVK327793 WVK393227:WVK393329 WVK458763:WVK458865 WVK524299:WVK524401 WVK589835:WVK589937 WVK655371:WVK655473 WVK720907:WVK721009 WVK786443:WVK786545 WVK851979:WVK852081 WVK917515:WVK917617 IZ10:IZ63 WVL66:WVL114 WLP66:WLP114 WBT66:WBT114 VRX66:VRX114 VIB66:VIB114 UYF66:UYF114 UOJ66:UOJ114 UEN66:UEN114 TUR66:TUR114 TKV66:TKV114 TAZ66:TAZ114 SRD66:SRD114 SHH66:SHH114 RXL66:RXL114 RNP66:RNP114 RDT66:RDT114 QTX66:QTX114 QKB66:QKB114 QAF66:QAF114 PQJ66:PQJ114 PGN66:PGN114 OWR66:OWR114 OMV66:OMV114 OCZ66:OCZ114 NTD66:NTD114 NJH66:NJH114 MZL66:MZL114 MPP66:MPP114 MFT66:MFT114 LVX66:LVX114 LMB66:LMB114 LCF66:LCF114 KSJ66:KSJ114 KIN66:KIN114 JYR66:JYR114 JOV66:JOV114 JEZ66:JEZ114 IVD66:IVD114 ILH66:ILH114 IBL66:IBL114 HRP66:HRP114 HHT66:HHT114 GXX66:GXX114 GOB66:GOB114 GEF66:GEF114 FUJ66:FUJ114 FKN66:FKN114 FAR66:FAR114 EQV66:EQV114 EGZ66:EGZ114 DXD66:DXD114 DNH66:DNH114 DDL66:DDL114 CTP66:CTP114 CJT66:CJT114 BZX66:BZX114 BQB66:BQB114 BGF66:BGF114 AWJ66:AWJ114 AMN66:AMN114 ACR66:ACR114 SV66:SV114 IZ66:IZ114" xr:uid="{AAB7E15F-8B30-4397-A7E5-13FB3FDE8CD4}"/>
    <dataValidation allowBlank="1" showInputMessage="1" showErrorMessage="1" prompt="Performance Tasks Total Highest Possible Score" sqref="N65547:N65548 N131083:N131084 N196619:N196620 N262155:N262156 N327691:N327692 N393227:N393228 N458763:N458764 N524299:N524300 N589835:N589836 N655371:N655372 N720907:N720908 N786443:N786444 N851979:N851980 N917515:N917516 N983051:N983052 JK10:JK12 JJ65547:JJ65548 JJ131083:JJ131084 JJ196619:JJ196620 JJ262155:JJ262156 JJ327691:JJ327692 JJ393227:JJ393228 JJ458763:JJ458764 JJ524299:JJ524300 JJ589835:JJ589836 JJ655371:JJ655372 JJ720907:JJ720908 JJ786443:JJ786444 JJ851979:JJ851980 JJ917515:JJ917516 JJ983051:JJ983052 TG10:TG12 TF65547:TF65548 TF131083:TF131084 TF196619:TF196620 TF262155:TF262156 TF327691:TF327692 TF393227:TF393228 TF458763:TF458764 TF524299:TF524300 TF589835:TF589836 TF655371:TF655372 TF720907:TF720908 TF786443:TF786444 TF851979:TF851980 TF917515:TF917516 TF983051:TF983052 ADC10:ADC12 ADB65547:ADB65548 ADB131083:ADB131084 ADB196619:ADB196620 ADB262155:ADB262156 ADB327691:ADB327692 ADB393227:ADB393228 ADB458763:ADB458764 ADB524299:ADB524300 ADB589835:ADB589836 ADB655371:ADB655372 ADB720907:ADB720908 ADB786443:ADB786444 ADB851979:ADB851980 ADB917515:ADB917516 ADB983051:ADB983052 AMY10:AMY12 AMX65547:AMX65548 AMX131083:AMX131084 AMX196619:AMX196620 AMX262155:AMX262156 AMX327691:AMX327692 AMX393227:AMX393228 AMX458763:AMX458764 AMX524299:AMX524300 AMX589835:AMX589836 AMX655371:AMX655372 AMX720907:AMX720908 AMX786443:AMX786444 AMX851979:AMX851980 AMX917515:AMX917516 AMX983051:AMX983052 AWU10:AWU12 AWT65547:AWT65548 AWT131083:AWT131084 AWT196619:AWT196620 AWT262155:AWT262156 AWT327691:AWT327692 AWT393227:AWT393228 AWT458763:AWT458764 AWT524299:AWT524300 AWT589835:AWT589836 AWT655371:AWT655372 AWT720907:AWT720908 AWT786443:AWT786444 AWT851979:AWT851980 AWT917515:AWT917516 AWT983051:AWT983052 BGQ10:BGQ12 BGP65547:BGP65548 BGP131083:BGP131084 BGP196619:BGP196620 BGP262155:BGP262156 BGP327691:BGP327692 BGP393227:BGP393228 BGP458763:BGP458764 BGP524299:BGP524300 BGP589835:BGP589836 BGP655371:BGP655372 BGP720907:BGP720908 BGP786443:BGP786444 BGP851979:BGP851980 BGP917515:BGP917516 BGP983051:BGP983052 BQM10:BQM12 BQL65547:BQL65548 BQL131083:BQL131084 BQL196619:BQL196620 BQL262155:BQL262156 BQL327691:BQL327692 BQL393227:BQL393228 BQL458763:BQL458764 BQL524299:BQL524300 BQL589835:BQL589836 BQL655371:BQL655372 BQL720907:BQL720908 BQL786443:BQL786444 BQL851979:BQL851980 BQL917515:BQL917516 BQL983051:BQL983052 CAI10:CAI12 CAH65547:CAH65548 CAH131083:CAH131084 CAH196619:CAH196620 CAH262155:CAH262156 CAH327691:CAH327692 CAH393227:CAH393228 CAH458763:CAH458764 CAH524299:CAH524300 CAH589835:CAH589836 CAH655371:CAH655372 CAH720907:CAH720908 CAH786443:CAH786444 CAH851979:CAH851980 CAH917515:CAH917516 CAH983051:CAH983052 CKE10:CKE12 CKD65547:CKD65548 CKD131083:CKD131084 CKD196619:CKD196620 CKD262155:CKD262156 CKD327691:CKD327692 CKD393227:CKD393228 CKD458763:CKD458764 CKD524299:CKD524300 CKD589835:CKD589836 CKD655371:CKD655372 CKD720907:CKD720908 CKD786443:CKD786444 CKD851979:CKD851980 CKD917515:CKD917516 CKD983051:CKD983052 CUA10:CUA12 CTZ65547:CTZ65548 CTZ131083:CTZ131084 CTZ196619:CTZ196620 CTZ262155:CTZ262156 CTZ327691:CTZ327692 CTZ393227:CTZ393228 CTZ458763:CTZ458764 CTZ524299:CTZ524300 CTZ589835:CTZ589836 CTZ655371:CTZ655372 CTZ720907:CTZ720908 CTZ786443:CTZ786444 CTZ851979:CTZ851980 CTZ917515:CTZ917516 CTZ983051:CTZ983052 DDW10:DDW12 DDV65547:DDV65548 DDV131083:DDV131084 DDV196619:DDV196620 DDV262155:DDV262156 DDV327691:DDV327692 DDV393227:DDV393228 DDV458763:DDV458764 DDV524299:DDV524300 DDV589835:DDV589836 DDV655371:DDV655372 DDV720907:DDV720908 DDV786443:DDV786444 DDV851979:DDV851980 DDV917515:DDV917516 DDV983051:DDV983052 DNS10:DNS12 DNR65547:DNR65548 DNR131083:DNR131084 DNR196619:DNR196620 DNR262155:DNR262156 DNR327691:DNR327692 DNR393227:DNR393228 DNR458763:DNR458764 DNR524299:DNR524300 DNR589835:DNR589836 DNR655371:DNR655372 DNR720907:DNR720908 DNR786443:DNR786444 DNR851979:DNR851980 DNR917515:DNR917516 DNR983051:DNR983052 DXO10:DXO12 DXN65547:DXN65548 DXN131083:DXN131084 DXN196619:DXN196620 DXN262155:DXN262156 DXN327691:DXN327692 DXN393227:DXN393228 DXN458763:DXN458764 DXN524299:DXN524300 DXN589835:DXN589836 DXN655371:DXN655372 DXN720907:DXN720908 DXN786443:DXN786444 DXN851979:DXN851980 DXN917515:DXN917516 DXN983051:DXN983052 EHK10:EHK12 EHJ65547:EHJ65548 EHJ131083:EHJ131084 EHJ196619:EHJ196620 EHJ262155:EHJ262156 EHJ327691:EHJ327692 EHJ393227:EHJ393228 EHJ458763:EHJ458764 EHJ524299:EHJ524300 EHJ589835:EHJ589836 EHJ655371:EHJ655372 EHJ720907:EHJ720908 EHJ786443:EHJ786444 EHJ851979:EHJ851980 EHJ917515:EHJ917516 EHJ983051:EHJ983052 ERG10:ERG12 ERF65547:ERF65548 ERF131083:ERF131084 ERF196619:ERF196620 ERF262155:ERF262156 ERF327691:ERF327692 ERF393227:ERF393228 ERF458763:ERF458764 ERF524299:ERF524300 ERF589835:ERF589836 ERF655371:ERF655372 ERF720907:ERF720908 ERF786443:ERF786444 ERF851979:ERF851980 ERF917515:ERF917516 ERF983051:ERF983052 FBC10:FBC12 FBB65547:FBB65548 FBB131083:FBB131084 FBB196619:FBB196620 FBB262155:FBB262156 FBB327691:FBB327692 FBB393227:FBB393228 FBB458763:FBB458764 FBB524299:FBB524300 FBB589835:FBB589836 FBB655371:FBB655372 FBB720907:FBB720908 FBB786443:FBB786444 FBB851979:FBB851980 FBB917515:FBB917516 FBB983051:FBB983052 FKY10:FKY12 FKX65547:FKX65548 FKX131083:FKX131084 FKX196619:FKX196620 FKX262155:FKX262156 FKX327691:FKX327692 FKX393227:FKX393228 FKX458763:FKX458764 FKX524299:FKX524300 FKX589835:FKX589836 FKX655371:FKX655372 FKX720907:FKX720908 FKX786443:FKX786444 FKX851979:FKX851980 FKX917515:FKX917516 FKX983051:FKX983052 FUU10:FUU12 FUT65547:FUT65548 FUT131083:FUT131084 FUT196619:FUT196620 FUT262155:FUT262156 FUT327691:FUT327692 FUT393227:FUT393228 FUT458763:FUT458764 FUT524299:FUT524300 FUT589835:FUT589836 FUT655371:FUT655372 FUT720907:FUT720908 FUT786443:FUT786444 FUT851979:FUT851980 FUT917515:FUT917516 FUT983051:FUT983052 GEQ10:GEQ12 GEP65547:GEP65548 GEP131083:GEP131084 GEP196619:GEP196620 GEP262155:GEP262156 GEP327691:GEP327692 GEP393227:GEP393228 GEP458763:GEP458764 GEP524299:GEP524300 GEP589835:GEP589836 GEP655371:GEP655372 GEP720907:GEP720908 GEP786443:GEP786444 GEP851979:GEP851980 GEP917515:GEP917516 GEP983051:GEP983052 GOM10:GOM12 GOL65547:GOL65548 GOL131083:GOL131084 GOL196619:GOL196620 GOL262155:GOL262156 GOL327691:GOL327692 GOL393227:GOL393228 GOL458763:GOL458764 GOL524299:GOL524300 GOL589835:GOL589836 GOL655371:GOL655372 GOL720907:GOL720908 GOL786443:GOL786444 GOL851979:GOL851980 GOL917515:GOL917516 GOL983051:GOL983052 GYI10:GYI12 GYH65547:GYH65548 GYH131083:GYH131084 GYH196619:GYH196620 GYH262155:GYH262156 GYH327691:GYH327692 GYH393227:GYH393228 GYH458763:GYH458764 GYH524299:GYH524300 GYH589835:GYH589836 GYH655371:GYH655372 GYH720907:GYH720908 GYH786443:GYH786444 GYH851979:GYH851980 GYH917515:GYH917516 GYH983051:GYH983052 HIE10:HIE12 HID65547:HID65548 HID131083:HID131084 HID196619:HID196620 HID262155:HID262156 HID327691:HID327692 HID393227:HID393228 HID458763:HID458764 HID524299:HID524300 HID589835:HID589836 HID655371:HID655372 HID720907:HID720908 HID786443:HID786444 HID851979:HID851980 HID917515:HID917516 HID983051:HID983052 HSA10:HSA12 HRZ65547:HRZ65548 HRZ131083:HRZ131084 HRZ196619:HRZ196620 HRZ262155:HRZ262156 HRZ327691:HRZ327692 HRZ393227:HRZ393228 HRZ458763:HRZ458764 HRZ524299:HRZ524300 HRZ589835:HRZ589836 HRZ655371:HRZ655372 HRZ720907:HRZ720908 HRZ786443:HRZ786444 HRZ851979:HRZ851980 HRZ917515:HRZ917516 HRZ983051:HRZ983052 IBW10:IBW12 IBV65547:IBV65548 IBV131083:IBV131084 IBV196619:IBV196620 IBV262155:IBV262156 IBV327691:IBV327692 IBV393227:IBV393228 IBV458763:IBV458764 IBV524299:IBV524300 IBV589835:IBV589836 IBV655371:IBV655372 IBV720907:IBV720908 IBV786443:IBV786444 IBV851979:IBV851980 IBV917515:IBV917516 IBV983051:IBV983052 ILS10:ILS12 ILR65547:ILR65548 ILR131083:ILR131084 ILR196619:ILR196620 ILR262155:ILR262156 ILR327691:ILR327692 ILR393227:ILR393228 ILR458763:ILR458764 ILR524299:ILR524300 ILR589835:ILR589836 ILR655371:ILR655372 ILR720907:ILR720908 ILR786443:ILR786444 ILR851979:ILR851980 ILR917515:ILR917516 ILR983051:ILR983052 IVO10:IVO12 IVN65547:IVN65548 IVN131083:IVN131084 IVN196619:IVN196620 IVN262155:IVN262156 IVN327691:IVN327692 IVN393227:IVN393228 IVN458763:IVN458764 IVN524299:IVN524300 IVN589835:IVN589836 IVN655371:IVN655372 IVN720907:IVN720908 IVN786443:IVN786444 IVN851979:IVN851980 IVN917515:IVN917516 IVN983051:IVN983052 JFK10:JFK12 JFJ65547:JFJ65548 JFJ131083:JFJ131084 JFJ196619:JFJ196620 JFJ262155:JFJ262156 JFJ327691:JFJ327692 JFJ393227:JFJ393228 JFJ458763:JFJ458764 JFJ524299:JFJ524300 JFJ589835:JFJ589836 JFJ655371:JFJ655372 JFJ720907:JFJ720908 JFJ786443:JFJ786444 JFJ851979:JFJ851980 JFJ917515:JFJ917516 JFJ983051:JFJ983052 JPG10:JPG12 JPF65547:JPF65548 JPF131083:JPF131084 JPF196619:JPF196620 JPF262155:JPF262156 JPF327691:JPF327692 JPF393227:JPF393228 JPF458763:JPF458764 JPF524299:JPF524300 JPF589835:JPF589836 JPF655371:JPF655372 JPF720907:JPF720908 JPF786443:JPF786444 JPF851979:JPF851980 JPF917515:JPF917516 JPF983051:JPF983052 JZC10:JZC12 JZB65547:JZB65548 JZB131083:JZB131084 JZB196619:JZB196620 JZB262155:JZB262156 JZB327691:JZB327692 JZB393227:JZB393228 JZB458763:JZB458764 JZB524299:JZB524300 JZB589835:JZB589836 JZB655371:JZB655372 JZB720907:JZB720908 JZB786443:JZB786444 JZB851979:JZB851980 JZB917515:JZB917516 JZB983051:JZB983052 KIY10:KIY12 KIX65547:KIX65548 KIX131083:KIX131084 KIX196619:KIX196620 KIX262155:KIX262156 KIX327691:KIX327692 KIX393227:KIX393228 KIX458763:KIX458764 KIX524299:KIX524300 KIX589835:KIX589836 KIX655371:KIX655372 KIX720907:KIX720908 KIX786443:KIX786444 KIX851979:KIX851980 KIX917515:KIX917516 KIX983051:KIX983052 KSU10:KSU12 KST65547:KST65548 KST131083:KST131084 KST196619:KST196620 KST262155:KST262156 KST327691:KST327692 KST393227:KST393228 KST458763:KST458764 KST524299:KST524300 KST589835:KST589836 KST655371:KST655372 KST720907:KST720908 KST786443:KST786444 KST851979:KST851980 KST917515:KST917516 KST983051:KST983052 LCQ10:LCQ12 LCP65547:LCP65548 LCP131083:LCP131084 LCP196619:LCP196620 LCP262155:LCP262156 LCP327691:LCP327692 LCP393227:LCP393228 LCP458763:LCP458764 LCP524299:LCP524300 LCP589835:LCP589836 LCP655371:LCP655372 LCP720907:LCP720908 LCP786443:LCP786444 LCP851979:LCP851980 LCP917515:LCP917516 LCP983051:LCP983052 LMM10:LMM12 LML65547:LML65548 LML131083:LML131084 LML196619:LML196620 LML262155:LML262156 LML327691:LML327692 LML393227:LML393228 LML458763:LML458764 LML524299:LML524300 LML589835:LML589836 LML655371:LML655372 LML720907:LML720908 LML786443:LML786444 LML851979:LML851980 LML917515:LML917516 LML983051:LML983052 LWI10:LWI12 LWH65547:LWH65548 LWH131083:LWH131084 LWH196619:LWH196620 LWH262155:LWH262156 LWH327691:LWH327692 LWH393227:LWH393228 LWH458763:LWH458764 LWH524299:LWH524300 LWH589835:LWH589836 LWH655371:LWH655372 LWH720907:LWH720908 LWH786443:LWH786444 LWH851979:LWH851980 LWH917515:LWH917516 LWH983051:LWH983052 MGE10:MGE12 MGD65547:MGD65548 MGD131083:MGD131084 MGD196619:MGD196620 MGD262155:MGD262156 MGD327691:MGD327692 MGD393227:MGD393228 MGD458763:MGD458764 MGD524299:MGD524300 MGD589835:MGD589836 MGD655371:MGD655372 MGD720907:MGD720908 MGD786443:MGD786444 MGD851979:MGD851980 MGD917515:MGD917516 MGD983051:MGD983052 MQA10:MQA12 MPZ65547:MPZ65548 MPZ131083:MPZ131084 MPZ196619:MPZ196620 MPZ262155:MPZ262156 MPZ327691:MPZ327692 MPZ393227:MPZ393228 MPZ458763:MPZ458764 MPZ524299:MPZ524300 MPZ589835:MPZ589836 MPZ655371:MPZ655372 MPZ720907:MPZ720908 MPZ786443:MPZ786444 MPZ851979:MPZ851980 MPZ917515:MPZ917516 MPZ983051:MPZ983052 MZW10:MZW12 MZV65547:MZV65548 MZV131083:MZV131084 MZV196619:MZV196620 MZV262155:MZV262156 MZV327691:MZV327692 MZV393227:MZV393228 MZV458763:MZV458764 MZV524299:MZV524300 MZV589835:MZV589836 MZV655371:MZV655372 MZV720907:MZV720908 MZV786443:MZV786444 MZV851979:MZV851980 MZV917515:MZV917516 MZV983051:MZV983052 NJS10:NJS12 NJR65547:NJR65548 NJR131083:NJR131084 NJR196619:NJR196620 NJR262155:NJR262156 NJR327691:NJR327692 NJR393227:NJR393228 NJR458763:NJR458764 NJR524299:NJR524300 NJR589835:NJR589836 NJR655371:NJR655372 NJR720907:NJR720908 NJR786443:NJR786444 NJR851979:NJR851980 NJR917515:NJR917516 NJR983051:NJR983052 NTO10:NTO12 NTN65547:NTN65548 NTN131083:NTN131084 NTN196619:NTN196620 NTN262155:NTN262156 NTN327691:NTN327692 NTN393227:NTN393228 NTN458763:NTN458764 NTN524299:NTN524300 NTN589835:NTN589836 NTN655371:NTN655372 NTN720907:NTN720908 NTN786443:NTN786444 NTN851979:NTN851980 NTN917515:NTN917516 NTN983051:NTN983052 ODK10:ODK12 ODJ65547:ODJ65548 ODJ131083:ODJ131084 ODJ196619:ODJ196620 ODJ262155:ODJ262156 ODJ327691:ODJ327692 ODJ393227:ODJ393228 ODJ458763:ODJ458764 ODJ524299:ODJ524300 ODJ589835:ODJ589836 ODJ655371:ODJ655372 ODJ720907:ODJ720908 ODJ786443:ODJ786444 ODJ851979:ODJ851980 ODJ917515:ODJ917516 ODJ983051:ODJ983052 ONG10:ONG12 ONF65547:ONF65548 ONF131083:ONF131084 ONF196619:ONF196620 ONF262155:ONF262156 ONF327691:ONF327692 ONF393227:ONF393228 ONF458763:ONF458764 ONF524299:ONF524300 ONF589835:ONF589836 ONF655371:ONF655372 ONF720907:ONF720908 ONF786443:ONF786444 ONF851979:ONF851980 ONF917515:ONF917516 ONF983051:ONF983052 OXC10:OXC12 OXB65547:OXB65548 OXB131083:OXB131084 OXB196619:OXB196620 OXB262155:OXB262156 OXB327691:OXB327692 OXB393227:OXB393228 OXB458763:OXB458764 OXB524299:OXB524300 OXB589835:OXB589836 OXB655371:OXB655372 OXB720907:OXB720908 OXB786443:OXB786444 OXB851979:OXB851980 OXB917515:OXB917516 OXB983051:OXB983052 PGY10:PGY12 PGX65547:PGX65548 PGX131083:PGX131084 PGX196619:PGX196620 PGX262155:PGX262156 PGX327691:PGX327692 PGX393227:PGX393228 PGX458763:PGX458764 PGX524299:PGX524300 PGX589835:PGX589836 PGX655371:PGX655372 PGX720907:PGX720908 PGX786443:PGX786444 PGX851979:PGX851980 PGX917515:PGX917516 PGX983051:PGX983052 PQU10:PQU12 PQT65547:PQT65548 PQT131083:PQT131084 PQT196619:PQT196620 PQT262155:PQT262156 PQT327691:PQT327692 PQT393227:PQT393228 PQT458763:PQT458764 PQT524299:PQT524300 PQT589835:PQT589836 PQT655371:PQT655372 PQT720907:PQT720908 PQT786443:PQT786444 PQT851979:PQT851980 PQT917515:PQT917516 PQT983051:PQT983052 QAQ10:QAQ12 QAP65547:QAP65548 QAP131083:QAP131084 QAP196619:QAP196620 QAP262155:QAP262156 QAP327691:QAP327692 QAP393227:QAP393228 QAP458763:QAP458764 QAP524299:QAP524300 QAP589835:QAP589836 QAP655371:QAP655372 QAP720907:QAP720908 QAP786443:QAP786444 QAP851979:QAP851980 QAP917515:QAP917516 QAP983051:QAP983052 QKM10:QKM12 QKL65547:QKL65548 QKL131083:QKL131084 QKL196619:QKL196620 QKL262155:QKL262156 QKL327691:QKL327692 QKL393227:QKL393228 QKL458763:QKL458764 QKL524299:QKL524300 QKL589835:QKL589836 QKL655371:QKL655372 QKL720907:QKL720908 QKL786443:QKL786444 QKL851979:QKL851980 QKL917515:QKL917516 QKL983051:QKL983052 QUI10:QUI12 QUH65547:QUH65548 QUH131083:QUH131084 QUH196619:QUH196620 QUH262155:QUH262156 QUH327691:QUH327692 QUH393227:QUH393228 QUH458763:QUH458764 QUH524299:QUH524300 QUH589835:QUH589836 QUH655371:QUH655372 QUH720907:QUH720908 QUH786443:QUH786444 QUH851979:QUH851980 QUH917515:QUH917516 QUH983051:QUH983052 REE10:REE12 RED65547:RED65548 RED131083:RED131084 RED196619:RED196620 RED262155:RED262156 RED327691:RED327692 RED393227:RED393228 RED458763:RED458764 RED524299:RED524300 RED589835:RED589836 RED655371:RED655372 RED720907:RED720908 RED786443:RED786444 RED851979:RED851980 RED917515:RED917516 RED983051:RED983052 ROA10:ROA12 RNZ65547:RNZ65548 RNZ131083:RNZ131084 RNZ196619:RNZ196620 RNZ262155:RNZ262156 RNZ327691:RNZ327692 RNZ393227:RNZ393228 RNZ458763:RNZ458764 RNZ524299:RNZ524300 RNZ589835:RNZ589836 RNZ655371:RNZ655372 RNZ720907:RNZ720908 RNZ786443:RNZ786444 RNZ851979:RNZ851980 RNZ917515:RNZ917516 RNZ983051:RNZ983052 RXW10:RXW12 RXV65547:RXV65548 RXV131083:RXV131084 RXV196619:RXV196620 RXV262155:RXV262156 RXV327691:RXV327692 RXV393227:RXV393228 RXV458763:RXV458764 RXV524299:RXV524300 RXV589835:RXV589836 RXV655371:RXV655372 RXV720907:RXV720908 RXV786443:RXV786444 RXV851979:RXV851980 RXV917515:RXV917516 RXV983051:RXV983052 SHS10:SHS12 SHR65547:SHR65548 SHR131083:SHR131084 SHR196619:SHR196620 SHR262155:SHR262156 SHR327691:SHR327692 SHR393227:SHR393228 SHR458763:SHR458764 SHR524299:SHR524300 SHR589835:SHR589836 SHR655371:SHR655372 SHR720907:SHR720908 SHR786443:SHR786444 SHR851979:SHR851980 SHR917515:SHR917516 SHR983051:SHR983052 SRO10:SRO12 SRN65547:SRN65548 SRN131083:SRN131084 SRN196619:SRN196620 SRN262155:SRN262156 SRN327691:SRN327692 SRN393227:SRN393228 SRN458763:SRN458764 SRN524299:SRN524300 SRN589835:SRN589836 SRN655371:SRN655372 SRN720907:SRN720908 SRN786443:SRN786444 SRN851979:SRN851980 SRN917515:SRN917516 SRN983051:SRN983052 TBK10:TBK12 TBJ65547:TBJ65548 TBJ131083:TBJ131084 TBJ196619:TBJ196620 TBJ262155:TBJ262156 TBJ327691:TBJ327692 TBJ393227:TBJ393228 TBJ458763:TBJ458764 TBJ524299:TBJ524300 TBJ589835:TBJ589836 TBJ655371:TBJ655372 TBJ720907:TBJ720908 TBJ786443:TBJ786444 TBJ851979:TBJ851980 TBJ917515:TBJ917516 TBJ983051:TBJ983052 TLG10:TLG12 TLF65547:TLF65548 TLF131083:TLF131084 TLF196619:TLF196620 TLF262155:TLF262156 TLF327691:TLF327692 TLF393227:TLF393228 TLF458763:TLF458764 TLF524299:TLF524300 TLF589835:TLF589836 TLF655371:TLF655372 TLF720907:TLF720908 TLF786443:TLF786444 TLF851979:TLF851980 TLF917515:TLF917516 TLF983051:TLF983052 TVC10:TVC12 TVB65547:TVB65548 TVB131083:TVB131084 TVB196619:TVB196620 TVB262155:TVB262156 TVB327691:TVB327692 TVB393227:TVB393228 TVB458763:TVB458764 TVB524299:TVB524300 TVB589835:TVB589836 TVB655371:TVB655372 TVB720907:TVB720908 TVB786443:TVB786444 TVB851979:TVB851980 TVB917515:TVB917516 TVB983051:TVB983052 UEY10:UEY12 UEX65547:UEX65548 UEX131083:UEX131084 UEX196619:UEX196620 UEX262155:UEX262156 UEX327691:UEX327692 UEX393227:UEX393228 UEX458763:UEX458764 UEX524299:UEX524300 UEX589835:UEX589836 UEX655371:UEX655372 UEX720907:UEX720908 UEX786443:UEX786444 UEX851979:UEX851980 UEX917515:UEX917516 UEX983051:UEX983052 UOU10:UOU12 UOT65547:UOT65548 UOT131083:UOT131084 UOT196619:UOT196620 UOT262155:UOT262156 UOT327691:UOT327692 UOT393227:UOT393228 UOT458763:UOT458764 UOT524299:UOT524300 UOT589835:UOT589836 UOT655371:UOT655372 UOT720907:UOT720908 UOT786443:UOT786444 UOT851979:UOT851980 UOT917515:UOT917516 UOT983051:UOT983052 UYQ10:UYQ12 UYP65547:UYP65548 UYP131083:UYP131084 UYP196619:UYP196620 UYP262155:UYP262156 UYP327691:UYP327692 UYP393227:UYP393228 UYP458763:UYP458764 UYP524299:UYP524300 UYP589835:UYP589836 UYP655371:UYP655372 UYP720907:UYP720908 UYP786443:UYP786444 UYP851979:UYP851980 UYP917515:UYP917516 UYP983051:UYP983052 VIM10:VIM12 VIL65547:VIL65548 VIL131083:VIL131084 VIL196619:VIL196620 VIL262155:VIL262156 VIL327691:VIL327692 VIL393227:VIL393228 VIL458763:VIL458764 VIL524299:VIL524300 VIL589835:VIL589836 VIL655371:VIL655372 VIL720907:VIL720908 VIL786443:VIL786444 VIL851979:VIL851980 VIL917515:VIL917516 VIL983051:VIL983052 VSI10:VSI12 VSH65547:VSH65548 VSH131083:VSH131084 VSH196619:VSH196620 VSH262155:VSH262156 VSH327691:VSH327692 VSH393227:VSH393228 VSH458763:VSH458764 VSH524299:VSH524300 VSH589835:VSH589836 VSH655371:VSH655372 VSH720907:VSH720908 VSH786443:VSH786444 VSH851979:VSH851980 VSH917515:VSH917516 VSH983051:VSH983052 WCE10:WCE12 WCD65547:WCD65548 WCD131083:WCD131084 WCD196619:WCD196620 WCD262155:WCD262156 WCD327691:WCD327692 WCD393227:WCD393228 WCD458763:WCD458764 WCD524299:WCD524300 WCD589835:WCD589836 WCD655371:WCD655372 WCD720907:WCD720908 WCD786443:WCD786444 WCD851979:WCD851980 WCD917515:WCD917516 WCD983051:WCD983052 WMA10:WMA12 WLZ65547:WLZ65548 WLZ131083:WLZ131084 WLZ196619:WLZ196620 WLZ262155:WLZ262156 WLZ327691:WLZ327692 WLZ393227:WLZ393228 WLZ458763:WLZ458764 WLZ524299:WLZ524300 WLZ589835:WLZ589836 WLZ655371:WLZ655372 WLZ720907:WLZ720908 WLZ786443:WLZ786444 WLZ851979:WLZ851980 WLZ917515:WLZ917516 WLZ983051:WLZ983052 WVW10:WVW12 WVV65547:WVV65548 WVV131083:WVV131084 WVV196619:WVV196620 WVV262155:WVV262156 WVV327691:WVV327692 WVV393227:WVV393228 WVV458763:WVV458764 WVV524299:WVV524300 WVV589835:WVV589836 WVV655371:WVV655372 WVV720907:WVV720908 WVV786443:WVV786444 WVV851979:WVV851980 WVV917515:WVV917516 WVV983051:WVV983052" xr:uid="{EBDC59F0-1314-47B9-B771-5599155533D0}"/>
    <dataValidation allowBlank="1" showInputMessage="1" showErrorMessage="1" prompt="Performance Tasks Total Raw Score" sqref="N65549:N65649 N131085:N131185 N196621:N196721 N262157:N262257 N327693:N327793 N393229:N393329 N458765:N458865 N524301:N524401 N589837:N589937 N655373:N655473 N720909:N721009 N786445:N786545 N851981:N852081 N917517:N917617 N983053:N983153 TG13:TG63 JJ65549:JJ65649 JJ131085:JJ131185 JJ196621:JJ196721 JJ262157:JJ262257 JJ327693:JJ327793 JJ393229:JJ393329 JJ458765:JJ458865 JJ524301:JJ524401 JJ589837:JJ589937 JJ655373:JJ655473 JJ720909:JJ721009 JJ786445:JJ786545 JJ851981:JJ852081 JJ917517:JJ917617 JJ983053:JJ983153 ADC13:ADC63 TF65549:TF65649 TF131085:TF131185 TF196621:TF196721 TF262157:TF262257 TF327693:TF327793 TF393229:TF393329 TF458765:TF458865 TF524301:TF524401 TF589837:TF589937 TF655373:TF655473 TF720909:TF721009 TF786445:TF786545 TF851981:TF852081 TF917517:TF917617 TF983053:TF983153 AMY13:AMY6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WU13:AWU6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BGQ13:BGQ6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QM13:BQM6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CAI13:CAI6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KE13:CKE6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UA13:CUA6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DDW13:DDW6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NS13:DNS6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XO13:DXO6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EHK13:EHK6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RG13:ERG6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FBC13:FBC6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KY13:FKY6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UU13:FUU6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GEQ13:GEQ6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OM13:GOM6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YI13:GYI6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HIE13:HIE6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SA13:HSA6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IBW13:IBW6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LS13:ILS6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VO13:IVO6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JFK13:JFK6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PG13:JPG6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ZC13:JZC6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KIY13:KIY6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SU13:KSU6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LCQ13:LCQ6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MM13:LMM6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WI13:LWI6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MGE13:MGE6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QA13:MQA6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ZW13:MZW6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NJS13:NJS6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TO13:NTO6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ODK13:ODK6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NG13:ONG6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XC13:OXC6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PGY13:PGY6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QU13:PQU6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QAQ13:QAQ6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KM13:QKM6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UI13:QUI6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REE13:REE6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OA13:ROA6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XW13:RXW6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SHS13:SHS6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RO13:SRO6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TBK13:TBK6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LG13:TLG6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VC13:TVC6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UEY13:UEY6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OU13:UOU6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YQ13:UYQ6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VIM13:VIM6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SI13:VSI6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WCE13:WCE6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MA13:WMA6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VW13:WVW6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983053:WVV983153 WVV65549:WVV65649 WVV131085:WVV131185 WVV196621:WVV196721 WVV262157:WVV262257 WVV327693:WVV327793 WVV393229:WVV393329 WVV458765:WVV458865 WVV524301:WVV524401 WVV589837:WVV589937 WVV655373:WVV655473 WVV720909:WVV721009 WVV786445:WVV786545 WVV851981:WVV852081 WVV917517:WVV917617 JK13:JK63 WVW66:WVW114 WMA66:WMA114 WCE66:WCE114 VSI66:VSI114 VIM66:VIM114 UYQ66:UYQ114 UOU66:UOU114 UEY66:UEY114 TVC66:TVC114 TLG66:TLG114 TBK66:TBK114 SRO66:SRO114 SHS66:SHS114 RXW66:RXW114 ROA66:ROA114 REE66:REE114 QUI66:QUI114 QKM66:QKM114 QAQ66:QAQ114 PQU66:PQU114 PGY66:PGY114 OXC66:OXC114 ONG66:ONG114 ODK66:ODK114 NTO66:NTO114 NJS66:NJS114 MZW66:MZW114 MQA66:MQA114 MGE66:MGE114 LWI66:LWI114 LMM66:LMM114 LCQ66:LCQ114 KSU66:KSU114 KIY66:KIY114 JZC66:JZC114 JPG66:JPG114 JFK66:JFK114 IVO66:IVO114 ILS66:ILS114 IBW66:IBW114 HSA66:HSA114 HIE66:HIE114 GYI66:GYI114 GOM66:GOM114 GEQ66:GEQ114 FUU66:FUU114 FKY66:FKY114 FBC66:FBC114 ERG66:ERG114 EHK66:EHK114 DXO66:DXO114 DNS66:DNS114 DDW66:DDW114 CUA66:CUA114 CKE66:CKE114 CAI66:CAI114 BQM66:BQM114 BGQ66:BGQ114 AWU66:AWU114 AMY66:AMY114 ADC66:ADC114 TG66:TG114 JK66:JK114" xr:uid="{FA846012-1508-4FEB-A8CE-E6FFEEBA71C6}"/>
    <dataValidation allowBlank="1" showInputMessage="1" showErrorMessage="1" prompt="Performance Tasks Percentage Score" sqref="O65547:O65649 O131083:O131185 O196619:O196721 O262155:O262257 O327691:O327793 O393227:O393329 O458763:O458865 O524299:O524401 O589835:O589937 O655371:O655473 O720907:O721009 O786443:O786545 O851979:O852081 O917515:O917617 O983051:O983153 JK65547:JK65649 JK131083:JK131185 JK196619:JK196721 JK262155:JK262257 JK327691:JK327793 JK393227:JK393329 JK458763:JK458865 JK524299:JK524401 JK589835:JK589937 JK655371:JK655473 JK720907:JK721009 JK786443:JK786545 JK851979:JK852081 JK917515:JK917617 JK983051:JK983153 TH10:TH63 TG65547:TG65649 TG131083:TG131185 TG196619:TG196721 TG262155:TG262257 TG327691:TG327793 TG393227:TG393329 TG458763:TG458865 TG524299:TG524401 TG589835:TG589937 TG655371:TG655473 TG720907:TG721009 TG786443:TG786545 TG851979:TG852081 TG917515:TG917617 TG983051:TG983153 ADD10:ADD63 ADC65547:ADC65649 ADC131083:ADC131185 ADC196619:ADC196721 ADC262155:ADC262257 ADC327691:ADC327793 ADC393227:ADC393329 ADC458763:ADC458865 ADC524299:ADC524401 ADC589835:ADC589937 ADC655371:ADC655473 ADC720907:ADC721009 ADC786443:ADC786545 ADC851979:ADC852081 ADC917515:ADC917617 ADC983051:ADC983153 AMZ10:AMZ63 AMY65547:AMY65649 AMY131083:AMY131185 AMY196619:AMY196721 AMY262155:AMY262257 AMY327691:AMY327793 AMY393227:AMY393329 AMY458763:AMY458865 AMY524299:AMY524401 AMY589835:AMY589937 AMY655371:AMY655473 AMY720907:AMY721009 AMY786443:AMY786545 AMY851979:AMY852081 AMY917515:AMY917617 AMY983051:AMY983153 AWV10:AWV63 AWU65547:AWU65649 AWU131083:AWU131185 AWU196619:AWU196721 AWU262155:AWU262257 AWU327691:AWU327793 AWU393227:AWU393329 AWU458763:AWU458865 AWU524299:AWU524401 AWU589835:AWU589937 AWU655371:AWU655473 AWU720907:AWU721009 AWU786443:AWU786545 AWU851979:AWU852081 AWU917515:AWU917617 AWU983051:AWU983153 BGR10:BGR63 BGQ65547:BGQ65649 BGQ131083:BGQ131185 BGQ196619:BGQ196721 BGQ262155:BGQ262257 BGQ327691:BGQ327793 BGQ393227:BGQ393329 BGQ458763:BGQ458865 BGQ524299:BGQ524401 BGQ589835:BGQ589937 BGQ655371:BGQ655473 BGQ720907:BGQ721009 BGQ786443:BGQ786545 BGQ851979:BGQ852081 BGQ917515:BGQ917617 BGQ983051:BGQ983153 BQN10:BQN63 BQM65547:BQM65649 BQM131083:BQM131185 BQM196619:BQM196721 BQM262155:BQM262257 BQM327691:BQM327793 BQM393227:BQM393329 BQM458763:BQM458865 BQM524299:BQM524401 BQM589835:BQM589937 BQM655371:BQM655473 BQM720907:BQM721009 BQM786443:BQM786545 BQM851979:BQM852081 BQM917515:BQM917617 BQM983051:BQM983153 CAJ10:CAJ63 CAI65547:CAI65649 CAI131083:CAI131185 CAI196619:CAI196721 CAI262155:CAI262257 CAI327691:CAI327793 CAI393227:CAI393329 CAI458763:CAI458865 CAI524299:CAI524401 CAI589835:CAI589937 CAI655371:CAI655473 CAI720907:CAI721009 CAI786443:CAI786545 CAI851979:CAI852081 CAI917515:CAI917617 CAI983051:CAI983153 CKF10:CKF63 CKE65547:CKE65649 CKE131083:CKE131185 CKE196619:CKE196721 CKE262155:CKE262257 CKE327691:CKE327793 CKE393227:CKE393329 CKE458763:CKE458865 CKE524299:CKE524401 CKE589835:CKE589937 CKE655371:CKE655473 CKE720907:CKE721009 CKE786443:CKE786545 CKE851979:CKE852081 CKE917515:CKE917617 CKE983051:CKE983153 CUB10:CUB63 CUA65547:CUA65649 CUA131083:CUA131185 CUA196619:CUA196721 CUA262155:CUA262257 CUA327691:CUA327793 CUA393227:CUA393329 CUA458763:CUA458865 CUA524299:CUA524401 CUA589835:CUA589937 CUA655371:CUA655473 CUA720907:CUA721009 CUA786443:CUA786545 CUA851979:CUA852081 CUA917515:CUA917617 CUA983051:CUA983153 DDX10:DDX63 DDW65547:DDW65649 DDW131083:DDW131185 DDW196619:DDW196721 DDW262155:DDW262257 DDW327691:DDW327793 DDW393227:DDW393329 DDW458763:DDW458865 DDW524299:DDW524401 DDW589835:DDW589937 DDW655371:DDW655473 DDW720907:DDW721009 DDW786443:DDW786545 DDW851979:DDW852081 DDW917515:DDW917617 DDW983051:DDW983153 DNT10:DNT63 DNS65547:DNS65649 DNS131083:DNS131185 DNS196619:DNS196721 DNS262155:DNS262257 DNS327691:DNS327793 DNS393227:DNS393329 DNS458763:DNS458865 DNS524299:DNS524401 DNS589835:DNS589937 DNS655371:DNS655473 DNS720907:DNS721009 DNS786443:DNS786545 DNS851979:DNS852081 DNS917515:DNS917617 DNS983051:DNS983153 DXP10:DXP63 DXO65547:DXO65649 DXO131083:DXO131185 DXO196619:DXO196721 DXO262155:DXO262257 DXO327691:DXO327793 DXO393227:DXO393329 DXO458763:DXO458865 DXO524299:DXO524401 DXO589835:DXO589937 DXO655371:DXO655473 DXO720907:DXO721009 DXO786443:DXO786545 DXO851979:DXO852081 DXO917515:DXO917617 DXO983051:DXO983153 EHL10:EHL63 EHK65547:EHK65649 EHK131083:EHK131185 EHK196619:EHK196721 EHK262155:EHK262257 EHK327691:EHK327793 EHK393227:EHK393329 EHK458763:EHK458865 EHK524299:EHK524401 EHK589835:EHK589937 EHK655371:EHK655473 EHK720907:EHK721009 EHK786443:EHK786545 EHK851979:EHK852081 EHK917515:EHK917617 EHK983051:EHK983153 ERH10:ERH63 ERG65547:ERG65649 ERG131083:ERG131185 ERG196619:ERG196721 ERG262155:ERG262257 ERG327691:ERG327793 ERG393227:ERG393329 ERG458763:ERG458865 ERG524299:ERG524401 ERG589835:ERG589937 ERG655371:ERG655473 ERG720907:ERG721009 ERG786443:ERG786545 ERG851979:ERG852081 ERG917515:ERG917617 ERG983051:ERG983153 FBD10:FBD63 FBC65547:FBC65649 FBC131083:FBC131185 FBC196619:FBC196721 FBC262155:FBC262257 FBC327691:FBC327793 FBC393227:FBC393329 FBC458763:FBC458865 FBC524299:FBC524401 FBC589835:FBC589937 FBC655371:FBC655473 FBC720907:FBC721009 FBC786443:FBC786545 FBC851979:FBC852081 FBC917515:FBC917617 FBC983051:FBC983153 FKZ10:FKZ63 FKY65547:FKY65649 FKY131083:FKY131185 FKY196619:FKY196721 FKY262155:FKY262257 FKY327691:FKY327793 FKY393227:FKY393329 FKY458763:FKY458865 FKY524299:FKY524401 FKY589835:FKY589937 FKY655371:FKY655473 FKY720907:FKY721009 FKY786443:FKY786545 FKY851979:FKY852081 FKY917515:FKY917617 FKY983051:FKY983153 FUV10:FUV63 FUU65547:FUU65649 FUU131083:FUU131185 FUU196619:FUU196721 FUU262155:FUU262257 FUU327691:FUU327793 FUU393227:FUU393329 FUU458763:FUU458865 FUU524299:FUU524401 FUU589835:FUU589937 FUU655371:FUU655473 FUU720907:FUU721009 FUU786443:FUU786545 FUU851979:FUU852081 FUU917515:FUU917617 FUU983051:FUU983153 GER10:GER63 GEQ65547:GEQ65649 GEQ131083:GEQ131185 GEQ196619:GEQ196721 GEQ262155:GEQ262257 GEQ327691:GEQ327793 GEQ393227:GEQ393329 GEQ458763:GEQ458865 GEQ524299:GEQ524401 GEQ589835:GEQ589937 GEQ655371:GEQ655473 GEQ720907:GEQ721009 GEQ786443:GEQ786545 GEQ851979:GEQ852081 GEQ917515:GEQ917617 GEQ983051:GEQ983153 GON10:GON63 GOM65547:GOM65649 GOM131083:GOM131185 GOM196619:GOM196721 GOM262155:GOM262257 GOM327691:GOM327793 GOM393227:GOM393329 GOM458763:GOM458865 GOM524299:GOM524401 GOM589835:GOM589937 GOM655371:GOM655473 GOM720907:GOM721009 GOM786443:GOM786545 GOM851979:GOM852081 GOM917515:GOM917617 GOM983051:GOM983153 GYJ10:GYJ63 GYI65547:GYI65649 GYI131083:GYI131185 GYI196619:GYI196721 GYI262155:GYI262257 GYI327691:GYI327793 GYI393227:GYI393329 GYI458763:GYI458865 GYI524299:GYI524401 GYI589835:GYI589937 GYI655371:GYI655473 GYI720907:GYI721009 GYI786443:GYI786545 GYI851979:GYI852081 GYI917515:GYI917617 GYI983051:GYI983153 HIF10:HIF63 HIE65547:HIE65649 HIE131083:HIE131185 HIE196619:HIE196721 HIE262155:HIE262257 HIE327691:HIE327793 HIE393227:HIE393329 HIE458763:HIE458865 HIE524299:HIE524401 HIE589835:HIE589937 HIE655371:HIE655473 HIE720907:HIE721009 HIE786443:HIE786545 HIE851979:HIE852081 HIE917515:HIE917617 HIE983051:HIE983153 HSB10:HSB63 HSA65547:HSA65649 HSA131083:HSA131185 HSA196619:HSA196721 HSA262155:HSA262257 HSA327691:HSA327793 HSA393227:HSA393329 HSA458763:HSA458865 HSA524299:HSA524401 HSA589835:HSA589937 HSA655371:HSA655473 HSA720907:HSA721009 HSA786443:HSA786545 HSA851979:HSA852081 HSA917515:HSA917617 HSA983051:HSA983153 IBX10:IBX63 IBW65547:IBW65649 IBW131083:IBW131185 IBW196619:IBW196721 IBW262155:IBW262257 IBW327691:IBW327793 IBW393227:IBW393329 IBW458763:IBW458865 IBW524299:IBW524401 IBW589835:IBW589937 IBW655371:IBW655473 IBW720907:IBW721009 IBW786443:IBW786545 IBW851979:IBW852081 IBW917515:IBW917617 IBW983051:IBW983153 ILT10:ILT63 ILS65547:ILS65649 ILS131083:ILS131185 ILS196619:ILS196721 ILS262155:ILS262257 ILS327691:ILS327793 ILS393227:ILS393329 ILS458763:ILS458865 ILS524299:ILS524401 ILS589835:ILS589937 ILS655371:ILS655473 ILS720907:ILS721009 ILS786443:ILS786545 ILS851979:ILS852081 ILS917515:ILS917617 ILS983051:ILS983153 IVP10:IVP63 IVO65547:IVO65649 IVO131083:IVO131185 IVO196619:IVO196721 IVO262155:IVO262257 IVO327691:IVO327793 IVO393227:IVO393329 IVO458763:IVO458865 IVO524299:IVO524401 IVO589835:IVO589937 IVO655371:IVO655473 IVO720907:IVO721009 IVO786443:IVO786545 IVO851979:IVO852081 IVO917515:IVO917617 IVO983051:IVO983153 JFL10:JFL63 JFK65547:JFK65649 JFK131083:JFK131185 JFK196619:JFK196721 JFK262155:JFK262257 JFK327691:JFK327793 JFK393227:JFK393329 JFK458763:JFK458865 JFK524299:JFK524401 JFK589835:JFK589937 JFK655371:JFK655473 JFK720907:JFK721009 JFK786443:JFK786545 JFK851979:JFK852081 JFK917515:JFK917617 JFK983051:JFK983153 JPH10:JPH63 JPG65547:JPG65649 JPG131083:JPG131185 JPG196619:JPG196721 JPG262155:JPG262257 JPG327691:JPG327793 JPG393227:JPG393329 JPG458763:JPG458865 JPG524299:JPG524401 JPG589835:JPG589937 JPG655371:JPG655473 JPG720907:JPG721009 JPG786443:JPG786545 JPG851979:JPG852081 JPG917515:JPG917617 JPG983051:JPG983153 JZD10:JZD63 JZC65547:JZC65649 JZC131083:JZC131185 JZC196619:JZC196721 JZC262155:JZC262257 JZC327691:JZC327793 JZC393227:JZC393329 JZC458763:JZC458865 JZC524299:JZC524401 JZC589835:JZC589937 JZC655371:JZC655473 JZC720907:JZC721009 JZC786443:JZC786545 JZC851979:JZC852081 JZC917515:JZC917617 JZC983051:JZC983153 KIZ10:KIZ63 KIY65547:KIY65649 KIY131083:KIY131185 KIY196619:KIY196721 KIY262155:KIY262257 KIY327691:KIY327793 KIY393227:KIY393329 KIY458763:KIY458865 KIY524299:KIY524401 KIY589835:KIY589937 KIY655371:KIY655473 KIY720907:KIY721009 KIY786443:KIY786545 KIY851979:KIY852081 KIY917515:KIY917617 KIY983051:KIY983153 KSV10:KSV63 KSU65547:KSU65649 KSU131083:KSU131185 KSU196619:KSU196721 KSU262155:KSU262257 KSU327691:KSU327793 KSU393227:KSU393329 KSU458763:KSU458865 KSU524299:KSU524401 KSU589835:KSU589937 KSU655371:KSU655473 KSU720907:KSU721009 KSU786443:KSU786545 KSU851979:KSU852081 KSU917515:KSU917617 KSU983051:KSU983153 LCR10:LCR63 LCQ65547:LCQ65649 LCQ131083:LCQ131185 LCQ196619:LCQ196721 LCQ262155:LCQ262257 LCQ327691:LCQ327793 LCQ393227:LCQ393329 LCQ458763:LCQ458865 LCQ524299:LCQ524401 LCQ589835:LCQ589937 LCQ655371:LCQ655473 LCQ720907:LCQ721009 LCQ786443:LCQ786545 LCQ851979:LCQ852081 LCQ917515:LCQ917617 LCQ983051:LCQ983153 LMN10:LMN63 LMM65547:LMM65649 LMM131083:LMM131185 LMM196619:LMM196721 LMM262155:LMM262257 LMM327691:LMM327793 LMM393227:LMM393329 LMM458763:LMM458865 LMM524299:LMM524401 LMM589835:LMM589937 LMM655371:LMM655473 LMM720907:LMM721009 LMM786443:LMM786545 LMM851979:LMM852081 LMM917515:LMM917617 LMM983051:LMM983153 LWJ10:LWJ63 LWI65547:LWI65649 LWI131083:LWI131185 LWI196619:LWI196721 LWI262155:LWI262257 LWI327691:LWI327793 LWI393227:LWI393329 LWI458763:LWI458865 LWI524299:LWI524401 LWI589835:LWI589937 LWI655371:LWI655473 LWI720907:LWI721009 LWI786443:LWI786545 LWI851979:LWI852081 LWI917515:LWI917617 LWI983051:LWI983153 MGF10:MGF63 MGE65547:MGE65649 MGE131083:MGE131185 MGE196619:MGE196721 MGE262155:MGE262257 MGE327691:MGE327793 MGE393227:MGE393329 MGE458763:MGE458865 MGE524299:MGE524401 MGE589835:MGE589937 MGE655371:MGE655473 MGE720907:MGE721009 MGE786443:MGE786545 MGE851979:MGE852081 MGE917515:MGE917617 MGE983051:MGE983153 MQB10:MQB63 MQA65547:MQA65649 MQA131083:MQA131185 MQA196619:MQA196721 MQA262155:MQA262257 MQA327691:MQA327793 MQA393227:MQA393329 MQA458763:MQA458865 MQA524299:MQA524401 MQA589835:MQA589937 MQA655371:MQA655473 MQA720907:MQA721009 MQA786443:MQA786545 MQA851979:MQA852081 MQA917515:MQA917617 MQA983051:MQA983153 MZX10:MZX63 MZW65547:MZW65649 MZW131083:MZW131185 MZW196619:MZW196721 MZW262155:MZW262257 MZW327691:MZW327793 MZW393227:MZW393329 MZW458763:MZW458865 MZW524299:MZW524401 MZW589835:MZW589937 MZW655371:MZW655473 MZW720907:MZW721009 MZW786443:MZW786545 MZW851979:MZW852081 MZW917515:MZW917617 MZW983051:MZW983153 NJT10:NJT63 NJS65547:NJS65649 NJS131083:NJS131185 NJS196619:NJS196721 NJS262155:NJS262257 NJS327691:NJS327793 NJS393227:NJS393329 NJS458763:NJS458865 NJS524299:NJS524401 NJS589835:NJS589937 NJS655371:NJS655473 NJS720907:NJS721009 NJS786443:NJS786545 NJS851979:NJS852081 NJS917515:NJS917617 NJS983051:NJS983153 NTP10:NTP63 NTO65547:NTO65649 NTO131083:NTO131185 NTO196619:NTO196721 NTO262155:NTO262257 NTO327691:NTO327793 NTO393227:NTO393329 NTO458763:NTO458865 NTO524299:NTO524401 NTO589835:NTO589937 NTO655371:NTO655473 NTO720907:NTO721009 NTO786443:NTO786545 NTO851979:NTO852081 NTO917515:NTO917617 NTO983051:NTO983153 ODL10:ODL63 ODK65547:ODK65649 ODK131083:ODK131185 ODK196619:ODK196721 ODK262155:ODK262257 ODK327691:ODK327793 ODK393227:ODK393329 ODK458763:ODK458865 ODK524299:ODK524401 ODK589835:ODK589937 ODK655371:ODK655473 ODK720907:ODK721009 ODK786443:ODK786545 ODK851979:ODK852081 ODK917515:ODK917617 ODK983051:ODK983153 ONH10:ONH63 ONG65547:ONG65649 ONG131083:ONG131185 ONG196619:ONG196721 ONG262155:ONG262257 ONG327691:ONG327793 ONG393227:ONG393329 ONG458763:ONG458865 ONG524299:ONG524401 ONG589835:ONG589937 ONG655371:ONG655473 ONG720907:ONG721009 ONG786443:ONG786545 ONG851979:ONG852081 ONG917515:ONG917617 ONG983051:ONG983153 OXD10:OXD63 OXC65547:OXC65649 OXC131083:OXC131185 OXC196619:OXC196721 OXC262155:OXC262257 OXC327691:OXC327793 OXC393227:OXC393329 OXC458763:OXC458865 OXC524299:OXC524401 OXC589835:OXC589937 OXC655371:OXC655473 OXC720907:OXC721009 OXC786443:OXC786545 OXC851979:OXC852081 OXC917515:OXC917617 OXC983051:OXC983153 PGZ10:PGZ63 PGY65547:PGY65649 PGY131083:PGY131185 PGY196619:PGY196721 PGY262155:PGY262257 PGY327691:PGY327793 PGY393227:PGY393329 PGY458763:PGY458865 PGY524299:PGY524401 PGY589835:PGY589937 PGY655371:PGY655473 PGY720907:PGY721009 PGY786443:PGY786545 PGY851979:PGY852081 PGY917515:PGY917617 PGY983051:PGY983153 PQV10:PQV63 PQU65547:PQU65649 PQU131083:PQU131185 PQU196619:PQU196721 PQU262155:PQU262257 PQU327691:PQU327793 PQU393227:PQU393329 PQU458763:PQU458865 PQU524299:PQU524401 PQU589835:PQU589937 PQU655371:PQU655473 PQU720907:PQU721009 PQU786443:PQU786545 PQU851979:PQU852081 PQU917515:PQU917617 PQU983051:PQU983153 QAR10:QAR63 QAQ65547:QAQ65649 QAQ131083:QAQ131185 QAQ196619:QAQ196721 QAQ262155:QAQ262257 QAQ327691:QAQ327793 QAQ393227:QAQ393329 QAQ458763:QAQ458865 QAQ524299:QAQ524401 QAQ589835:QAQ589937 QAQ655371:QAQ655473 QAQ720907:QAQ721009 QAQ786443:QAQ786545 QAQ851979:QAQ852081 QAQ917515:QAQ917617 QAQ983051:QAQ983153 QKN10:QKN63 QKM65547:QKM65649 QKM131083:QKM131185 QKM196619:QKM196721 QKM262155:QKM262257 QKM327691:QKM327793 QKM393227:QKM393329 QKM458763:QKM458865 QKM524299:QKM524401 QKM589835:QKM589937 QKM655371:QKM655473 QKM720907:QKM721009 QKM786443:QKM786545 QKM851979:QKM852081 QKM917515:QKM917617 QKM983051:QKM983153 QUJ10:QUJ63 QUI65547:QUI65649 QUI131083:QUI131185 QUI196619:QUI196721 QUI262155:QUI262257 QUI327691:QUI327793 QUI393227:QUI393329 QUI458763:QUI458865 QUI524299:QUI524401 QUI589835:QUI589937 QUI655371:QUI655473 QUI720907:QUI721009 QUI786443:QUI786545 QUI851979:QUI852081 QUI917515:QUI917617 QUI983051:QUI983153 REF10:REF63 REE65547:REE65649 REE131083:REE131185 REE196619:REE196721 REE262155:REE262257 REE327691:REE327793 REE393227:REE393329 REE458763:REE458865 REE524299:REE524401 REE589835:REE589937 REE655371:REE655473 REE720907:REE721009 REE786443:REE786545 REE851979:REE852081 REE917515:REE917617 REE983051:REE983153 ROB10:ROB63 ROA65547:ROA65649 ROA131083:ROA131185 ROA196619:ROA196721 ROA262155:ROA262257 ROA327691:ROA327793 ROA393227:ROA393329 ROA458763:ROA458865 ROA524299:ROA524401 ROA589835:ROA589937 ROA655371:ROA655473 ROA720907:ROA721009 ROA786443:ROA786545 ROA851979:ROA852081 ROA917515:ROA917617 ROA983051:ROA983153 RXX10:RXX63 RXW65547:RXW65649 RXW131083:RXW131185 RXW196619:RXW196721 RXW262155:RXW262257 RXW327691:RXW327793 RXW393227:RXW393329 RXW458763:RXW458865 RXW524299:RXW524401 RXW589835:RXW589937 RXW655371:RXW655473 RXW720907:RXW721009 RXW786443:RXW786545 RXW851979:RXW852081 RXW917515:RXW917617 RXW983051:RXW983153 SHT10:SHT63 SHS65547:SHS65649 SHS131083:SHS131185 SHS196619:SHS196721 SHS262155:SHS262257 SHS327691:SHS327793 SHS393227:SHS393329 SHS458763:SHS458865 SHS524299:SHS524401 SHS589835:SHS589937 SHS655371:SHS655473 SHS720907:SHS721009 SHS786443:SHS786545 SHS851979:SHS852081 SHS917515:SHS917617 SHS983051:SHS983153 SRP10:SRP63 SRO65547:SRO65649 SRO131083:SRO131185 SRO196619:SRO196721 SRO262155:SRO262257 SRO327691:SRO327793 SRO393227:SRO393329 SRO458763:SRO458865 SRO524299:SRO524401 SRO589835:SRO589937 SRO655371:SRO655473 SRO720907:SRO721009 SRO786443:SRO786545 SRO851979:SRO852081 SRO917515:SRO917617 SRO983051:SRO983153 TBL10:TBL63 TBK65547:TBK65649 TBK131083:TBK131185 TBK196619:TBK196721 TBK262155:TBK262257 TBK327691:TBK327793 TBK393227:TBK393329 TBK458763:TBK458865 TBK524299:TBK524401 TBK589835:TBK589937 TBK655371:TBK655473 TBK720907:TBK721009 TBK786443:TBK786545 TBK851979:TBK852081 TBK917515:TBK917617 TBK983051:TBK983153 TLH10:TLH63 TLG65547:TLG65649 TLG131083:TLG131185 TLG196619:TLG196721 TLG262155:TLG262257 TLG327691:TLG327793 TLG393227:TLG393329 TLG458763:TLG458865 TLG524299:TLG524401 TLG589835:TLG589937 TLG655371:TLG655473 TLG720907:TLG721009 TLG786443:TLG786545 TLG851979:TLG852081 TLG917515:TLG917617 TLG983051:TLG983153 TVD10:TVD63 TVC65547:TVC65649 TVC131083:TVC131185 TVC196619:TVC196721 TVC262155:TVC262257 TVC327691:TVC327793 TVC393227:TVC393329 TVC458763:TVC458865 TVC524299:TVC524401 TVC589835:TVC589937 TVC655371:TVC655473 TVC720907:TVC721009 TVC786443:TVC786545 TVC851979:TVC852081 TVC917515:TVC917617 TVC983051:TVC983153 UEZ10:UEZ63 UEY65547:UEY65649 UEY131083:UEY131185 UEY196619:UEY196721 UEY262155:UEY262257 UEY327691:UEY327793 UEY393227:UEY393329 UEY458763:UEY458865 UEY524299:UEY524401 UEY589835:UEY589937 UEY655371:UEY655473 UEY720907:UEY721009 UEY786443:UEY786545 UEY851979:UEY852081 UEY917515:UEY917617 UEY983051:UEY983153 UOV10:UOV63 UOU65547:UOU65649 UOU131083:UOU131185 UOU196619:UOU196721 UOU262155:UOU262257 UOU327691:UOU327793 UOU393227:UOU393329 UOU458763:UOU458865 UOU524299:UOU524401 UOU589835:UOU589937 UOU655371:UOU655473 UOU720907:UOU721009 UOU786443:UOU786545 UOU851979:UOU852081 UOU917515:UOU917617 UOU983051:UOU983153 UYR10:UYR63 UYQ65547:UYQ65649 UYQ131083:UYQ131185 UYQ196619:UYQ196721 UYQ262155:UYQ262257 UYQ327691:UYQ327793 UYQ393227:UYQ393329 UYQ458763:UYQ458865 UYQ524299:UYQ524401 UYQ589835:UYQ589937 UYQ655371:UYQ655473 UYQ720907:UYQ721009 UYQ786443:UYQ786545 UYQ851979:UYQ852081 UYQ917515:UYQ917617 UYQ983051:UYQ983153 VIN10:VIN63 VIM65547:VIM65649 VIM131083:VIM131185 VIM196619:VIM196721 VIM262155:VIM262257 VIM327691:VIM327793 VIM393227:VIM393329 VIM458763:VIM458865 VIM524299:VIM524401 VIM589835:VIM589937 VIM655371:VIM655473 VIM720907:VIM721009 VIM786443:VIM786545 VIM851979:VIM852081 VIM917515:VIM917617 VIM983051:VIM983153 VSJ10:VSJ63 VSI65547:VSI65649 VSI131083:VSI131185 VSI196619:VSI196721 VSI262155:VSI262257 VSI327691:VSI327793 VSI393227:VSI393329 VSI458763:VSI458865 VSI524299:VSI524401 VSI589835:VSI589937 VSI655371:VSI655473 VSI720907:VSI721009 VSI786443:VSI786545 VSI851979:VSI852081 VSI917515:VSI917617 VSI983051:VSI983153 WCF10:WCF63 WCE65547:WCE65649 WCE131083:WCE131185 WCE196619:WCE196721 WCE262155:WCE262257 WCE327691:WCE327793 WCE393227:WCE393329 WCE458763:WCE458865 WCE524299:WCE524401 WCE589835:WCE589937 WCE655371:WCE655473 WCE720907:WCE721009 WCE786443:WCE786545 WCE851979:WCE852081 WCE917515:WCE917617 WCE983051:WCE983153 WMB10:WMB63 WMA65547:WMA65649 WMA131083:WMA131185 WMA196619:WMA196721 WMA262155:WMA262257 WMA327691:WMA327793 WMA393227:WMA393329 WMA458763:WMA458865 WMA524299:WMA524401 WMA589835:WMA589937 WMA655371:WMA655473 WMA720907:WMA721009 WMA786443:WMA786545 WMA851979:WMA852081 WMA917515:WMA917617 WMA983051:WMA983153 WVX10:WVX63 WVW983051:WVW983153 WVW65547:WVW65649 WVW131083:WVW131185 WVW196619:WVW196721 WVW262155:WVW262257 WVW327691:WVW327793 WVW393227:WVW393329 WVW458763:WVW458865 WVW524299:WVW524401 WVW589835:WVW589937 WVW655371:WVW655473 WVW720907:WVW721009 WVW786443:WVW786545 WVW851979:WVW852081 WVW917515:WVW917617 JL10:JL63 WVX66:WVX114 WMB66:WMB114 WCF66:WCF114 VSJ66:VSJ114 VIN66:VIN114 UYR66:UYR114 UOV66:UOV114 UEZ66:UEZ114 TVD66:TVD114 TLH66:TLH114 TBL66:TBL114 SRP66:SRP114 SHT66:SHT114 RXX66:RXX114 ROB66:ROB114 REF66:REF114 QUJ66:QUJ114 QKN66:QKN114 QAR66:QAR114 PQV66:PQV114 PGZ66:PGZ114 OXD66:OXD114 ONH66:ONH114 ODL66:ODL114 NTP66:NTP114 NJT66:NJT114 MZX66:MZX114 MQB66:MQB114 MGF66:MGF114 LWJ66:LWJ114 LMN66:LMN114 LCR66:LCR114 KSV66:KSV114 KIZ66:KIZ114 JZD66:JZD114 JPH66:JPH114 JFL66:JFL114 IVP66:IVP114 ILT66:ILT114 IBX66:IBX114 HSB66:HSB114 HIF66:HIF114 GYJ66:GYJ114 GON66:GON114 GER66:GER114 FUV66:FUV114 FKZ66:FKZ114 FBD66:FBD114 ERH66:ERH114 EHL66:EHL114 DXP66:DXP114 DNT66:DNT114 DDX66:DDX114 CUB66:CUB114 CKF66:CKF114 CAJ66:CAJ114 BQN66:BQN114 BGR66:BGR114 AWV66:AWV114 AMZ66:AMZ114 ADD66:ADD114 TH66:TH114 JL66:JL114" xr:uid="{709408E7-9C28-40C4-9FF2-9AF9E9F161BA}"/>
    <dataValidation allowBlank="1" showInputMessage="1" showErrorMessage="1" prompt="Performance tasks Weighted Score" sqref="P65547:R65649 P131083:R131185 P196619:R196721 P262155:R262257 P327691:R327793 P393227:R393329 P458763:R458865 P524299:R524401 P589835:R589937 P655371:R655473 P720907:R721009 P786443:R786545 P851979:R852081 P917515:R917617 P983051:R983153 JL65547:JL65649 JL131083:JL131185 JL196619:JL196721 JL262155:JL262257 JL327691:JL327793 JL393227:JL393329 JL458763:JL458865 JL524299:JL524401 JL589835:JL589937 JL655371:JL655473 JL720907:JL721009 JL786443:JL786545 JL851979:JL852081 JL917515:JL917617 JL983051:JL983153 TI10:TI63 TH65547:TH65649 TH131083:TH131185 TH196619:TH196721 TH262155:TH262257 TH327691:TH327793 TH393227:TH393329 TH458763:TH458865 TH524299:TH524401 TH589835:TH589937 TH655371:TH655473 TH720907:TH721009 TH786443:TH786545 TH851979:TH852081 TH917515:TH917617 TH983051:TH983153 ADE10:ADE6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NA10:ANA6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W10:AWW6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S10:BGS6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O10:BQO6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K10:CAK6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G10:CKG6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C10:CUC6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Y10:DDY6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U10:DNU6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Q10:DXQ6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M10:EHM6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I10:ERI6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E10:FBE6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LA10:FLA6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W10:FUW6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S10:GES6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O10:GOO6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K10:GYK6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G10:HIG6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C10:HSC6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Y10:IBY6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U10:ILU6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Q10:IVQ6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M10:JFM6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I10:JPI6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E10:JZE6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JA10:KJA6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W10:KSW6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S10:LCS6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O10:LMO6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K10:LWK6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G10:MGG6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C10:MQC6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Y10:MZY6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U10:NJU6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Q10:NTQ6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M10:ODM6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I10:ONI6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E10:OXE6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HA10:PHA6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W10:PQW6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S10:QAS6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O10:QKO6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K10:QUK6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G10:REG6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C10:ROC6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Y10:RXY6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U10:SHU6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Q10:SRQ6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M10:TBM6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I10:TLI6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E10:TVE6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FA10:UFA6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W10:UOW6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S10:UYS6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O10:VIO6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K10:VSK6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G10:WCG6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C10:WMC6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Y10:WVY63 WVX983051:WVX983153 WVX65547:WVX65649 WVX131083:WVX131185 WVX196619:WVX196721 WVX262155:WVX262257 WVX327691:WVX327793 WVX393227:WVX393329 WVX458763:WVX458865 WVX524299:WVX524401 WVX589835:WVX589937 WVX655371:WVX655473 WVX720907:WVX721009 WVX786443:WVX786545 WVX851979:WVX852081 WVX917515:WVX917617 JM10:JM63 WVY66:WVY114 WMC66:WMC114 WCG66:WCG114 VSK66:VSK114 VIO66:VIO114 UYS66:UYS114 UOW66:UOW114 UFA66:UFA114 TVE66:TVE114 TLI66:TLI114 TBM66:TBM114 SRQ66:SRQ114 SHU66:SHU114 RXY66:RXY114 ROC66:ROC114 REG66:REG114 QUK66:QUK114 QKO66:QKO114 QAS66:QAS114 PQW66:PQW114 PHA66:PHA114 OXE66:OXE114 ONI66:ONI114 ODM66:ODM114 NTQ66:NTQ114 NJU66:NJU114 MZY66:MZY114 MQC66:MQC114 MGG66:MGG114 LWK66:LWK114 LMO66:LMO114 LCS66:LCS114 KSW66:KSW114 KJA66:KJA114 JZE66:JZE114 JPI66:JPI114 JFM66:JFM114 IVQ66:IVQ114 ILU66:ILU114 IBY66:IBY114 HSC66:HSC114 HIG66:HIG114 GYK66:GYK114 GOO66:GOO114 GES66:GES114 FUW66:FUW114 FLA66:FLA114 FBE66:FBE114 ERI66:ERI114 EHM66:EHM114 DXQ66:DXQ114 DNU66:DNU114 DDY66:DDY114 CUC66:CUC114 CKG66:CKG114 CAK66:CAK114 BQO66:BQO114 BGS66:BGS114 AWW66:AWW114 ANA66:ANA114 ADE66:ADE114 TI66:TI114 JM66:JM114" xr:uid="{FDCD139A-29C7-45CC-9870-CC9DDEA78921}"/>
    <dataValidation allowBlank="1" showInputMessage="1" showErrorMessage="1" prompt="INPUT Quarterly Assessment Highest Possible Score" sqref="S65547:T65548 S131083:T131084 S196619:T196620 S262155:T262156 S327691:T327692 S393227:T393228 S458763:T458764 S524299:T524300 S589835:T589836 S655371:T655372 S720907:T720908 S786443:T786444 S851979:T851980 S917515:T917516 S983051:T983052 JN10:JN12 JM65547:JM65548 JM131083:JM131084 JM196619:JM196620 JM262155:JM262156 JM327691:JM327692 JM393227:JM393228 JM458763:JM458764 JM524299:JM524300 JM589835:JM589836 JM655371:JM655372 JM720907:JM720908 JM786443:JM786444 JM851979:JM851980 JM917515:JM917516 JM983051:JM983052 TJ10:TJ12 TI65547:TI65548 TI131083:TI131084 TI196619:TI196620 TI262155:TI262156 TI327691:TI327692 TI393227:TI393228 TI458763:TI458764 TI524299:TI524300 TI589835:TI589836 TI655371:TI655372 TI720907:TI720908 TI786443:TI786444 TI851979:TI851980 TI917515:TI917516 TI983051:TI983052 ADF10:ADF12 ADE65547:ADE65548 ADE131083:ADE131084 ADE196619:ADE196620 ADE262155:ADE262156 ADE327691:ADE327692 ADE393227:ADE393228 ADE458763:ADE458764 ADE524299:ADE524300 ADE589835:ADE589836 ADE655371:ADE655372 ADE720907:ADE720908 ADE786443:ADE786444 ADE851979:ADE851980 ADE917515:ADE917516 ADE983051:ADE983052 ANB10:ANB12 ANA65547:ANA65548 ANA131083:ANA131084 ANA196619:ANA196620 ANA262155:ANA262156 ANA327691:ANA327692 ANA393227:ANA393228 ANA458763:ANA458764 ANA524299:ANA524300 ANA589835:ANA589836 ANA655371:ANA655372 ANA720907:ANA720908 ANA786443:ANA786444 ANA851979:ANA851980 ANA917515:ANA917516 ANA983051:ANA983052 AWX10:AWX12 AWW65547:AWW65548 AWW131083:AWW131084 AWW196619:AWW196620 AWW262155:AWW262156 AWW327691:AWW327692 AWW393227:AWW393228 AWW458763:AWW458764 AWW524299:AWW524300 AWW589835:AWW589836 AWW655371:AWW655372 AWW720907:AWW720908 AWW786443:AWW786444 AWW851979:AWW851980 AWW917515:AWW917516 AWW983051:AWW983052 BGT10:BGT12 BGS65547:BGS65548 BGS131083:BGS131084 BGS196619:BGS196620 BGS262155:BGS262156 BGS327691:BGS327692 BGS393227:BGS393228 BGS458763:BGS458764 BGS524299:BGS524300 BGS589835:BGS589836 BGS655371:BGS655372 BGS720907:BGS720908 BGS786443:BGS786444 BGS851979:BGS851980 BGS917515:BGS917516 BGS983051:BGS983052 BQP10:BQP12 BQO65547:BQO65548 BQO131083:BQO131084 BQO196619:BQO196620 BQO262155:BQO262156 BQO327691:BQO327692 BQO393227:BQO393228 BQO458763:BQO458764 BQO524299:BQO524300 BQO589835:BQO589836 BQO655371:BQO655372 BQO720907:BQO720908 BQO786443:BQO786444 BQO851979:BQO851980 BQO917515:BQO917516 BQO983051:BQO983052 CAL10:CAL12 CAK65547:CAK65548 CAK131083:CAK131084 CAK196619:CAK196620 CAK262155:CAK262156 CAK327691:CAK327692 CAK393227:CAK393228 CAK458763:CAK458764 CAK524299:CAK524300 CAK589835:CAK589836 CAK655371:CAK655372 CAK720907:CAK720908 CAK786443:CAK786444 CAK851979:CAK851980 CAK917515:CAK917516 CAK983051:CAK983052 CKH10:CKH12 CKG65547:CKG65548 CKG131083:CKG131084 CKG196619:CKG196620 CKG262155:CKG262156 CKG327691:CKG327692 CKG393227:CKG393228 CKG458763:CKG458764 CKG524299:CKG524300 CKG589835:CKG589836 CKG655371:CKG655372 CKG720907:CKG720908 CKG786443:CKG786444 CKG851979:CKG851980 CKG917515:CKG917516 CKG983051:CKG983052 CUD10:CUD12 CUC65547:CUC65548 CUC131083:CUC131084 CUC196619:CUC196620 CUC262155:CUC262156 CUC327691:CUC327692 CUC393227:CUC393228 CUC458763:CUC458764 CUC524299:CUC524300 CUC589835:CUC589836 CUC655371:CUC655372 CUC720907:CUC720908 CUC786443:CUC786444 CUC851979:CUC851980 CUC917515:CUC917516 CUC983051:CUC983052 DDZ10:DDZ12 DDY65547:DDY65548 DDY131083:DDY131084 DDY196619:DDY196620 DDY262155:DDY262156 DDY327691:DDY327692 DDY393227:DDY393228 DDY458763:DDY458764 DDY524299:DDY524300 DDY589835:DDY589836 DDY655371:DDY655372 DDY720907:DDY720908 DDY786443:DDY786444 DDY851979:DDY851980 DDY917515:DDY917516 DDY983051:DDY983052 DNV10:DNV12 DNU65547:DNU65548 DNU131083:DNU131084 DNU196619:DNU196620 DNU262155:DNU262156 DNU327691:DNU327692 DNU393227:DNU393228 DNU458763:DNU458764 DNU524299:DNU524300 DNU589835:DNU589836 DNU655371:DNU655372 DNU720907:DNU720908 DNU786443:DNU786444 DNU851979:DNU851980 DNU917515:DNU917516 DNU983051:DNU983052 DXR10:DXR12 DXQ65547:DXQ65548 DXQ131083:DXQ131084 DXQ196619:DXQ196620 DXQ262155:DXQ262156 DXQ327691:DXQ327692 DXQ393227:DXQ393228 DXQ458763:DXQ458764 DXQ524299:DXQ524300 DXQ589835:DXQ589836 DXQ655371:DXQ655372 DXQ720907:DXQ720908 DXQ786443:DXQ786444 DXQ851979:DXQ851980 DXQ917515:DXQ917516 DXQ983051:DXQ983052 EHN10:EHN12 EHM65547:EHM65548 EHM131083:EHM131084 EHM196619:EHM196620 EHM262155:EHM262156 EHM327691:EHM327692 EHM393227:EHM393228 EHM458763:EHM458764 EHM524299:EHM524300 EHM589835:EHM589836 EHM655371:EHM655372 EHM720907:EHM720908 EHM786443:EHM786444 EHM851979:EHM851980 EHM917515:EHM917516 EHM983051:EHM983052 ERJ10:ERJ12 ERI65547:ERI65548 ERI131083:ERI131084 ERI196619:ERI196620 ERI262155:ERI262156 ERI327691:ERI327692 ERI393227:ERI393228 ERI458763:ERI458764 ERI524299:ERI524300 ERI589835:ERI589836 ERI655371:ERI655372 ERI720907:ERI720908 ERI786443:ERI786444 ERI851979:ERI851980 ERI917515:ERI917516 ERI983051:ERI983052 FBF10:FBF12 FBE65547:FBE65548 FBE131083:FBE131084 FBE196619:FBE196620 FBE262155:FBE262156 FBE327691:FBE327692 FBE393227:FBE393228 FBE458763:FBE458764 FBE524299:FBE524300 FBE589835:FBE589836 FBE655371:FBE655372 FBE720907:FBE720908 FBE786443:FBE786444 FBE851979:FBE851980 FBE917515:FBE917516 FBE983051:FBE983052 FLB10:FLB12 FLA65547:FLA65548 FLA131083:FLA131084 FLA196619:FLA196620 FLA262155:FLA262156 FLA327691:FLA327692 FLA393227:FLA393228 FLA458763:FLA458764 FLA524299:FLA524300 FLA589835:FLA589836 FLA655371:FLA655372 FLA720907:FLA720908 FLA786443:FLA786444 FLA851979:FLA851980 FLA917515:FLA917516 FLA983051:FLA983052 FUX10:FUX12 FUW65547:FUW65548 FUW131083:FUW131084 FUW196619:FUW196620 FUW262155:FUW262156 FUW327691:FUW327692 FUW393227:FUW393228 FUW458763:FUW458764 FUW524299:FUW524300 FUW589835:FUW589836 FUW655371:FUW655372 FUW720907:FUW720908 FUW786443:FUW786444 FUW851979:FUW851980 FUW917515:FUW917516 FUW983051:FUW983052 GET10:GET12 GES65547:GES65548 GES131083:GES131084 GES196619:GES196620 GES262155:GES262156 GES327691:GES327692 GES393227:GES393228 GES458763:GES458764 GES524299:GES524300 GES589835:GES589836 GES655371:GES655372 GES720907:GES720908 GES786443:GES786444 GES851979:GES851980 GES917515:GES917516 GES983051:GES983052 GOP10:GOP12 GOO65547:GOO65548 GOO131083:GOO131084 GOO196619:GOO196620 GOO262155:GOO262156 GOO327691:GOO327692 GOO393227:GOO393228 GOO458763:GOO458764 GOO524299:GOO524300 GOO589835:GOO589836 GOO655371:GOO655372 GOO720907:GOO720908 GOO786443:GOO786444 GOO851979:GOO851980 GOO917515:GOO917516 GOO983051:GOO983052 GYL10:GYL12 GYK65547:GYK65548 GYK131083:GYK131084 GYK196619:GYK196620 GYK262155:GYK262156 GYK327691:GYK327692 GYK393227:GYK393228 GYK458763:GYK458764 GYK524299:GYK524300 GYK589835:GYK589836 GYK655371:GYK655372 GYK720907:GYK720908 GYK786443:GYK786444 GYK851979:GYK851980 GYK917515:GYK917516 GYK983051:GYK983052 HIH10:HIH12 HIG65547:HIG65548 HIG131083:HIG131084 HIG196619:HIG196620 HIG262155:HIG262156 HIG327691:HIG327692 HIG393227:HIG393228 HIG458763:HIG458764 HIG524299:HIG524300 HIG589835:HIG589836 HIG655371:HIG655372 HIG720907:HIG720908 HIG786443:HIG786444 HIG851979:HIG851980 HIG917515:HIG917516 HIG983051:HIG983052 HSD10:HSD12 HSC65547:HSC65548 HSC131083:HSC131084 HSC196619:HSC196620 HSC262155:HSC262156 HSC327691:HSC327692 HSC393227:HSC393228 HSC458763:HSC458764 HSC524299:HSC524300 HSC589835:HSC589836 HSC655371:HSC655372 HSC720907:HSC720908 HSC786443:HSC786444 HSC851979:HSC851980 HSC917515:HSC917516 HSC983051:HSC983052 IBZ10:IBZ12 IBY65547:IBY65548 IBY131083:IBY131084 IBY196619:IBY196620 IBY262155:IBY262156 IBY327691:IBY327692 IBY393227:IBY393228 IBY458763:IBY458764 IBY524299:IBY524300 IBY589835:IBY589836 IBY655371:IBY655372 IBY720907:IBY720908 IBY786443:IBY786444 IBY851979:IBY851980 IBY917515:IBY917516 IBY983051:IBY983052 ILV10:ILV12 ILU65547:ILU65548 ILU131083:ILU131084 ILU196619:ILU196620 ILU262155:ILU262156 ILU327691:ILU327692 ILU393227:ILU393228 ILU458763:ILU458764 ILU524299:ILU524300 ILU589835:ILU589836 ILU655371:ILU655372 ILU720907:ILU720908 ILU786443:ILU786444 ILU851979:ILU851980 ILU917515:ILU917516 ILU983051:ILU983052 IVR10:IVR12 IVQ65547:IVQ65548 IVQ131083:IVQ131084 IVQ196619:IVQ196620 IVQ262155:IVQ262156 IVQ327691:IVQ327692 IVQ393227:IVQ393228 IVQ458763:IVQ458764 IVQ524299:IVQ524300 IVQ589835:IVQ589836 IVQ655371:IVQ655372 IVQ720907:IVQ720908 IVQ786443:IVQ786444 IVQ851979:IVQ851980 IVQ917515:IVQ917516 IVQ983051:IVQ983052 JFN10:JFN12 JFM65547:JFM65548 JFM131083:JFM131084 JFM196619:JFM196620 JFM262155:JFM262156 JFM327691:JFM327692 JFM393227:JFM393228 JFM458763:JFM458764 JFM524299:JFM524300 JFM589835:JFM589836 JFM655371:JFM655372 JFM720907:JFM720908 JFM786443:JFM786444 JFM851979:JFM851980 JFM917515:JFM917516 JFM983051:JFM983052 JPJ10:JPJ12 JPI65547:JPI65548 JPI131083:JPI131084 JPI196619:JPI196620 JPI262155:JPI262156 JPI327691:JPI327692 JPI393227:JPI393228 JPI458763:JPI458764 JPI524299:JPI524300 JPI589835:JPI589836 JPI655371:JPI655372 JPI720907:JPI720908 JPI786443:JPI786444 JPI851979:JPI851980 JPI917515:JPI917516 JPI983051:JPI983052 JZF10:JZF12 JZE65547:JZE65548 JZE131083:JZE131084 JZE196619:JZE196620 JZE262155:JZE262156 JZE327691:JZE327692 JZE393227:JZE393228 JZE458763:JZE458764 JZE524299:JZE524300 JZE589835:JZE589836 JZE655371:JZE655372 JZE720907:JZE720908 JZE786443:JZE786444 JZE851979:JZE851980 JZE917515:JZE917516 JZE983051:JZE983052 KJB10:KJB12 KJA65547:KJA65548 KJA131083:KJA131084 KJA196619:KJA196620 KJA262155:KJA262156 KJA327691:KJA327692 KJA393227:KJA393228 KJA458763:KJA458764 KJA524299:KJA524300 KJA589835:KJA589836 KJA655371:KJA655372 KJA720907:KJA720908 KJA786443:KJA786444 KJA851979:KJA851980 KJA917515:KJA917516 KJA983051:KJA983052 KSX10:KSX12 KSW65547:KSW65548 KSW131083:KSW131084 KSW196619:KSW196620 KSW262155:KSW262156 KSW327691:KSW327692 KSW393227:KSW393228 KSW458763:KSW458764 KSW524299:KSW524300 KSW589835:KSW589836 KSW655371:KSW655372 KSW720907:KSW720908 KSW786443:KSW786444 KSW851979:KSW851980 KSW917515:KSW917516 KSW983051:KSW983052 LCT10:LCT12 LCS65547:LCS65548 LCS131083:LCS131084 LCS196619:LCS196620 LCS262155:LCS262156 LCS327691:LCS327692 LCS393227:LCS393228 LCS458763:LCS458764 LCS524299:LCS524300 LCS589835:LCS589836 LCS655371:LCS655372 LCS720907:LCS720908 LCS786443:LCS786444 LCS851979:LCS851980 LCS917515:LCS917516 LCS983051:LCS983052 LMP10:LMP12 LMO65547:LMO65548 LMO131083:LMO131084 LMO196619:LMO196620 LMO262155:LMO262156 LMO327691:LMO327692 LMO393227:LMO393228 LMO458763:LMO458764 LMO524299:LMO524300 LMO589835:LMO589836 LMO655371:LMO655372 LMO720907:LMO720908 LMO786443:LMO786444 LMO851979:LMO851980 LMO917515:LMO917516 LMO983051:LMO983052 LWL10:LWL12 LWK65547:LWK65548 LWK131083:LWK131084 LWK196619:LWK196620 LWK262155:LWK262156 LWK327691:LWK327692 LWK393227:LWK393228 LWK458763:LWK458764 LWK524299:LWK524300 LWK589835:LWK589836 LWK655371:LWK655372 LWK720907:LWK720908 LWK786443:LWK786444 LWK851979:LWK851980 LWK917515:LWK917516 LWK983051:LWK983052 MGH10:MGH12 MGG65547:MGG65548 MGG131083:MGG131084 MGG196619:MGG196620 MGG262155:MGG262156 MGG327691:MGG327692 MGG393227:MGG393228 MGG458763:MGG458764 MGG524299:MGG524300 MGG589835:MGG589836 MGG655371:MGG655372 MGG720907:MGG720908 MGG786443:MGG786444 MGG851979:MGG851980 MGG917515:MGG917516 MGG983051:MGG983052 MQD10:MQD12 MQC65547:MQC65548 MQC131083:MQC131084 MQC196619:MQC196620 MQC262155:MQC262156 MQC327691:MQC327692 MQC393227:MQC393228 MQC458763:MQC458764 MQC524299:MQC524300 MQC589835:MQC589836 MQC655371:MQC655372 MQC720907:MQC720908 MQC786443:MQC786444 MQC851979:MQC851980 MQC917515:MQC917516 MQC983051:MQC983052 MZZ10:MZZ12 MZY65547:MZY65548 MZY131083:MZY131084 MZY196619:MZY196620 MZY262155:MZY262156 MZY327691:MZY327692 MZY393227:MZY393228 MZY458763:MZY458764 MZY524299:MZY524300 MZY589835:MZY589836 MZY655371:MZY655372 MZY720907:MZY720908 MZY786443:MZY786444 MZY851979:MZY851980 MZY917515:MZY917516 MZY983051:MZY983052 NJV10:NJV12 NJU65547:NJU65548 NJU131083:NJU131084 NJU196619:NJU196620 NJU262155:NJU262156 NJU327691:NJU327692 NJU393227:NJU393228 NJU458763:NJU458764 NJU524299:NJU524300 NJU589835:NJU589836 NJU655371:NJU655372 NJU720907:NJU720908 NJU786443:NJU786444 NJU851979:NJU851980 NJU917515:NJU917516 NJU983051:NJU983052 NTR10:NTR12 NTQ65547:NTQ65548 NTQ131083:NTQ131084 NTQ196619:NTQ196620 NTQ262155:NTQ262156 NTQ327691:NTQ327692 NTQ393227:NTQ393228 NTQ458763:NTQ458764 NTQ524299:NTQ524300 NTQ589835:NTQ589836 NTQ655371:NTQ655372 NTQ720907:NTQ720908 NTQ786443:NTQ786444 NTQ851979:NTQ851980 NTQ917515:NTQ917516 NTQ983051:NTQ983052 ODN10:ODN12 ODM65547:ODM65548 ODM131083:ODM131084 ODM196619:ODM196620 ODM262155:ODM262156 ODM327691:ODM327692 ODM393227:ODM393228 ODM458763:ODM458764 ODM524299:ODM524300 ODM589835:ODM589836 ODM655371:ODM655372 ODM720907:ODM720908 ODM786443:ODM786444 ODM851979:ODM851980 ODM917515:ODM917516 ODM983051:ODM983052 ONJ10:ONJ12 ONI65547:ONI65548 ONI131083:ONI131084 ONI196619:ONI196620 ONI262155:ONI262156 ONI327691:ONI327692 ONI393227:ONI393228 ONI458763:ONI458764 ONI524299:ONI524300 ONI589835:ONI589836 ONI655371:ONI655372 ONI720907:ONI720908 ONI786443:ONI786444 ONI851979:ONI851980 ONI917515:ONI917516 ONI983051:ONI983052 OXF10:OXF12 OXE65547:OXE65548 OXE131083:OXE131084 OXE196619:OXE196620 OXE262155:OXE262156 OXE327691:OXE327692 OXE393227:OXE393228 OXE458763:OXE458764 OXE524299:OXE524300 OXE589835:OXE589836 OXE655371:OXE655372 OXE720907:OXE720908 OXE786443:OXE786444 OXE851979:OXE851980 OXE917515:OXE917516 OXE983051:OXE983052 PHB10:PHB12 PHA65547:PHA65548 PHA131083:PHA131084 PHA196619:PHA196620 PHA262155:PHA262156 PHA327691:PHA327692 PHA393227:PHA393228 PHA458763:PHA458764 PHA524299:PHA524300 PHA589835:PHA589836 PHA655371:PHA655372 PHA720907:PHA720908 PHA786443:PHA786444 PHA851979:PHA851980 PHA917515:PHA917516 PHA983051:PHA983052 PQX10:PQX12 PQW65547:PQW65548 PQW131083:PQW131084 PQW196619:PQW196620 PQW262155:PQW262156 PQW327691:PQW327692 PQW393227:PQW393228 PQW458763:PQW458764 PQW524299:PQW524300 PQW589835:PQW589836 PQW655371:PQW655372 PQW720907:PQW720908 PQW786443:PQW786444 PQW851979:PQW851980 PQW917515:PQW917516 PQW983051:PQW983052 QAT10:QAT12 QAS65547:QAS65548 QAS131083:QAS131084 QAS196619:QAS196620 QAS262155:QAS262156 QAS327691:QAS327692 QAS393227:QAS393228 QAS458763:QAS458764 QAS524299:QAS524300 QAS589835:QAS589836 QAS655371:QAS655372 QAS720907:QAS720908 QAS786443:QAS786444 QAS851979:QAS851980 QAS917515:QAS917516 QAS983051:QAS983052 QKP10:QKP12 QKO65547:QKO65548 QKO131083:QKO131084 QKO196619:QKO196620 QKO262155:QKO262156 QKO327691:QKO327692 QKO393227:QKO393228 QKO458763:QKO458764 QKO524299:QKO524300 QKO589835:QKO589836 QKO655371:QKO655372 QKO720907:QKO720908 QKO786443:QKO786444 QKO851979:QKO851980 QKO917515:QKO917516 QKO983051:QKO983052 QUL10:QUL12 QUK65547:QUK65548 QUK131083:QUK131084 QUK196619:QUK196620 QUK262155:QUK262156 QUK327691:QUK327692 QUK393227:QUK393228 QUK458763:QUK458764 QUK524299:QUK524300 QUK589835:QUK589836 QUK655371:QUK655372 QUK720907:QUK720908 QUK786443:QUK786444 QUK851979:QUK851980 QUK917515:QUK917516 QUK983051:QUK983052 REH10:REH12 REG65547:REG65548 REG131083:REG131084 REG196619:REG196620 REG262155:REG262156 REG327691:REG327692 REG393227:REG393228 REG458763:REG458764 REG524299:REG524300 REG589835:REG589836 REG655371:REG655372 REG720907:REG720908 REG786443:REG786444 REG851979:REG851980 REG917515:REG917516 REG983051:REG983052 ROD10:ROD12 ROC65547:ROC65548 ROC131083:ROC131084 ROC196619:ROC196620 ROC262155:ROC262156 ROC327691:ROC327692 ROC393227:ROC393228 ROC458763:ROC458764 ROC524299:ROC524300 ROC589835:ROC589836 ROC655371:ROC655372 ROC720907:ROC720908 ROC786443:ROC786444 ROC851979:ROC851980 ROC917515:ROC917516 ROC983051:ROC983052 RXZ10:RXZ12 RXY65547:RXY65548 RXY131083:RXY131084 RXY196619:RXY196620 RXY262155:RXY262156 RXY327691:RXY327692 RXY393227:RXY393228 RXY458763:RXY458764 RXY524299:RXY524300 RXY589835:RXY589836 RXY655371:RXY655372 RXY720907:RXY720908 RXY786443:RXY786444 RXY851979:RXY851980 RXY917515:RXY917516 RXY983051:RXY983052 SHV10:SHV12 SHU65547:SHU65548 SHU131083:SHU131084 SHU196619:SHU196620 SHU262155:SHU262156 SHU327691:SHU327692 SHU393227:SHU393228 SHU458763:SHU458764 SHU524299:SHU524300 SHU589835:SHU589836 SHU655371:SHU655372 SHU720907:SHU720908 SHU786443:SHU786444 SHU851979:SHU851980 SHU917515:SHU917516 SHU983051:SHU983052 SRR10:SRR12 SRQ65547:SRQ65548 SRQ131083:SRQ131084 SRQ196619:SRQ196620 SRQ262155:SRQ262156 SRQ327691:SRQ327692 SRQ393227:SRQ393228 SRQ458763:SRQ458764 SRQ524299:SRQ524300 SRQ589835:SRQ589836 SRQ655371:SRQ655372 SRQ720907:SRQ720908 SRQ786443:SRQ786444 SRQ851979:SRQ851980 SRQ917515:SRQ917516 SRQ983051:SRQ983052 TBN10:TBN12 TBM65547:TBM65548 TBM131083:TBM131084 TBM196619:TBM196620 TBM262155:TBM262156 TBM327691:TBM327692 TBM393227:TBM393228 TBM458763:TBM458764 TBM524299:TBM524300 TBM589835:TBM589836 TBM655371:TBM655372 TBM720907:TBM720908 TBM786443:TBM786444 TBM851979:TBM851980 TBM917515:TBM917516 TBM983051:TBM983052 TLJ10:TLJ12 TLI65547:TLI65548 TLI131083:TLI131084 TLI196619:TLI196620 TLI262155:TLI262156 TLI327691:TLI327692 TLI393227:TLI393228 TLI458763:TLI458764 TLI524299:TLI524300 TLI589835:TLI589836 TLI655371:TLI655372 TLI720907:TLI720908 TLI786443:TLI786444 TLI851979:TLI851980 TLI917515:TLI917516 TLI983051:TLI983052 TVF10:TVF12 TVE65547:TVE65548 TVE131083:TVE131084 TVE196619:TVE196620 TVE262155:TVE262156 TVE327691:TVE327692 TVE393227:TVE393228 TVE458763:TVE458764 TVE524299:TVE524300 TVE589835:TVE589836 TVE655371:TVE655372 TVE720907:TVE720908 TVE786443:TVE786444 TVE851979:TVE851980 TVE917515:TVE917516 TVE983051:TVE983052 UFB10:UFB12 UFA65547:UFA65548 UFA131083:UFA131084 UFA196619:UFA196620 UFA262155:UFA262156 UFA327691:UFA327692 UFA393227:UFA393228 UFA458763:UFA458764 UFA524299:UFA524300 UFA589835:UFA589836 UFA655371:UFA655372 UFA720907:UFA720908 UFA786443:UFA786444 UFA851979:UFA851980 UFA917515:UFA917516 UFA983051:UFA983052 UOX10:UOX12 UOW65547:UOW65548 UOW131083:UOW131084 UOW196619:UOW196620 UOW262155:UOW262156 UOW327691:UOW327692 UOW393227:UOW393228 UOW458763:UOW458764 UOW524299:UOW524300 UOW589835:UOW589836 UOW655371:UOW655372 UOW720907:UOW720908 UOW786443:UOW786444 UOW851979:UOW851980 UOW917515:UOW917516 UOW983051:UOW983052 UYT10:UYT12 UYS65547:UYS65548 UYS131083:UYS131084 UYS196619:UYS196620 UYS262155:UYS262156 UYS327691:UYS327692 UYS393227:UYS393228 UYS458763:UYS458764 UYS524299:UYS524300 UYS589835:UYS589836 UYS655371:UYS655372 UYS720907:UYS720908 UYS786443:UYS786444 UYS851979:UYS851980 UYS917515:UYS917516 UYS983051:UYS983052 VIP10:VIP12 VIO65547:VIO65548 VIO131083:VIO131084 VIO196619:VIO196620 VIO262155:VIO262156 VIO327691:VIO327692 VIO393227:VIO393228 VIO458763:VIO458764 VIO524299:VIO524300 VIO589835:VIO589836 VIO655371:VIO655372 VIO720907:VIO720908 VIO786443:VIO786444 VIO851979:VIO851980 VIO917515:VIO917516 VIO983051:VIO983052 VSL10:VSL12 VSK65547:VSK65548 VSK131083:VSK131084 VSK196619:VSK196620 VSK262155:VSK262156 VSK327691:VSK327692 VSK393227:VSK393228 VSK458763:VSK458764 VSK524299:VSK524300 VSK589835:VSK589836 VSK655371:VSK655372 VSK720907:VSK720908 VSK786443:VSK786444 VSK851979:VSK851980 VSK917515:VSK917516 VSK983051:VSK983052 WCH10:WCH12 WCG65547:WCG65548 WCG131083:WCG131084 WCG196619:WCG196620 WCG262155:WCG262156 WCG327691:WCG327692 WCG393227:WCG393228 WCG458763:WCG458764 WCG524299:WCG524300 WCG589835:WCG589836 WCG655371:WCG655372 WCG720907:WCG720908 WCG786443:WCG786444 WCG851979:WCG851980 WCG917515:WCG917516 WCG983051:WCG983052 WMD10:WMD12 WMC65547:WMC65548 WMC131083:WMC131084 WMC196619:WMC196620 WMC262155:WMC262156 WMC327691:WMC327692 WMC393227:WMC393228 WMC458763:WMC458764 WMC524299:WMC524300 WMC589835:WMC589836 WMC655371:WMC655372 WMC720907:WMC720908 WMC786443:WMC786444 WMC851979:WMC851980 WMC917515:WMC917516 WMC983051:WMC983052 WVZ10:WVZ12 WVY65547:WVY65548 WVY131083:WVY131084 WVY196619:WVY196620 WVY262155:WVY262156 WVY327691:WVY327692 WVY393227:WVY393228 WVY458763:WVY458764 WVY524299:WVY524300 WVY589835:WVY589836 WVY655371:WVY655372 WVY720907:WVY720908 WVY786443:WVY786444 WVY851979:WVY851980 WVY917515:WVY917516 WVY983051:WVY983052" xr:uid="{3EA8E73F-28CE-4D62-AC2F-64C10DB86B24}"/>
    <dataValidation allowBlank="1" showInputMessage="1" showErrorMessage="1" prompt="Quarterly Assessment Percentage Score" sqref="U65547:U65649 U131083:U131185 U196619:U196721 U262155:U262257 U327691:U327793 U393227:U393329 U458763:U458865 U524299:U524401 U589835:U589937 U655371:U655473 U720907:U721009 U786443:U786545 U851979:U852081 U917515:U917617 U983051:U983153 JN65547:JN65649 JN131083:JN131185 JN196619:JN196721 JN262155:JN262257 JN327691:JN327793 JN393227:JN393329 JN458763:JN458865 JN524299:JN524401 JN589835:JN589937 JN655371:JN655473 JN720907:JN721009 JN786443:JN786545 JN851979:JN852081 JN917515:JN917617 JN983051:JN983153 TK10:TK63 TJ65547:TJ65649 TJ131083:TJ131185 TJ196619:TJ196721 TJ262155:TJ262257 TJ327691:TJ327793 TJ393227:TJ393329 TJ458763:TJ458865 TJ524299:TJ524401 TJ589835:TJ589937 TJ655371:TJ655473 TJ720907:TJ721009 TJ786443:TJ786545 TJ851979:TJ852081 TJ917515:TJ917617 TJ983051:TJ983153 ADG10:ADG6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C10:ANC6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Y10:AWY6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U10:BGU6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Q10:BQQ6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M10:CAM6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I10:CKI6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E10:CUE6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EA10:DEA6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W10:DNW6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S10:DXS6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O10:EHO6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K10:ERK6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G10:FBG6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C10:FLC6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Y10:FUY6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U10:GEU6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Q10:GOQ6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M10:GYM6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I10:HII6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E10:HSE6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CA10:ICA6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W10:ILW6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S10:IVS6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O10:JFO6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K10:JPK6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G10:JZG6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C10:KJC6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Y10:KSY6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U10:LCU6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Q10:LMQ6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M10:LWM6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I10:MGI6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E10:MQE6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NAA10:NAA6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W10:NJW6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S10:NTS6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O10:ODO6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K10:ONK6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G10:OXG6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C10:PHC6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Y10:PQY6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U10:QAU6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Q10:QKQ6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M10:QUM6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I10:REI6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E10:ROE6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YA10:RYA6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W10:SHW6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S10:SRS6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O10:TBO6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K10:TLK6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G10:TVG6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C10:UFC6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Y10:UOY6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U10:UYU6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Q10:VIQ6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M10:VSM6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I10:WCI6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E10:WME6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WA10:WWA63 WVZ983051:WVZ983153 WVZ65547:WVZ65649 WVZ131083:WVZ131185 WVZ196619:WVZ196721 WVZ262155:WVZ262257 WVZ327691:WVZ327793 WVZ393227:WVZ393329 WVZ458763:WVZ458865 WVZ524299:WVZ524401 WVZ589835:WVZ589937 WVZ655371:WVZ655473 WVZ720907:WVZ721009 WVZ786443:WVZ786545 WVZ851979:WVZ852081 WVZ917515:WVZ917617 JO10:JO63 WWA66:WWA114 WME66:WME114 WCI66:WCI114 VSM66:VSM114 VIQ66:VIQ114 UYU66:UYU114 UOY66:UOY114 UFC66:UFC114 TVG66:TVG114 TLK66:TLK114 TBO66:TBO114 SRS66:SRS114 SHW66:SHW114 RYA66:RYA114 ROE66:ROE114 REI66:REI114 QUM66:QUM114 QKQ66:QKQ114 QAU66:QAU114 PQY66:PQY114 PHC66:PHC114 OXG66:OXG114 ONK66:ONK114 ODO66:ODO114 NTS66:NTS114 NJW66:NJW114 NAA66:NAA114 MQE66:MQE114 MGI66:MGI114 LWM66:LWM114 LMQ66:LMQ114 LCU66:LCU114 KSY66:KSY114 KJC66:KJC114 JZG66:JZG114 JPK66:JPK114 JFO66:JFO114 IVS66:IVS114 ILW66:ILW114 ICA66:ICA114 HSE66:HSE114 HII66:HII114 GYM66:GYM114 GOQ66:GOQ114 GEU66:GEU114 FUY66:FUY114 FLC66:FLC114 FBG66:FBG114 ERK66:ERK114 EHO66:EHO114 DXS66:DXS114 DNW66:DNW114 DEA66:DEA114 CUE66:CUE114 CKI66:CKI114 CAM66:CAM114 BQQ66:BQQ114 BGU66:BGU114 AWY66:AWY114 ANC66:ANC114 ADG66:ADG114 TK66:TK114 JO66:JO114" xr:uid="{867540F9-B8E9-4E8D-B47E-6634B05AC45D}"/>
    <dataValidation allowBlank="1" showInputMessage="1" showErrorMessage="1" prompt="Quarterly Assessment Weighted Score" sqref="V65547:V65649 V131083:V131185 V196619:V196721 V262155:V262257 V327691:V327793 V393227:V393329 V458763:V458865 V524299:V524401 V589835:V589937 V655371:V655473 V720907:V721009 V786443:V786545 V851979:V852081 V917515:V917617 V983051:V983153 JO65547:JO65649 JO131083:JO131185 JO196619:JO196721 JO262155:JO262257 JO327691:JO327793 JO393227:JO393329 JO458763:JO458865 JO524299:JO524401 JO589835:JO589937 JO655371:JO655473 JO720907:JO721009 JO786443:JO786545 JO851979:JO852081 JO917515:JO917617 JO983051:JO983153 TL10:TL63 TK65547:TK65649 TK131083:TK131185 TK196619:TK196721 TK262155:TK262257 TK327691:TK327793 TK393227:TK393329 TK458763:TK458865 TK524299:TK524401 TK589835:TK589937 TK655371:TK655473 TK720907:TK721009 TK786443:TK786545 TK851979:TK852081 TK917515:TK917617 TK983051:TK983153 ADH10:ADH63 ADG65547:ADG65649 ADG131083:ADG131185 ADG196619:ADG196721 ADG262155:ADG262257 ADG327691:ADG327793 ADG393227:ADG393329 ADG458763:ADG458865 ADG524299:ADG524401 ADG589835:ADG589937 ADG655371:ADG655473 ADG720907:ADG721009 ADG786443:ADG786545 ADG851979:ADG852081 ADG917515:ADG917617 ADG983051:ADG983153 AND10:AND63 ANC65547:ANC65649 ANC131083:ANC131185 ANC196619:ANC196721 ANC262155:ANC262257 ANC327691:ANC327793 ANC393227:ANC393329 ANC458763:ANC458865 ANC524299:ANC524401 ANC589835:ANC589937 ANC655371:ANC655473 ANC720907:ANC721009 ANC786443:ANC786545 ANC851979:ANC852081 ANC917515:ANC917617 ANC983051:ANC983153 AWZ10:AWZ63 AWY65547:AWY65649 AWY131083:AWY131185 AWY196619:AWY196721 AWY262155:AWY262257 AWY327691:AWY327793 AWY393227:AWY393329 AWY458763:AWY458865 AWY524299:AWY524401 AWY589835:AWY589937 AWY655371:AWY655473 AWY720907:AWY721009 AWY786443:AWY786545 AWY851979:AWY852081 AWY917515:AWY917617 AWY983051:AWY983153 BGV10:BGV63 BGU65547:BGU65649 BGU131083:BGU131185 BGU196619:BGU196721 BGU262155:BGU262257 BGU327691:BGU327793 BGU393227:BGU393329 BGU458763:BGU458865 BGU524299:BGU524401 BGU589835:BGU589937 BGU655371:BGU655473 BGU720907:BGU721009 BGU786443:BGU786545 BGU851979:BGU852081 BGU917515:BGU917617 BGU983051:BGU983153 BQR10:BQR63 BQQ65547:BQQ65649 BQQ131083:BQQ131185 BQQ196619:BQQ196721 BQQ262155:BQQ262257 BQQ327691:BQQ327793 BQQ393227:BQQ393329 BQQ458763:BQQ458865 BQQ524299:BQQ524401 BQQ589835:BQQ589937 BQQ655371:BQQ655473 BQQ720907:BQQ721009 BQQ786443:BQQ786545 BQQ851979:BQQ852081 BQQ917515:BQQ917617 BQQ983051:BQQ983153 CAN10:CAN63 CAM65547:CAM65649 CAM131083:CAM131185 CAM196619:CAM196721 CAM262155:CAM262257 CAM327691:CAM327793 CAM393227:CAM393329 CAM458763:CAM458865 CAM524299:CAM524401 CAM589835:CAM589937 CAM655371:CAM655473 CAM720907:CAM721009 CAM786443:CAM786545 CAM851979:CAM852081 CAM917515:CAM917617 CAM983051:CAM983153 CKJ10:CKJ63 CKI65547:CKI65649 CKI131083:CKI131185 CKI196619:CKI196721 CKI262155:CKI262257 CKI327691:CKI327793 CKI393227:CKI393329 CKI458763:CKI458865 CKI524299:CKI524401 CKI589835:CKI589937 CKI655371:CKI655473 CKI720907:CKI721009 CKI786443:CKI786545 CKI851979:CKI852081 CKI917515:CKI917617 CKI983051:CKI983153 CUF10:CUF63 CUE65547:CUE65649 CUE131083:CUE131185 CUE196619:CUE196721 CUE262155:CUE262257 CUE327691:CUE327793 CUE393227:CUE393329 CUE458763:CUE458865 CUE524299:CUE524401 CUE589835:CUE589937 CUE655371:CUE655473 CUE720907:CUE721009 CUE786443:CUE786545 CUE851979:CUE852081 CUE917515:CUE917617 CUE983051:CUE983153 DEB10:DEB63 DEA65547:DEA65649 DEA131083:DEA131185 DEA196619:DEA196721 DEA262155:DEA262257 DEA327691:DEA327793 DEA393227:DEA393329 DEA458763:DEA458865 DEA524299:DEA524401 DEA589835:DEA589937 DEA655371:DEA655473 DEA720907:DEA721009 DEA786443:DEA786545 DEA851979:DEA852081 DEA917515:DEA917617 DEA983051:DEA983153 DNX10:DNX63 DNW65547:DNW65649 DNW131083:DNW131185 DNW196619:DNW196721 DNW262155:DNW262257 DNW327691:DNW327793 DNW393227:DNW393329 DNW458763:DNW458865 DNW524299:DNW524401 DNW589835:DNW589937 DNW655371:DNW655473 DNW720907:DNW721009 DNW786443:DNW786545 DNW851979:DNW852081 DNW917515:DNW917617 DNW983051:DNW983153 DXT10:DXT63 DXS65547:DXS65649 DXS131083:DXS131185 DXS196619:DXS196721 DXS262155:DXS262257 DXS327691:DXS327793 DXS393227:DXS393329 DXS458763:DXS458865 DXS524299:DXS524401 DXS589835:DXS589937 DXS655371:DXS655473 DXS720907:DXS721009 DXS786443:DXS786545 DXS851979:DXS852081 DXS917515:DXS917617 DXS983051:DXS983153 EHP10:EHP63 EHO65547:EHO65649 EHO131083:EHO131185 EHO196619:EHO196721 EHO262155:EHO262257 EHO327691:EHO327793 EHO393227:EHO393329 EHO458763:EHO458865 EHO524299:EHO524401 EHO589835:EHO589937 EHO655371:EHO655473 EHO720907:EHO721009 EHO786443:EHO786545 EHO851979:EHO852081 EHO917515:EHO917617 EHO983051:EHO983153 ERL10:ERL63 ERK65547:ERK65649 ERK131083:ERK131185 ERK196619:ERK196721 ERK262155:ERK262257 ERK327691:ERK327793 ERK393227:ERK393329 ERK458763:ERK458865 ERK524299:ERK524401 ERK589835:ERK589937 ERK655371:ERK655473 ERK720907:ERK721009 ERK786443:ERK786545 ERK851979:ERK852081 ERK917515:ERK917617 ERK983051:ERK983153 FBH10:FBH63 FBG65547:FBG65649 FBG131083:FBG131185 FBG196619:FBG196721 FBG262155:FBG262257 FBG327691:FBG327793 FBG393227:FBG393329 FBG458763:FBG458865 FBG524299:FBG524401 FBG589835:FBG589937 FBG655371:FBG655473 FBG720907:FBG721009 FBG786443:FBG786545 FBG851979:FBG852081 FBG917515:FBG917617 FBG983051:FBG983153 FLD10:FLD63 FLC65547:FLC65649 FLC131083:FLC131185 FLC196619:FLC196721 FLC262155:FLC262257 FLC327691:FLC327793 FLC393227:FLC393329 FLC458763:FLC458865 FLC524299:FLC524401 FLC589835:FLC589937 FLC655371:FLC655473 FLC720907:FLC721009 FLC786443:FLC786545 FLC851979:FLC852081 FLC917515:FLC917617 FLC983051:FLC983153 FUZ10:FUZ63 FUY65547:FUY65649 FUY131083:FUY131185 FUY196619:FUY196721 FUY262155:FUY262257 FUY327691:FUY327793 FUY393227:FUY393329 FUY458763:FUY458865 FUY524299:FUY524401 FUY589835:FUY589937 FUY655371:FUY655473 FUY720907:FUY721009 FUY786443:FUY786545 FUY851979:FUY852081 FUY917515:FUY917617 FUY983051:FUY983153 GEV10:GEV63 GEU65547:GEU65649 GEU131083:GEU131185 GEU196619:GEU196721 GEU262155:GEU262257 GEU327691:GEU327793 GEU393227:GEU393329 GEU458763:GEU458865 GEU524299:GEU524401 GEU589835:GEU589937 GEU655371:GEU655473 GEU720907:GEU721009 GEU786443:GEU786545 GEU851979:GEU852081 GEU917515:GEU917617 GEU983051:GEU983153 GOR10:GOR63 GOQ65547:GOQ65649 GOQ131083:GOQ131185 GOQ196619:GOQ196721 GOQ262155:GOQ262257 GOQ327691:GOQ327793 GOQ393227:GOQ393329 GOQ458763:GOQ458865 GOQ524299:GOQ524401 GOQ589835:GOQ589937 GOQ655371:GOQ655473 GOQ720907:GOQ721009 GOQ786443:GOQ786545 GOQ851979:GOQ852081 GOQ917515:GOQ917617 GOQ983051:GOQ983153 GYN10:GYN63 GYM65547:GYM65649 GYM131083:GYM131185 GYM196619:GYM196721 GYM262155:GYM262257 GYM327691:GYM327793 GYM393227:GYM393329 GYM458763:GYM458865 GYM524299:GYM524401 GYM589835:GYM589937 GYM655371:GYM655473 GYM720907:GYM721009 GYM786443:GYM786545 GYM851979:GYM852081 GYM917515:GYM917617 GYM983051:GYM983153 HIJ10:HIJ63 HII65547:HII65649 HII131083:HII131185 HII196619:HII196721 HII262155:HII262257 HII327691:HII327793 HII393227:HII393329 HII458763:HII458865 HII524299:HII524401 HII589835:HII589937 HII655371:HII655473 HII720907:HII721009 HII786443:HII786545 HII851979:HII852081 HII917515:HII917617 HII983051:HII983153 HSF10:HSF63 HSE65547:HSE65649 HSE131083:HSE131185 HSE196619:HSE196721 HSE262155:HSE262257 HSE327691:HSE327793 HSE393227:HSE393329 HSE458763:HSE458865 HSE524299:HSE524401 HSE589835:HSE589937 HSE655371:HSE655473 HSE720907:HSE721009 HSE786443:HSE786545 HSE851979:HSE852081 HSE917515:HSE917617 HSE983051:HSE983153 ICB10:ICB63 ICA65547:ICA65649 ICA131083:ICA131185 ICA196619:ICA196721 ICA262155:ICA262257 ICA327691:ICA327793 ICA393227:ICA393329 ICA458763:ICA458865 ICA524299:ICA524401 ICA589835:ICA589937 ICA655371:ICA655473 ICA720907:ICA721009 ICA786443:ICA786545 ICA851979:ICA852081 ICA917515:ICA917617 ICA983051:ICA983153 ILX10:ILX63 ILW65547:ILW65649 ILW131083:ILW131185 ILW196619:ILW196721 ILW262155:ILW262257 ILW327691:ILW327793 ILW393227:ILW393329 ILW458763:ILW458865 ILW524299:ILW524401 ILW589835:ILW589937 ILW655371:ILW655473 ILW720907:ILW721009 ILW786443:ILW786545 ILW851979:ILW852081 ILW917515:ILW917617 ILW983051:ILW983153 IVT10:IVT63 IVS65547:IVS65649 IVS131083:IVS131185 IVS196619:IVS196721 IVS262155:IVS262257 IVS327691:IVS327793 IVS393227:IVS393329 IVS458763:IVS458865 IVS524299:IVS524401 IVS589835:IVS589937 IVS655371:IVS655473 IVS720907:IVS721009 IVS786443:IVS786545 IVS851979:IVS852081 IVS917515:IVS917617 IVS983051:IVS983153 JFP10:JFP63 JFO65547:JFO65649 JFO131083:JFO131185 JFO196619:JFO196721 JFO262155:JFO262257 JFO327691:JFO327793 JFO393227:JFO393329 JFO458763:JFO458865 JFO524299:JFO524401 JFO589835:JFO589937 JFO655371:JFO655473 JFO720907:JFO721009 JFO786443:JFO786545 JFO851979:JFO852081 JFO917515:JFO917617 JFO983051:JFO983153 JPL10:JPL63 JPK65547:JPK65649 JPK131083:JPK131185 JPK196619:JPK196721 JPK262155:JPK262257 JPK327691:JPK327793 JPK393227:JPK393329 JPK458763:JPK458865 JPK524299:JPK524401 JPK589835:JPK589937 JPK655371:JPK655473 JPK720907:JPK721009 JPK786443:JPK786545 JPK851979:JPK852081 JPK917515:JPK917617 JPK983051:JPK983153 JZH10:JZH63 JZG65547:JZG65649 JZG131083:JZG131185 JZG196619:JZG196721 JZG262155:JZG262257 JZG327691:JZG327793 JZG393227:JZG393329 JZG458763:JZG458865 JZG524299:JZG524401 JZG589835:JZG589937 JZG655371:JZG655473 JZG720907:JZG721009 JZG786443:JZG786545 JZG851979:JZG852081 JZG917515:JZG917617 JZG983051:JZG983153 KJD10:KJD63 KJC65547:KJC65649 KJC131083:KJC131185 KJC196619:KJC196721 KJC262155:KJC262257 KJC327691:KJC327793 KJC393227:KJC393329 KJC458763:KJC458865 KJC524299:KJC524401 KJC589835:KJC589937 KJC655371:KJC655473 KJC720907:KJC721009 KJC786443:KJC786545 KJC851979:KJC852081 KJC917515:KJC917617 KJC983051:KJC983153 KSZ10:KSZ63 KSY65547:KSY65649 KSY131083:KSY131185 KSY196619:KSY196721 KSY262155:KSY262257 KSY327691:KSY327793 KSY393227:KSY393329 KSY458763:KSY458865 KSY524299:KSY524401 KSY589835:KSY589937 KSY655371:KSY655473 KSY720907:KSY721009 KSY786443:KSY786545 KSY851979:KSY852081 KSY917515:KSY917617 KSY983051:KSY983153 LCV10:LCV63 LCU65547:LCU65649 LCU131083:LCU131185 LCU196619:LCU196721 LCU262155:LCU262257 LCU327691:LCU327793 LCU393227:LCU393329 LCU458763:LCU458865 LCU524299:LCU524401 LCU589835:LCU589937 LCU655371:LCU655473 LCU720907:LCU721009 LCU786443:LCU786545 LCU851979:LCU852081 LCU917515:LCU917617 LCU983051:LCU983153 LMR10:LMR63 LMQ65547:LMQ65649 LMQ131083:LMQ131185 LMQ196619:LMQ196721 LMQ262155:LMQ262257 LMQ327691:LMQ327793 LMQ393227:LMQ393329 LMQ458763:LMQ458865 LMQ524299:LMQ524401 LMQ589835:LMQ589937 LMQ655371:LMQ655473 LMQ720907:LMQ721009 LMQ786443:LMQ786545 LMQ851979:LMQ852081 LMQ917515:LMQ917617 LMQ983051:LMQ983153 LWN10:LWN63 LWM65547:LWM65649 LWM131083:LWM131185 LWM196619:LWM196721 LWM262155:LWM262257 LWM327691:LWM327793 LWM393227:LWM393329 LWM458763:LWM458865 LWM524299:LWM524401 LWM589835:LWM589937 LWM655371:LWM655473 LWM720907:LWM721009 LWM786443:LWM786545 LWM851979:LWM852081 LWM917515:LWM917617 LWM983051:LWM983153 MGJ10:MGJ63 MGI65547:MGI65649 MGI131083:MGI131185 MGI196619:MGI196721 MGI262155:MGI262257 MGI327691:MGI327793 MGI393227:MGI393329 MGI458763:MGI458865 MGI524299:MGI524401 MGI589835:MGI589937 MGI655371:MGI655473 MGI720907:MGI721009 MGI786443:MGI786545 MGI851979:MGI852081 MGI917515:MGI917617 MGI983051:MGI983153 MQF10:MQF63 MQE65547:MQE65649 MQE131083:MQE131185 MQE196619:MQE196721 MQE262155:MQE262257 MQE327691:MQE327793 MQE393227:MQE393329 MQE458763:MQE458865 MQE524299:MQE524401 MQE589835:MQE589937 MQE655371:MQE655473 MQE720907:MQE721009 MQE786443:MQE786545 MQE851979:MQE852081 MQE917515:MQE917617 MQE983051:MQE983153 NAB10:NAB63 NAA65547:NAA65649 NAA131083:NAA131185 NAA196619:NAA196721 NAA262155:NAA262257 NAA327691:NAA327793 NAA393227:NAA393329 NAA458763:NAA458865 NAA524299:NAA524401 NAA589835:NAA589937 NAA655371:NAA655473 NAA720907:NAA721009 NAA786443:NAA786545 NAA851979:NAA852081 NAA917515:NAA917617 NAA983051:NAA983153 NJX10:NJX63 NJW65547:NJW65649 NJW131083:NJW131185 NJW196619:NJW196721 NJW262155:NJW262257 NJW327691:NJW327793 NJW393227:NJW393329 NJW458763:NJW458865 NJW524299:NJW524401 NJW589835:NJW589937 NJW655371:NJW655473 NJW720907:NJW721009 NJW786443:NJW786545 NJW851979:NJW852081 NJW917515:NJW917617 NJW983051:NJW983153 NTT10:NTT63 NTS65547:NTS65649 NTS131083:NTS131185 NTS196619:NTS196721 NTS262155:NTS262257 NTS327691:NTS327793 NTS393227:NTS393329 NTS458763:NTS458865 NTS524299:NTS524401 NTS589835:NTS589937 NTS655371:NTS655473 NTS720907:NTS721009 NTS786443:NTS786545 NTS851979:NTS852081 NTS917515:NTS917617 NTS983051:NTS983153 ODP10:ODP63 ODO65547:ODO65649 ODO131083:ODO131185 ODO196619:ODO196721 ODO262155:ODO262257 ODO327691:ODO327793 ODO393227:ODO393329 ODO458763:ODO458865 ODO524299:ODO524401 ODO589835:ODO589937 ODO655371:ODO655473 ODO720907:ODO721009 ODO786443:ODO786545 ODO851979:ODO852081 ODO917515:ODO917617 ODO983051:ODO983153 ONL10:ONL63 ONK65547:ONK65649 ONK131083:ONK131185 ONK196619:ONK196721 ONK262155:ONK262257 ONK327691:ONK327793 ONK393227:ONK393329 ONK458763:ONK458865 ONK524299:ONK524401 ONK589835:ONK589937 ONK655371:ONK655473 ONK720907:ONK721009 ONK786443:ONK786545 ONK851979:ONK852081 ONK917515:ONK917617 ONK983051:ONK983153 OXH10:OXH63 OXG65547:OXG65649 OXG131083:OXG131185 OXG196619:OXG196721 OXG262155:OXG262257 OXG327691:OXG327793 OXG393227:OXG393329 OXG458763:OXG458865 OXG524299:OXG524401 OXG589835:OXG589937 OXG655371:OXG655473 OXG720907:OXG721009 OXG786443:OXG786545 OXG851979:OXG852081 OXG917515:OXG917617 OXG983051:OXG983153 PHD10:PHD63 PHC65547:PHC65649 PHC131083:PHC131185 PHC196619:PHC196721 PHC262155:PHC262257 PHC327691:PHC327793 PHC393227:PHC393329 PHC458763:PHC458865 PHC524299:PHC524401 PHC589835:PHC589937 PHC655371:PHC655473 PHC720907:PHC721009 PHC786443:PHC786545 PHC851979:PHC852081 PHC917515:PHC917617 PHC983051:PHC983153 PQZ10:PQZ63 PQY65547:PQY65649 PQY131083:PQY131185 PQY196619:PQY196721 PQY262155:PQY262257 PQY327691:PQY327793 PQY393227:PQY393329 PQY458763:PQY458865 PQY524299:PQY524401 PQY589835:PQY589937 PQY655371:PQY655473 PQY720907:PQY721009 PQY786443:PQY786545 PQY851979:PQY852081 PQY917515:PQY917617 PQY983051:PQY983153 QAV10:QAV63 QAU65547:QAU65649 QAU131083:QAU131185 QAU196619:QAU196721 QAU262155:QAU262257 QAU327691:QAU327793 QAU393227:QAU393329 QAU458763:QAU458865 QAU524299:QAU524401 QAU589835:QAU589937 QAU655371:QAU655473 QAU720907:QAU721009 QAU786443:QAU786545 QAU851979:QAU852081 QAU917515:QAU917617 QAU983051:QAU983153 QKR10:QKR63 QKQ65547:QKQ65649 QKQ131083:QKQ131185 QKQ196619:QKQ196721 QKQ262155:QKQ262257 QKQ327691:QKQ327793 QKQ393227:QKQ393329 QKQ458763:QKQ458865 QKQ524299:QKQ524401 QKQ589835:QKQ589937 QKQ655371:QKQ655473 QKQ720907:QKQ721009 QKQ786443:QKQ786545 QKQ851979:QKQ852081 QKQ917515:QKQ917617 QKQ983051:QKQ983153 QUN10:QUN63 QUM65547:QUM65649 QUM131083:QUM131185 QUM196619:QUM196721 QUM262155:QUM262257 QUM327691:QUM327793 QUM393227:QUM393329 QUM458763:QUM458865 QUM524299:QUM524401 QUM589835:QUM589937 QUM655371:QUM655473 QUM720907:QUM721009 QUM786443:QUM786545 QUM851979:QUM852081 QUM917515:QUM917617 QUM983051:QUM983153 REJ10:REJ63 REI65547:REI65649 REI131083:REI131185 REI196619:REI196721 REI262155:REI262257 REI327691:REI327793 REI393227:REI393329 REI458763:REI458865 REI524299:REI524401 REI589835:REI589937 REI655371:REI655473 REI720907:REI721009 REI786443:REI786545 REI851979:REI852081 REI917515:REI917617 REI983051:REI983153 ROF10:ROF63 ROE65547:ROE65649 ROE131083:ROE131185 ROE196619:ROE196721 ROE262155:ROE262257 ROE327691:ROE327793 ROE393227:ROE393329 ROE458763:ROE458865 ROE524299:ROE524401 ROE589835:ROE589937 ROE655371:ROE655473 ROE720907:ROE721009 ROE786443:ROE786545 ROE851979:ROE852081 ROE917515:ROE917617 ROE983051:ROE983153 RYB10:RYB63 RYA65547:RYA65649 RYA131083:RYA131185 RYA196619:RYA196721 RYA262155:RYA262257 RYA327691:RYA327793 RYA393227:RYA393329 RYA458763:RYA458865 RYA524299:RYA524401 RYA589835:RYA589937 RYA655371:RYA655473 RYA720907:RYA721009 RYA786443:RYA786545 RYA851979:RYA852081 RYA917515:RYA917617 RYA983051:RYA983153 SHX10:SHX63 SHW65547:SHW65649 SHW131083:SHW131185 SHW196619:SHW196721 SHW262155:SHW262257 SHW327691:SHW327793 SHW393227:SHW393329 SHW458763:SHW458865 SHW524299:SHW524401 SHW589835:SHW589937 SHW655371:SHW655473 SHW720907:SHW721009 SHW786443:SHW786545 SHW851979:SHW852081 SHW917515:SHW917617 SHW983051:SHW983153 SRT10:SRT63 SRS65547:SRS65649 SRS131083:SRS131185 SRS196619:SRS196721 SRS262155:SRS262257 SRS327691:SRS327793 SRS393227:SRS393329 SRS458763:SRS458865 SRS524299:SRS524401 SRS589835:SRS589937 SRS655371:SRS655473 SRS720907:SRS721009 SRS786443:SRS786545 SRS851979:SRS852081 SRS917515:SRS917617 SRS983051:SRS983153 TBP10:TBP63 TBO65547:TBO65649 TBO131083:TBO131185 TBO196619:TBO196721 TBO262155:TBO262257 TBO327691:TBO327793 TBO393227:TBO393329 TBO458763:TBO458865 TBO524299:TBO524401 TBO589835:TBO589937 TBO655371:TBO655473 TBO720907:TBO721009 TBO786443:TBO786545 TBO851979:TBO852081 TBO917515:TBO917617 TBO983051:TBO983153 TLL10:TLL63 TLK65547:TLK65649 TLK131083:TLK131185 TLK196619:TLK196721 TLK262155:TLK262257 TLK327691:TLK327793 TLK393227:TLK393329 TLK458763:TLK458865 TLK524299:TLK524401 TLK589835:TLK589937 TLK655371:TLK655473 TLK720907:TLK721009 TLK786443:TLK786545 TLK851979:TLK852081 TLK917515:TLK917617 TLK983051:TLK983153 TVH10:TVH63 TVG65547:TVG65649 TVG131083:TVG131185 TVG196619:TVG196721 TVG262155:TVG262257 TVG327691:TVG327793 TVG393227:TVG393329 TVG458763:TVG458865 TVG524299:TVG524401 TVG589835:TVG589937 TVG655371:TVG655473 TVG720907:TVG721009 TVG786443:TVG786545 TVG851979:TVG852081 TVG917515:TVG917617 TVG983051:TVG983153 UFD10:UFD63 UFC65547:UFC65649 UFC131083:UFC131185 UFC196619:UFC196721 UFC262155:UFC262257 UFC327691:UFC327793 UFC393227:UFC393329 UFC458763:UFC458865 UFC524299:UFC524401 UFC589835:UFC589937 UFC655371:UFC655473 UFC720907:UFC721009 UFC786443:UFC786545 UFC851979:UFC852081 UFC917515:UFC917617 UFC983051:UFC983153 UOZ10:UOZ63 UOY65547:UOY65649 UOY131083:UOY131185 UOY196619:UOY196721 UOY262155:UOY262257 UOY327691:UOY327793 UOY393227:UOY393329 UOY458763:UOY458865 UOY524299:UOY524401 UOY589835:UOY589937 UOY655371:UOY655473 UOY720907:UOY721009 UOY786443:UOY786545 UOY851979:UOY852081 UOY917515:UOY917617 UOY983051:UOY983153 UYV10:UYV63 UYU65547:UYU65649 UYU131083:UYU131185 UYU196619:UYU196721 UYU262155:UYU262257 UYU327691:UYU327793 UYU393227:UYU393329 UYU458763:UYU458865 UYU524299:UYU524401 UYU589835:UYU589937 UYU655371:UYU655473 UYU720907:UYU721009 UYU786443:UYU786545 UYU851979:UYU852081 UYU917515:UYU917617 UYU983051:UYU983153 VIR10:VIR63 VIQ65547:VIQ65649 VIQ131083:VIQ131185 VIQ196619:VIQ196721 VIQ262155:VIQ262257 VIQ327691:VIQ327793 VIQ393227:VIQ393329 VIQ458763:VIQ458865 VIQ524299:VIQ524401 VIQ589835:VIQ589937 VIQ655371:VIQ655473 VIQ720907:VIQ721009 VIQ786443:VIQ786545 VIQ851979:VIQ852081 VIQ917515:VIQ917617 VIQ983051:VIQ983153 VSN10:VSN63 VSM65547:VSM65649 VSM131083:VSM131185 VSM196619:VSM196721 VSM262155:VSM262257 VSM327691:VSM327793 VSM393227:VSM393329 VSM458763:VSM458865 VSM524299:VSM524401 VSM589835:VSM589937 VSM655371:VSM655473 VSM720907:VSM721009 VSM786443:VSM786545 VSM851979:VSM852081 VSM917515:VSM917617 VSM983051:VSM983153 WCJ10:WCJ63 WCI65547:WCI65649 WCI131083:WCI131185 WCI196619:WCI196721 WCI262155:WCI262257 WCI327691:WCI327793 WCI393227:WCI393329 WCI458763:WCI458865 WCI524299:WCI524401 WCI589835:WCI589937 WCI655371:WCI655473 WCI720907:WCI721009 WCI786443:WCI786545 WCI851979:WCI852081 WCI917515:WCI917617 WCI983051:WCI983153 WMF10:WMF63 WME65547:WME65649 WME131083:WME131185 WME196619:WME196721 WME262155:WME262257 WME327691:WME327793 WME393227:WME393329 WME458763:WME458865 WME524299:WME524401 WME589835:WME589937 WME655371:WME655473 WME720907:WME721009 WME786443:WME786545 WME851979:WME852081 WME917515:WME917617 WME983051:WME983153 WWB10:WWB63 WWA983051:WWA983153 WWA65547:WWA65649 WWA131083:WWA131185 WWA196619:WWA196721 WWA262155:WWA262257 WWA327691:WWA327793 WWA393227:WWA393329 WWA458763:WWA458865 WWA524299:WWA524401 WWA589835:WWA589937 WWA655371:WWA655473 WWA720907:WWA721009 WWA786443:WWA786545 WWA851979:WWA852081 WWA917515:WWA917617 JP10:JP63 WWB66:WWB114 WMF66:WMF114 WCJ66:WCJ114 VSN66:VSN114 VIR66:VIR114 UYV66:UYV114 UOZ66:UOZ114 UFD66:UFD114 TVH66:TVH114 TLL66:TLL114 TBP66:TBP114 SRT66:SRT114 SHX66:SHX114 RYB66:RYB114 ROF66:ROF114 REJ66:REJ114 QUN66:QUN114 QKR66:QKR114 QAV66:QAV114 PQZ66:PQZ114 PHD66:PHD114 OXH66:OXH114 ONL66:ONL114 ODP66:ODP114 NTT66:NTT114 NJX66:NJX114 NAB66:NAB114 MQF66:MQF114 MGJ66:MGJ114 LWN66:LWN114 LMR66:LMR114 LCV66:LCV114 KSZ66:KSZ114 KJD66:KJD114 JZH66:JZH114 JPL66:JPL114 JFP66:JFP114 IVT66:IVT114 ILX66:ILX114 ICB66:ICB114 HSF66:HSF114 HIJ66:HIJ114 GYN66:GYN114 GOR66:GOR114 GEV66:GEV114 FUZ66:FUZ114 FLD66:FLD114 FBH66:FBH114 ERL66:ERL114 EHP66:EHP114 DXT66:DXT114 DNX66:DNX114 DEB66:DEB114 CUF66:CUF114 CKJ66:CKJ114 CAN66:CAN114 BQR66:BQR114 BGV66:BGV114 AWZ66:AWZ114 AND66:AND114 ADH66:ADH114 TL66:TL114 JP66:JP114" xr:uid="{00F8A51B-288B-41BC-8DFB-75DD0400B4E7}"/>
    <dataValidation allowBlank="1" showInputMessage="1" showErrorMessage="1" prompt="Initial Grade" sqref="W65547:W65649 W131083:W131185 W196619:W196721 W262155:W262257 W327691:W327793 W393227:W393329 W458763:W458865 W524299:W524401 W589835:W589937 W655371:W655473 W720907:W721009 W786443:W786545 W851979:W852081 W917515:W917617 W983051:W983153 JP65547:JP65649 JP131083:JP131185 JP196619:JP196721 JP262155:JP262257 JP327691:JP327793 JP393227:JP393329 JP458763:JP458865 JP524299:JP524401 JP589835:JP589937 JP655371:JP655473 JP720907:JP721009 JP786443:JP786545 JP851979:JP852081 JP917515:JP917617 JP983051:JP983153 TM10:TM63 TL65547:TL65649 TL131083:TL131185 TL196619:TL196721 TL262155:TL262257 TL327691:TL327793 TL393227:TL393329 TL458763:TL458865 TL524299:TL524401 TL589835:TL589937 TL655371:TL655473 TL720907:TL721009 TL786443:TL786545 TL851979:TL852081 TL917515:TL917617 TL983051:TL983153 ADI10:ADI63 ADH65547:ADH65649 ADH131083:ADH131185 ADH196619:ADH196721 ADH262155:ADH262257 ADH327691:ADH327793 ADH393227:ADH393329 ADH458763:ADH458865 ADH524299:ADH524401 ADH589835:ADH589937 ADH655371:ADH655473 ADH720907:ADH721009 ADH786443:ADH786545 ADH851979:ADH852081 ADH917515:ADH917617 ADH983051:ADH983153 ANE10:ANE63 AND65547:AND65649 AND131083:AND131185 AND196619:AND196721 AND262155:AND262257 AND327691:AND327793 AND393227:AND393329 AND458763:AND458865 AND524299:AND524401 AND589835:AND589937 AND655371:AND655473 AND720907:AND721009 AND786443:AND786545 AND851979:AND852081 AND917515:AND917617 AND983051:AND983153 AXA10:AXA63 AWZ65547:AWZ65649 AWZ131083:AWZ131185 AWZ196619:AWZ196721 AWZ262155:AWZ262257 AWZ327691:AWZ327793 AWZ393227:AWZ393329 AWZ458763:AWZ458865 AWZ524299:AWZ524401 AWZ589835:AWZ589937 AWZ655371:AWZ655473 AWZ720907:AWZ721009 AWZ786443:AWZ786545 AWZ851979:AWZ852081 AWZ917515:AWZ917617 AWZ983051:AWZ983153 BGW10:BGW63 BGV65547:BGV65649 BGV131083:BGV131185 BGV196619:BGV196721 BGV262155:BGV262257 BGV327691:BGV327793 BGV393227:BGV393329 BGV458763:BGV458865 BGV524299:BGV524401 BGV589835:BGV589937 BGV655371:BGV655473 BGV720907:BGV721009 BGV786443:BGV786545 BGV851979:BGV852081 BGV917515:BGV917617 BGV983051:BGV983153 BQS10:BQS63 BQR65547:BQR65649 BQR131083:BQR131185 BQR196619:BQR196721 BQR262155:BQR262257 BQR327691:BQR327793 BQR393227:BQR393329 BQR458763:BQR458865 BQR524299:BQR524401 BQR589835:BQR589937 BQR655371:BQR655473 BQR720907:BQR721009 BQR786443:BQR786545 BQR851979:BQR852081 BQR917515:BQR917617 BQR983051:BQR983153 CAO10:CAO63 CAN65547:CAN65649 CAN131083:CAN131185 CAN196619:CAN196721 CAN262155:CAN262257 CAN327691:CAN327793 CAN393227:CAN393329 CAN458763:CAN458865 CAN524299:CAN524401 CAN589835:CAN589937 CAN655371:CAN655473 CAN720907:CAN721009 CAN786443:CAN786545 CAN851979:CAN852081 CAN917515:CAN917617 CAN983051:CAN983153 CKK10:CKK63 CKJ65547:CKJ65649 CKJ131083:CKJ131185 CKJ196619:CKJ196721 CKJ262155:CKJ262257 CKJ327691:CKJ327793 CKJ393227:CKJ393329 CKJ458763:CKJ458865 CKJ524299:CKJ524401 CKJ589835:CKJ589937 CKJ655371:CKJ655473 CKJ720907:CKJ721009 CKJ786443:CKJ786545 CKJ851979:CKJ852081 CKJ917515:CKJ917617 CKJ983051:CKJ983153 CUG10:CUG63 CUF65547:CUF65649 CUF131083:CUF131185 CUF196619:CUF196721 CUF262155:CUF262257 CUF327691:CUF327793 CUF393227:CUF393329 CUF458763:CUF458865 CUF524299:CUF524401 CUF589835:CUF589937 CUF655371:CUF655473 CUF720907:CUF721009 CUF786443:CUF786545 CUF851979:CUF852081 CUF917515:CUF917617 CUF983051:CUF983153 DEC10:DEC63 DEB65547:DEB65649 DEB131083:DEB131185 DEB196619:DEB196721 DEB262155:DEB262257 DEB327691:DEB327793 DEB393227:DEB393329 DEB458763:DEB458865 DEB524299:DEB524401 DEB589835:DEB589937 DEB655371:DEB655473 DEB720907:DEB721009 DEB786443:DEB786545 DEB851979:DEB852081 DEB917515:DEB917617 DEB983051:DEB983153 DNY10:DNY63 DNX65547:DNX65649 DNX131083:DNX131185 DNX196619:DNX196721 DNX262155:DNX262257 DNX327691:DNX327793 DNX393227:DNX393329 DNX458763:DNX458865 DNX524299:DNX524401 DNX589835:DNX589937 DNX655371:DNX655473 DNX720907:DNX721009 DNX786443:DNX786545 DNX851979:DNX852081 DNX917515:DNX917617 DNX983051:DNX983153 DXU10:DXU63 DXT65547:DXT65649 DXT131083:DXT131185 DXT196619:DXT196721 DXT262155:DXT262257 DXT327691:DXT327793 DXT393227:DXT393329 DXT458763:DXT458865 DXT524299:DXT524401 DXT589835:DXT589937 DXT655371:DXT655473 DXT720907:DXT721009 DXT786443:DXT786545 DXT851979:DXT852081 DXT917515:DXT917617 DXT983051:DXT983153 EHQ10:EHQ63 EHP65547:EHP65649 EHP131083:EHP131185 EHP196619:EHP196721 EHP262155:EHP262257 EHP327691:EHP327793 EHP393227:EHP393329 EHP458763:EHP458865 EHP524299:EHP524401 EHP589835:EHP589937 EHP655371:EHP655473 EHP720907:EHP721009 EHP786443:EHP786545 EHP851979:EHP852081 EHP917515:EHP917617 EHP983051:EHP983153 ERM10:ERM63 ERL65547:ERL65649 ERL131083:ERL131185 ERL196619:ERL196721 ERL262155:ERL262257 ERL327691:ERL327793 ERL393227:ERL393329 ERL458763:ERL458865 ERL524299:ERL524401 ERL589835:ERL589937 ERL655371:ERL655473 ERL720907:ERL721009 ERL786443:ERL786545 ERL851979:ERL852081 ERL917515:ERL917617 ERL983051:ERL983153 FBI10:FBI63 FBH65547:FBH65649 FBH131083:FBH131185 FBH196619:FBH196721 FBH262155:FBH262257 FBH327691:FBH327793 FBH393227:FBH393329 FBH458763:FBH458865 FBH524299:FBH524401 FBH589835:FBH589937 FBH655371:FBH655473 FBH720907:FBH721009 FBH786443:FBH786545 FBH851979:FBH852081 FBH917515:FBH917617 FBH983051:FBH983153 FLE10:FLE63 FLD65547:FLD65649 FLD131083:FLD131185 FLD196619:FLD196721 FLD262155:FLD262257 FLD327691:FLD327793 FLD393227:FLD393329 FLD458763:FLD458865 FLD524299:FLD524401 FLD589835:FLD589937 FLD655371:FLD655473 FLD720907:FLD721009 FLD786443:FLD786545 FLD851979:FLD852081 FLD917515:FLD917617 FLD983051:FLD983153 FVA10:FVA63 FUZ65547:FUZ65649 FUZ131083:FUZ131185 FUZ196619:FUZ196721 FUZ262155:FUZ262257 FUZ327691:FUZ327793 FUZ393227:FUZ393329 FUZ458763:FUZ458865 FUZ524299:FUZ524401 FUZ589835:FUZ589937 FUZ655371:FUZ655473 FUZ720907:FUZ721009 FUZ786443:FUZ786545 FUZ851979:FUZ852081 FUZ917515:FUZ917617 FUZ983051:FUZ983153 GEW10:GEW63 GEV65547:GEV65649 GEV131083:GEV131185 GEV196619:GEV196721 GEV262155:GEV262257 GEV327691:GEV327793 GEV393227:GEV393329 GEV458763:GEV458865 GEV524299:GEV524401 GEV589835:GEV589937 GEV655371:GEV655473 GEV720907:GEV721009 GEV786443:GEV786545 GEV851979:GEV852081 GEV917515:GEV917617 GEV983051:GEV983153 GOS10:GOS63 GOR65547:GOR65649 GOR131083:GOR131185 GOR196619:GOR196721 GOR262155:GOR262257 GOR327691:GOR327793 GOR393227:GOR393329 GOR458763:GOR458865 GOR524299:GOR524401 GOR589835:GOR589937 GOR655371:GOR655473 GOR720907:GOR721009 GOR786443:GOR786545 GOR851979:GOR852081 GOR917515:GOR917617 GOR983051:GOR983153 GYO10:GYO63 GYN65547:GYN65649 GYN131083:GYN131185 GYN196619:GYN196721 GYN262155:GYN262257 GYN327691:GYN327793 GYN393227:GYN393329 GYN458763:GYN458865 GYN524299:GYN524401 GYN589835:GYN589937 GYN655371:GYN655473 GYN720907:GYN721009 GYN786443:GYN786545 GYN851979:GYN852081 GYN917515:GYN917617 GYN983051:GYN983153 HIK10:HIK63 HIJ65547:HIJ65649 HIJ131083:HIJ131185 HIJ196619:HIJ196721 HIJ262155:HIJ262257 HIJ327691:HIJ327793 HIJ393227:HIJ393329 HIJ458763:HIJ458865 HIJ524299:HIJ524401 HIJ589835:HIJ589937 HIJ655371:HIJ655473 HIJ720907:HIJ721009 HIJ786443:HIJ786545 HIJ851979:HIJ852081 HIJ917515:HIJ917617 HIJ983051:HIJ983153 HSG10:HSG63 HSF65547:HSF65649 HSF131083:HSF131185 HSF196619:HSF196721 HSF262155:HSF262257 HSF327691:HSF327793 HSF393227:HSF393329 HSF458763:HSF458865 HSF524299:HSF524401 HSF589835:HSF589937 HSF655371:HSF655473 HSF720907:HSF721009 HSF786443:HSF786545 HSF851979:HSF852081 HSF917515:HSF917617 HSF983051:HSF983153 ICC10:ICC63 ICB65547:ICB65649 ICB131083:ICB131185 ICB196619:ICB196721 ICB262155:ICB262257 ICB327691:ICB327793 ICB393227:ICB393329 ICB458763:ICB458865 ICB524299:ICB524401 ICB589835:ICB589937 ICB655371:ICB655473 ICB720907:ICB721009 ICB786443:ICB786545 ICB851979:ICB852081 ICB917515:ICB917617 ICB983051:ICB983153 ILY10:ILY63 ILX65547:ILX65649 ILX131083:ILX131185 ILX196619:ILX196721 ILX262155:ILX262257 ILX327691:ILX327793 ILX393227:ILX393329 ILX458763:ILX458865 ILX524299:ILX524401 ILX589835:ILX589937 ILX655371:ILX655473 ILX720907:ILX721009 ILX786443:ILX786545 ILX851979:ILX852081 ILX917515:ILX917617 ILX983051:ILX983153 IVU10:IVU63 IVT65547:IVT65649 IVT131083:IVT131185 IVT196619:IVT196721 IVT262155:IVT262257 IVT327691:IVT327793 IVT393227:IVT393329 IVT458763:IVT458865 IVT524299:IVT524401 IVT589835:IVT589937 IVT655371:IVT655473 IVT720907:IVT721009 IVT786443:IVT786545 IVT851979:IVT852081 IVT917515:IVT917617 IVT983051:IVT983153 JFQ10:JFQ63 JFP65547:JFP65649 JFP131083:JFP131185 JFP196619:JFP196721 JFP262155:JFP262257 JFP327691:JFP327793 JFP393227:JFP393329 JFP458763:JFP458865 JFP524299:JFP524401 JFP589835:JFP589937 JFP655371:JFP655473 JFP720907:JFP721009 JFP786443:JFP786545 JFP851979:JFP852081 JFP917515:JFP917617 JFP983051:JFP983153 JPM10:JPM63 JPL65547:JPL65649 JPL131083:JPL131185 JPL196619:JPL196721 JPL262155:JPL262257 JPL327691:JPL327793 JPL393227:JPL393329 JPL458763:JPL458865 JPL524299:JPL524401 JPL589835:JPL589937 JPL655371:JPL655473 JPL720907:JPL721009 JPL786443:JPL786545 JPL851979:JPL852081 JPL917515:JPL917617 JPL983051:JPL983153 JZI10:JZI63 JZH65547:JZH65649 JZH131083:JZH131185 JZH196619:JZH196721 JZH262155:JZH262257 JZH327691:JZH327793 JZH393227:JZH393329 JZH458763:JZH458865 JZH524299:JZH524401 JZH589835:JZH589937 JZH655371:JZH655473 JZH720907:JZH721009 JZH786443:JZH786545 JZH851979:JZH852081 JZH917515:JZH917617 JZH983051:JZH983153 KJE10:KJE63 KJD65547:KJD65649 KJD131083:KJD131185 KJD196619:KJD196721 KJD262155:KJD262257 KJD327691:KJD327793 KJD393227:KJD393329 KJD458763:KJD458865 KJD524299:KJD524401 KJD589835:KJD589937 KJD655371:KJD655473 KJD720907:KJD721009 KJD786443:KJD786545 KJD851979:KJD852081 KJD917515:KJD917617 KJD983051:KJD983153 KTA10:KTA63 KSZ65547:KSZ65649 KSZ131083:KSZ131185 KSZ196619:KSZ196721 KSZ262155:KSZ262257 KSZ327691:KSZ327793 KSZ393227:KSZ393329 KSZ458763:KSZ458865 KSZ524299:KSZ524401 KSZ589835:KSZ589937 KSZ655371:KSZ655473 KSZ720907:KSZ721009 KSZ786443:KSZ786545 KSZ851979:KSZ852081 KSZ917515:KSZ917617 KSZ983051:KSZ983153 LCW10:LCW63 LCV65547:LCV65649 LCV131083:LCV131185 LCV196619:LCV196721 LCV262155:LCV262257 LCV327691:LCV327793 LCV393227:LCV393329 LCV458763:LCV458865 LCV524299:LCV524401 LCV589835:LCV589937 LCV655371:LCV655473 LCV720907:LCV721009 LCV786443:LCV786545 LCV851979:LCV852081 LCV917515:LCV917617 LCV983051:LCV983153 LMS10:LMS63 LMR65547:LMR65649 LMR131083:LMR131185 LMR196619:LMR196721 LMR262155:LMR262257 LMR327691:LMR327793 LMR393227:LMR393329 LMR458763:LMR458865 LMR524299:LMR524401 LMR589835:LMR589937 LMR655371:LMR655473 LMR720907:LMR721009 LMR786443:LMR786545 LMR851979:LMR852081 LMR917515:LMR917617 LMR983051:LMR983153 LWO10:LWO63 LWN65547:LWN65649 LWN131083:LWN131185 LWN196619:LWN196721 LWN262155:LWN262257 LWN327691:LWN327793 LWN393227:LWN393329 LWN458763:LWN458865 LWN524299:LWN524401 LWN589835:LWN589937 LWN655371:LWN655473 LWN720907:LWN721009 LWN786443:LWN786545 LWN851979:LWN852081 LWN917515:LWN917617 LWN983051:LWN983153 MGK10:MGK63 MGJ65547:MGJ65649 MGJ131083:MGJ131185 MGJ196619:MGJ196721 MGJ262155:MGJ262257 MGJ327691:MGJ327793 MGJ393227:MGJ393329 MGJ458763:MGJ458865 MGJ524299:MGJ524401 MGJ589835:MGJ589937 MGJ655371:MGJ655473 MGJ720907:MGJ721009 MGJ786443:MGJ786545 MGJ851979:MGJ852081 MGJ917515:MGJ917617 MGJ983051:MGJ983153 MQG10:MQG63 MQF65547:MQF65649 MQF131083:MQF131185 MQF196619:MQF196721 MQF262155:MQF262257 MQF327691:MQF327793 MQF393227:MQF393329 MQF458763:MQF458865 MQF524299:MQF524401 MQF589835:MQF589937 MQF655371:MQF655473 MQF720907:MQF721009 MQF786443:MQF786545 MQF851979:MQF852081 MQF917515:MQF917617 MQF983051:MQF983153 NAC10:NAC63 NAB65547:NAB65649 NAB131083:NAB131185 NAB196619:NAB196721 NAB262155:NAB262257 NAB327691:NAB327793 NAB393227:NAB393329 NAB458763:NAB458865 NAB524299:NAB524401 NAB589835:NAB589937 NAB655371:NAB655473 NAB720907:NAB721009 NAB786443:NAB786545 NAB851979:NAB852081 NAB917515:NAB917617 NAB983051:NAB983153 NJY10:NJY63 NJX65547:NJX65649 NJX131083:NJX131185 NJX196619:NJX196721 NJX262155:NJX262257 NJX327691:NJX327793 NJX393227:NJX393329 NJX458763:NJX458865 NJX524299:NJX524401 NJX589835:NJX589937 NJX655371:NJX655473 NJX720907:NJX721009 NJX786443:NJX786545 NJX851979:NJX852081 NJX917515:NJX917617 NJX983051:NJX983153 NTU10:NTU63 NTT65547:NTT65649 NTT131083:NTT131185 NTT196619:NTT196721 NTT262155:NTT262257 NTT327691:NTT327793 NTT393227:NTT393329 NTT458763:NTT458865 NTT524299:NTT524401 NTT589835:NTT589937 NTT655371:NTT655473 NTT720907:NTT721009 NTT786443:NTT786545 NTT851979:NTT852081 NTT917515:NTT917617 NTT983051:NTT983153 ODQ10:ODQ63 ODP65547:ODP65649 ODP131083:ODP131185 ODP196619:ODP196721 ODP262155:ODP262257 ODP327691:ODP327793 ODP393227:ODP393329 ODP458763:ODP458865 ODP524299:ODP524401 ODP589835:ODP589937 ODP655371:ODP655473 ODP720907:ODP721009 ODP786443:ODP786545 ODP851979:ODP852081 ODP917515:ODP917617 ODP983051:ODP983153 ONM10:ONM63 ONL65547:ONL65649 ONL131083:ONL131185 ONL196619:ONL196721 ONL262155:ONL262257 ONL327691:ONL327793 ONL393227:ONL393329 ONL458763:ONL458865 ONL524299:ONL524401 ONL589835:ONL589937 ONL655371:ONL655473 ONL720907:ONL721009 ONL786443:ONL786545 ONL851979:ONL852081 ONL917515:ONL917617 ONL983051:ONL983153 OXI10:OXI63 OXH65547:OXH65649 OXH131083:OXH131185 OXH196619:OXH196721 OXH262155:OXH262257 OXH327691:OXH327793 OXH393227:OXH393329 OXH458763:OXH458865 OXH524299:OXH524401 OXH589835:OXH589937 OXH655371:OXH655473 OXH720907:OXH721009 OXH786443:OXH786545 OXH851979:OXH852081 OXH917515:OXH917617 OXH983051:OXH983153 PHE10:PHE63 PHD65547:PHD65649 PHD131083:PHD131185 PHD196619:PHD196721 PHD262155:PHD262257 PHD327691:PHD327793 PHD393227:PHD393329 PHD458763:PHD458865 PHD524299:PHD524401 PHD589835:PHD589937 PHD655371:PHD655473 PHD720907:PHD721009 PHD786443:PHD786545 PHD851979:PHD852081 PHD917515:PHD917617 PHD983051:PHD983153 PRA10:PRA63 PQZ65547:PQZ65649 PQZ131083:PQZ131185 PQZ196619:PQZ196721 PQZ262155:PQZ262257 PQZ327691:PQZ327793 PQZ393227:PQZ393329 PQZ458763:PQZ458865 PQZ524299:PQZ524401 PQZ589835:PQZ589937 PQZ655371:PQZ655473 PQZ720907:PQZ721009 PQZ786443:PQZ786545 PQZ851979:PQZ852081 PQZ917515:PQZ917617 PQZ983051:PQZ983153 QAW10:QAW63 QAV65547:QAV65649 QAV131083:QAV131185 QAV196619:QAV196721 QAV262155:QAV262257 QAV327691:QAV327793 QAV393227:QAV393329 QAV458763:QAV458865 QAV524299:QAV524401 QAV589835:QAV589937 QAV655371:QAV655473 QAV720907:QAV721009 QAV786443:QAV786545 QAV851979:QAV852081 QAV917515:QAV917617 QAV983051:QAV983153 QKS10:QKS63 QKR65547:QKR65649 QKR131083:QKR131185 QKR196619:QKR196721 QKR262155:QKR262257 QKR327691:QKR327793 QKR393227:QKR393329 QKR458763:QKR458865 QKR524299:QKR524401 QKR589835:QKR589937 QKR655371:QKR655473 QKR720907:QKR721009 QKR786443:QKR786545 QKR851979:QKR852081 QKR917515:QKR917617 QKR983051:QKR983153 QUO10:QUO63 QUN65547:QUN65649 QUN131083:QUN131185 QUN196619:QUN196721 QUN262155:QUN262257 QUN327691:QUN327793 QUN393227:QUN393329 QUN458763:QUN458865 QUN524299:QUN524401 QUN589835:QUN589937 QUN655371:QUN655473 QUN720907:QUN721009 QUN786443:QUN786545 QUN851979:QUN852081 QUN917515:QUN917617 QUN983051:QUN983153 REK10:REK63 REJ65547:REJ65649 REJ131083:REJ131185 REJ196619:REJ196721 REJ262155:REJ262257 REJ327691:REJ327793 REJ393227:REJ393329 REJ458763:REJ458865 REJ524299:REJ524401 REJ589835:REJ589937 REJ655371:REJ655473 REJ720907:REJ721009 REJ786443:REJ786545 REJ851979:REJ852081 REJ917515:REJ917617 REJ983051:REJ983153 ROG10:ROG63 ROF65547:ROF65649 ROF131083:ROF131185 ROF196619:ROF196721 ROF262155:ROF262257 ROF327691:ROF327793 ROF393227:ROF393329 ROF458763:ROF458865 ROF524299:ROF524401 ROF589835:ROF589937 ROF655371:ROF655473 ROF720907:ROF721009 ROF786443:ROF786545 ROF851979:ROF852081 ROF917515:ROF917617 ROF983051:ROF983153 RYC10:RYC63 RYB65547:RYB65649 RYB131083:RYB131185 RYB196619:RYB196721 RYB262155:RYB262257 RYB327691:RYB327793 RYB393227:RYB393329 RYB458763:RYB458865 RYB524299:RYB524401 RYB589835:RYB589937 RYB655371:RYB655473 RYB720907:RYB721009 RYB786443:RYB786545 RYB851979:RYB852081 RYB917515:RYB917617 RYB983051:RYB983153 SHY10:SHY63 SHX65547:SHX65649 SHX131083:SHX131185 SHX196619:SHX196721 SHX262155:SHX262257 SHX327691:SHX327793 SHX393227:SHX393329 SHX458763:SHX458865 SHX524299:SHX524401 SHX589835:SHX589937 SHX655371:SHX655473 SHX720907:SHX721009 SHX786443:SHX786545 SHX851979:SHX852081 SHX917515:SHX917617 SHX983051:SHX983153 SRU10:SRU63 SRT65547:SRT65649 SRT131083:SRT131185 SRT196619:SRT196721 SRT262155:SRT262257 SRT327691:SRT327793 SRT393227:SRT393329 SRT458763:SRT458865 SRT524299:SRT524401 SRT589835:SRT589937 SRT655371:SRT655473 SRT720907:SRT721009 SRT786443:SRT786545 SRT851979:SRT852081 SRT917515:SRT917617 SRT983051:SRT983153 TBQ10:TBQ63 TBP65547:TBP65649 TBP131083:TBP131185 TBP196619:TBP196721 TBP262155:TBP262257 TBP327691:TBP327793 TBP393227:TBP393329 TBP458763:TBP458865 TBP524299:TBP524401 TBP589835:TBP589937 TBP655371:TBP655473 TBP720907:TBP721009 TBP786443:TBP786545 TBP851979:TBP852081 TBP917515:TBP917617 TBP983051:TBP983153 TLM10:TLM63 TLL65547:TLL65649 TLL131083:TLL131185 TLL196619:TLL196721 TLL262155:TLL262257 TLL327691:TLL327793 TLL393227:TLL393329 TLL458763:TLL458865 TLL524299:TLL524401 TLL589835:TLL589937 TLL655371:TLL655473 TLL720907:TLL721009 TLL786443:TLL786545 TLL851979:TLL852081 TLL917515:TLL917617 TLL983051:TLL983153 TVI10:TVI63 TVH65547:TVH65649 TVH131083:TVH131185 TVH196619:TVH196721 TVH262155:TVH262257 TVH327691:TVH327793 TVH393227:TVH393329 TVH458763:TVH458865 TVH524299:TVH524401 TVH589835:TVH589937 TVH655371:TVH655473 TVH720907:TVH721009 TVH786443:TVH786545 TVH851979:TVH852081 TVH917515:TVH917617 TVH983051:TVH983153 UFE10:UFE63 UFD65547:UFD65649 UFD131083:UFD131185 UFD196619:UFD196721 UFD262155:UFD262257 UFD327691:UFD327793 UFD393227:UFD393329 UFD458763:UFD458865 UFD524299:UFD524401 UFD589835:UFD589937 UFD655371:UFD655473 UFD720907:UFD721009 UFD786443:UFD786545 UFD851979:UFD852081 UFD917515:UFD917617 UFD983051:UFD983153 UPA10:UPA63 UOZ65547:UOZ65649 UOZ131083:UOZ131185 UOZ196619:UOZ196721 UOZ262155:UOZ262257 UOZ327691:UOZ327793 UOZ393227:UOZ393329 UOZ458763:UOZ458865 UOZ524299:UOZ524401 UOZ589835:UOZ589937 UOZ655371:UOZ655473 UOZ720907:UOZ721009 UOZ786443:UOZ786545 UOZ851979:UOZ852081 UOZ917515:UOZ917617 UOZ983051:UOZ983153 UYW10:UYW63 UYV65547:UYV65649 UYV131083:UYV131185 UYV196619:UYV196721 UYV262155:UYV262257 UYV327691:UYV327793 UYV393227:UYV393329 UYV458763:UYV458865 UYV524299:UYV524401 UYV589835:UYV589937 UYV655371:UYV655473 UYV720907:UYV721009 UYV786443:UYV786545 UYV851979:UYV852081 UYV917515:UYV917617 UYV983051:UYV983153 VIS10:VIS63 VIR65547:VIR65649 VIR131083:VIR131185 VIR196619:VIR196721 VIR262155:VIR262257 VIR327691:VIR327793 VIR393227:VIR393329 VIR458763:VIR458865 VIR524299:VIR524401 VIR589835:VIR589937 VIR655371:VIR655473 VIR720907:VIR721009 VIR786443:VIR786545 VIR851979:VIR852081 VIR917515:VIR917617 VIR983051:VIR983153 VSO10:VSO63 VSN65547:VSN65649 VSN131083:VSN131185 VSN196619:VSN196721 VSN262155:VSN262257 VSN327691:VSN327793 VSN393227:VSN393329 VSN458763:VSN458865 VSN524299:VSN524401 VSN589835:VSN589937 VSN655371:VSN655473 VSN720907:VSN721009 VSN786443:VSN786545 VSN851979:VSN852081 VSN917515:VSN917617 VSN983051:VSN983153 WCK10:WCK63 WCJ65547:WCJ65649 WCJ131083:WCJ131185 WCJ196619:WCJ196721 WCJ262155:WCJ262257 WCJ327691:WCJ327793 WCJ393227:WCJ393329 WCJ458763:WCJ458865 WCJ524299:WCJ524401 WCJ589835:WCJ589937 WCJ655371:WCJ655473 WCJ720907:WCJ721009 WCJ786443:WCJ786545 WCJ851979:WCJ852081 WCJ917515:WCJ917617 WCJ983051:WCJ983153 WMG10:WMG63 WMF65547:WMF65649 WMF131083:WMF131185 WMF196619:WMF196721 WMF262155:WMF262257 WMF327691:WMF327793 WMF393227:WMF393329 WMF458763:WMF458865 WMF524299:WMF524401 WMF589835:WMF589937 WMF655371:WMF655473 WMF720907:WMF721009 WMF786443:WMF786545 WMF851979:WMF852081 WMF917515:WMF917617 WMF983051:WMF983153 WWC10:WWC63 WWB983051:WWB983153 WWB65547:WWB65649 WWB131083:WWB131185 WWB196619:WWB196721 WWB262155:WWB262257 WWB327691:WWB327793 WWB393227:WWB393329 WWB458763:WWB458865 WWB524299:WWB524401 WWB589835:WWB589937 WWB655371:WWB655473 WWB720907:WWB721009 WWB786443:WWB786545 WWB851979:WWB852081 WWB917515:WWB917617 JQ10:JQ63 WWC66:WWC114 WMG66:WMG114 WCK66:WCK114 VSO66:VSO114 VIS66:VIS114 UYW66:UYW114 UPA66:UPA114 UFE66:UFE114 TVI66:TVI114 TLM66:TLM114 TBQ66:TBQ114 SRU66:SRU114 SHY66:SHY114 RYC66:RYC114 ROG66:ROG114 REK66:REK114 QUO66:QUO114 QKS66:QKS114 QAW66:QAW114 PRA66:PRA114 PHE66:PHE114 OXI66:OXI114 ONM66:ONM114 ODQ66:ODQ114 NTU66:NTU114 NJY66:NJY114 NAC66:NAC114 MQG66:MQG114 MGK66:MGK114 LWO66:LWO114 LMS66:LMS114 LCW66:LCW114 KTA66:KTA114 KJE66:KJE114 JZI66:JZI114 JPM66:JPM114 JFQ66:JFQ114 IVU66:IVU114 ILY66:ILY114 ICC66:ICC114 HSG66:HSG114 HIK66:HIK114 GYO66:GYO114 GOS66:GOS114 GEW66:GEW114 FVA66:FVA114 FLE66:FLE114 FBI66:FBI114 ERM66:ERM114 EHQ66:EHQ114 DXU66:DXU114 DNY66:DNY114 DEC66:DEC114 CUG66:CUG114 CKK66:CKK114 CAO66:CAO114 BQS66:BQS114 BGW66:BGW114 AXA66:AXA114 ANE66:ANE114 ADI66:ADI114 TM66:TM114 JQ66:JQ114" xr:uid="{CFC4D9CD-664B-475D-9269-51FD5B7FC974}"/>
    <dataValidation allowBlank="1" showInputMessage="1" showErrorMessage="1" prompt="Quarterly Grade/Transmuted Grade" sqref="X65547:X65649 X131083:X131185 X196619:X196721 X262155:X262257 X327691:X327793 X393227:X393329 X458763:X458865 X524299:X524401 X589835:X589937 X655371:X655473 X720907:X721009 X786443:X786545 X851979:X852081 X917515:X917617 X983051:X983153 JQ65547:JQ65649 JQ131083:JQ131185 JQ196619:JQ196721 JQ262155:JQ262257 JQ327691:JQ327793 JQ393227:JQ393329 JQ458763:JQ458865 JQ524299:JQ524401 JQ589835:JQ589937 JQ655371:JQ655473 JQ720907:JQ721009 JQ786443:JQ786545 JQ851979:JQ852081 JQ917515:JQ917617 JQ983051:JQ983153 TN10:TN63 TM65547:TM65649 TM131083:TM131185 TM196619:TM196721 TM262155:TM262257 TM327691:TM327793 TM393227:TM393329 TM458763:TM458865 TM524299:TM524401 TM589835:TM589937 TM655371:TM655473 TM720907:TM721009 TM786443:TM786545 TM851979:TM852081 TM917515:TM917617 TM983051:TM983153 ADJ10:ADJ63 ADI65547:ADI65649 ADI131083:ADI131185 ADI196619:ADI196721 ADI262155:ADI262257 ADI327691:ADI327793 ADI393227:ADI393329 ADI458763:ADI458865 ADI524299:ADI524401 ADI589835:ADI589937 ADI655371:ADI655473 ADI720907:ADI721009 ADI786443:ADI786545 ADI851979:ADI852081 ADI917515:ADI917617 ADI983051:ADI983153 ANF10:ANF63 ANE65547:ANE65649 ANE131083:ANE131185 ANE196619:ANE196721 ANE262155:ANE262257 ANE327691:ANE327793 ANE393227:ANE393329 ANE458763:ANE458865 ANE524299:ANE524401 ANE589835:ANE589937 ANE655371:ANE655473 ANE720907:ANE721009 ANE786443:ANE786545 ANE851979:ANE852081 ANE917515:ANE917617 ANE983051:ANE983153 AXB10:AXB63 AXA65547:AXA65649 AXA131083:AXA131185 AXA196619:AXA196721 AXA262155:AXA262257 AXA327691:AXA327793 AXA393227:AXA393329 AXA458763:AXA458865 AXA524299:AXA524401 AXA589835:AXA589937 AXA655371:AXA655473 AXA720907:AXA721009 AXA786443:AXA786545 AXA851979:AXA852081 AXA917515:AXA917617 AXA983051:AXA983153 BGX10:BGX63 BGW65547:BGW65649 BGW131083:BGW131185 BGW196619:BGW196721 BGW262155:BGW262257 BGW327691:BGW327793 BGW393227:BGW393329 BGW458763:BGW458865 BGW524299:BGW524401 BGW589835:BGW589937 BGW655371:BGW655473 BGW720907:BGW721009 BGW786443:BGW786545 BGW851979:BGW852081 BGW917515:BGW917617 BGW983051:BGW983153 BQT10:BQT63 BQS65547:BQS65649 BQS131083:BQS131185 BQS196619:BQS196721 BQS262155:BQS262257 BQS327691:BQS327793 BQS393227:BQS393329 BQS458763:BQS458865 BQS524299:BQS524401 BQS589835:BQS589937 BQS655371:BQS655473 BQS720907:BQS721009 BQS786443:BQS786545 BQS851979:BQS852081 BQS917515:BQS917617 BQS983051:BQS983153 CAP10:CAP63 CAO65547:CAO65649 CAO131083:CAO131185 CAO196619:CAO196721 CAO262155:CAO262257 CAO327691:CAO327793 CAO393227:CAO393329 CAO458763:CAO458865 CAO524299:CAO524401 CAO589835:CAO589937 CAO655371:CAO655473 CAO720907:CAO721009 CAO786443:CAO786545 CAO851979:CAO852081 CAO917515:CAO917617 CAO983051:CAO983153 CKL10:CKL63 CKK65547:CKK65649 CKK131083:CKK131185 CKK196619:CKK196721 CKK262155:CKK262257 CKK327691:CKK327793 CKK393227:CKK393329 CKK458763:CKK458865 CKK524299:CKK524401 CKK589835:CKK589937 CKK655371:CKK655473 CKK720907:CKK721009 CKK786443:CKK786545 CKK851979:CKK852081 CKK917515:CKK917617 CKK983051:CKK983153 CUH10:CUH63 CUG65547:CUG65649 CUG131083:CUG131185 CUG196619:CUG196721 CUG262155:CUG262257 CUG327691:CUG327793 CUG393227:CUG393329 CUG458763:CUG458865 CUG524299:CUG524401 CUG589835:CUG589937 CUG655371:CUG655473 CUG720907:CUG721009 CUG786443:CUG786545 CUG851979:CUG852081 CUG917515:CUG917617 CUG983051:CUG983153 DED10:DED63 DEC65547:DEC65649 DEC131083:DEC131185 DEC196619:DEC196721 DEC262155:DEC262257 DEC327691:DEC327793 DEC393227:DEC393329 DEC458763:DEC458865 DEC524299:DEC524401 DEC589835:DEC589937 DEC655371:DEC655473 DEC720907:DEC721009 DEC786443:DEC786545 DEC851979:DEC852081 DEC917515:DEC917617 DEC983051:DEC983153 DNZ10:DNZ63 DNY65547:DNY65649 DNY131083:DNY131185 DNY196619:DNY196721 DNY262155:DNY262257 DNY327691:DNY327793 DNY393227:DNY393329 DNY458763:DNY458865 DNY524299:DNY524401 DNY589835:DNY589937 DNY655371:DNY655473 DNY720907:DNY721009 DNY786443:DNY786545 DNY851979:DNY852081 DNY917515:DNY917617 DNY983051:DNY983153 DXV10:DXV63 DXU65547:DXU65649 DXU131083:DXU131185 DXU196619:DXU196721 DXU262155:DXU262257 DXU327691:DXU327793 DXU393227:DXU393329 DXU458763:DXU458865 DXU524299:DXU524401 DXU589835:DXU589937 DXU655371:DXU655473 DXU720907:DXU721009 DXU786443:DXU786545 DXU851979:DXU852081 DXU917515:DXU917617 DXU983051:DXU983153 EHR10:EHR63 EHQ65547:EHQ65649 EHQ131083:EHQ131185 EHQ196619:EHQ196721 EHQ262155:EHQ262257 EHQ327691:EHQ327793 EHQ393227:EHQ393329 EHQ458763:EHQ458865 EHQ524299:EHQ524401 EHQ589835:EHQ589937 EHQ655371:EHQ655473 EHQ720907:EHQ721009 EHQ786443:EHQ786545 EHQ851979:EHQ852081 EHQ917515:EHQ917617 EHQ983051:EHQ983153 ERN10:ERN63 ERM65547:ERM65649 ERM131083:ERM131185 ERM196619:ERM196721 ERM262155:ERM262257 ERM327691:ERM327793 ERM393227:ERM393329 ERM458763:ERM458865 ERM524299:ERM524401 ERM589835:ERM589937 ERM655371:ERM655473 ERM720907:ERM721009 ERM786443:ERM786545 ERM851979:ERM852081 ERM917515:ERM917617 ERM983051:ERM983153 FBJ10:FBJ63 FBI65547:FBI65649 FBI131083:FBI131185 FBI196619:FBI196721 FBI262155:FBI262257 FBI327691:FBI327793 FBI393227:FBI393329 FBI458763:FBI458865 FBI524299:FBI524401 FBI589835:FBI589937 FBI655371:FBI655473 FBI720907:FBI721009 FBI786443:FBI786545 FBI851979:FBI852081 FBI917515:FBI917617 FBI983051:FBI983153 FLF10:FLF63 FLE65547:FLE65649 FLE131083:FLE131185 FLE196619:FLE196721 FLE262155:FLE262257 FLE327691:FLE327793 FLE393227:FLE393329 FLE458763:FLE458865 FLE524299:FLE524401 FLE589835:FLE589937 FLE655371:FLE655473 FLE720907:FLE721009 FLE786443:FLE786545 FLE851979:FLE852081 FLE917515:FLE917617 FLE983051:FLE983153 FVB10:FVB63 FVA65547:FVA65649 FVA131083:FVA131185 FVA196619:FVA196721 FVA262155:FVA262257 FVA327691:FVA327793 FVA393227:FVA393329 FVA458763:FVA458865 FVA524299:FVA524401 FVA589835:FVA589937 FVA655371:FVA655473 FVA720907:FVA721009 FVA786443:FVA786545 FVA851979:FVA852081 FVA917515:FVA917617 FVA983051:FVA983153 GEX10:GEX63 GEW65547:GEW65649 GEW131083:GEW131185 GEW196619:GEW196721 GEW262155:GEW262257 GEW327691:GEW327793 GEW393227:GEW393329 GEW458763:GEW458865 GEW524299:GEW524401 GEW589835:GEW589937 GEW655371:GEW655473 GEW720907:GEW721009 GEW786443:GEW786545 GEW851979:GEW852081 GEW917515:GEW917617 GEW983051:GEW983153 GOT10:GOT63 GOS65547:GOS65649 GOS131083:GOS131185 GOS196619:GOS196721 GOS262155:GOS262257 GOS327691:GOS327793 GOS393227:GOS393329 GOS458763:GOS458865 GOS524299:GOS524401 GOS589835:GOS589937 GOS655371:GOS655473 GOS720907:GOS721009 GOS786443:GOS786545 GOS851979:GOS852081 GOS917515:GOS917617 GOS983051:GOS983153 GYP10:GYP63 GYO65547:GYO65649 GYO131083:GYO131185 GYO196619:GYO196721 GYO262155:GYO262257 GYO327691:GYO327793 GYO393227:GYO393329 GYO458763:GYO458865 GYO524299:GYO524401 GYO589835:GYO589937 GYO655371:GYO655473 GYO720907:GYO721009 GYO786443:GYO786545 GYO851979:GYO852081 GYO917515:GYO917617 GYO983051:GYO983153 HIL10:HIL63 HIK65547:HIK65649 HIK131083:HIK131185 HIK196619:HIK196721 HIK262155:HIK262257 HIK327691:HIK327793 HIK393227:HIK393329 HIK458763:HIK458865 HIK524299:HIK524401 HIK589835:HIK589937 HIK655371:HIK655473 HIK720907:HIK721009 HIK786443:HIK786545 HIK851979:HIK852081 HIK917515:HIK917617 HIK983051:HIK983153 HSH10:HSH63 HSG65547:HSG65649 HSG131083:HSG131185 HSG196619:HSG196721 HSG262155:HSG262257 HSG327691:HSG327793 HSG393227:HSG393329 HSG458763:HSG458865 HSG524299:HSG524401 HSG589835:HSG589937 HSG655371:HSG655473 HSG720907:HSG721009 HSG786443:HSG786545 HSG851979:HSG852081 HSG917515:HSG917617 HSG983051:HSG983153 ICD10:ICD63 ICC65547:ICC65649 ICC131083:ICC131185 ICC196619:ICC196721 ICC262155:ICC262257 ICC327691:ICC327793 ICC393227:ICC393329 ICC458763:ICC458865 ICC524299:ICC524401 ICC589835:ICC589937 ICC655371:ICC655473 ICC720907:ICC721009 ICC786443:ICC786545 ICC851979:ICC852081 ICC917515:ICC917617 ICC983051:ICC983153 ILZ10:ILZ63 ILY65547:ILY65649 ILY131083:ILY131185 ILY196619:ILY196721 ILY262155:ILY262257 ILY327691:ILY327793 ILY393227:ILY393329 ILY458763:ILY458865 ILY524299:ILY524401 ILY589835:ILY589937 ILY655371:ILY655473 ILY720907:ILY721009 ILY786443:ILY786545 ILY851979:ILY852081 ILY917515:ILY917617 ILY983051:ILY983153 IVV10:IVV63 IVU65547:IVU65649 IVU131083:IVU131185 IVU196619:IVU196721 IVU262155:IVU262257 IVU327691:IVU327793 IVU393227:IVU393329 IVU458763:IVU458865 IVU524299:IVU524401 IVU589835:IVU589937 IVU655371:IVU655473 IVU720907:IVU721009 IVU786443:IVU786545 IVU851979:IVU852081 IVU917515:IVU917617 IVU983051:IVU983153 JFR10:JFR63 JFQ65547:JFQ65649 JFQ131083:JFQ131185 JFQ196619:JFQ196721 JFQ262155:JFQ262257 JFQ327691:JFQ327793 JFQ393227:JFQ393329 JFQ458763:JFQ458865 JFQ524299:JFQ524401 JFQ589835:JFQ589937 JFQ655371:JFQ655473 JFQ720907:JFQ721009 JFQ786443:JFQ786545 JFQ851979:JFQ852081 JFQ917515:JFQ917617 JFQ983051:JFQ983153 JPN10:JPN63 JPM65547:JPM65649 JPM131083:JPM131185 JPM196619:JPM196721 JPM262155:JPM262257 JPM327691:JPM327793 JPM393227:JPM393329 JPM458763:JPM458865 JPM524299:JPM524401 JPM589835:JPM589937 JPM655371:JPM655473 JPM720907:JPM721009 JPM786443:JPM786545 JPM851979:JPM852081 JPM917515:JPM917617 JPM983051:JPM983153 JZJ10:JZJ63 JZI65547:JZI65649 JZI131083:JZI131185 JZI196619:JZI196721 JZI262155:JZI262257 JZI327691:JZI327793 JZI393227:JZI393329 JZI458763:JZI458865 JZI524299:JZI524401 JZI589835:JZI589937 JZI655371:JZI655473 JZI720907:JZI721009 JZI786443:JZI786545 JZI851979:JZI852081 JZI917515:JZI917617 JZI983051:JZI983153 KJF10:KJF63 KJE65547:KJE65649 KJE131083:KJE131185 KJE196619:KJE196721 KJE262155:KJE262257 KJE327691:KJE327793 KJE393227:KJE393329 KJE458763:KJE458865 KJE524299:KJE524401 KJE589835:KJE589937 KJE655371:KJE655473 KJE720907:KJE721009 KJE786443:KJE786545 KJE851979:KJE852081 KJE917515:KJE917617 KJE983051:KJE983153 KTB10:KTB63 KTA65547:KTA65649 KTA131083:KTA131185 KTA196619:KTA196721 KTA262155:KTA262257 KTA327691:KTA327793 KTA393227:KTA393329 KTA458763:KTA458865 KTA524299:KTA524401 KTA589835:KTA589937 KTA655371:KTA655473 KTA720907:KTA721009 KTA786443:KTA786545 KTA851979:KTA852081 KTA917515:KTA917617 KTA983051:KTA983153 LCX10:LCX63 LCW65547:LCW65649 LCW131083:LCW131185 LCW196619:LCW196721 LCW262155:LCW262257 LCW327691:LCW327793 LCW393227:LCW393329 LCW458763:LCW458865 LCW524299:LCW524401 LCW589835:LCW589937 LCW655371:LCW655473 LCW720907:LCW721009 LCW786443:LCW786545 LCW851979:LCW852081 LCW917515:LCW917617 LCW983051:LCW983153 LMT10:LMT63 LMS65547:LMS65649 LMS131083:LMS131185 LMS196619:LMS196721 LMS262155:LMS262257 LMS327691:LMS327793 LMS393227:LMS393329 LMS458763:LMS458865 LMS524299:LMS524401 LMS589835:LMS589937 LMS655371:LMS655473 LMS720907:LMS721009 LMS786443:LMS786545 LMS851979:LMS852081 LMS917515:LMS917617 LMS983051:LMS983153 LWP10:LWP63 LWO65547:LWO65649 LWO131083:LWO131185 LWO196619:LWO196721 LWO262155:LWO262257 LWO327691:LWO327793 LWO393227:LWO393329 LWO458763:LWO458865 LWO524299:LWO524401 LWO589835:LWO589937 LWO655371:LWO655473 LWO720907:LWO721009 LWO786443:LWO786545 LWO851979:LWO852081 LWO917515:LWO917617 LWO983051:LWO983153 MGL10:MGL63 MGK65547:MGK65649 MGK131083:MGK131185 MGK196619:MGK196721 MGK262155:MGK262257 MGK327691:MGK327793 MGK393227:MGK393329 MGK458763:MGK458865 MGK524299:MGK524401 MGK589835:MGK589937 MGK655371:MGK655473 MGK720907:MGK721009 MGK786443:MGK786545 MGK851979:MGK852081 MGK917515:MGK917617 MGK983051:MGK983153 MQH10:MQH63 MQG65547:MQG65649 MQG131083:MQG131185 MQG196619:MQG196721 MQG262155:MQG262257 MQG327691:MQG327793 MQG393227:MQG393329 MQG458763:MQG458865 MQG524299:MQG524401 MQG589835:MQG589937 MQG655371:MQG655473 MQG720907:MQG721009 MQG786443:MQG786545 MQG851979:MQG852081 MQG917515:MQG917617 MQG983051:MQG983153 NAD10:NAD63 NAC65547:NAC65649 NAC131083:NAC131185 NAC196619:NAC196721 NAC262155:NAC262257 NAC327691:NAC327793 NAC393227:NAC393329 NAC458763:NAC458865 NAC524299:NAC524401 NAC589835:NAC589937 NAC655371:NAC655473 NAC720907:NAC721009 NAC786443:NAC786545 NAC851979:NAC852081 NAC917515:NAC917617 NAC983051:NAC983153 NJZ10:NJZ63 NJY65547:NJY65649 NJY131083:NJY131185 NJY196619:NJY196721 NJY262155:NJY262257 NJY327691:NJY327793 NJY393227:NJY393329 NJY458763:NJY458865 NJY524299:NJY524401 NJY589835:NJY589937 NJY655371:NJY655473 NJY720907:NJY721009 NJY786443:NJY786545 NJY851979:NJY852081 NJY917515:NJY917617 NJY983051:NJY983153 NTV10:NTV63 NTU65547:NTU65649 NTU131083:NTU131185 NTU196619:NTU196721 NTU262155:NTU262257 NTU327691:NTU327793 NTU393227:NTU393329 NTU458763:NTU458865 NTU524299:NTU524401 NTU589835:NTU589937 NTU655371:NTU655473 NTU720907:NTU721009 NTU786443:NTU786545 NTU851979:NTU852081 NTU917515:NTU917617 NTU983051:NTU983153 ODR10:ODR63 ODQ65547:ODQ65649 ODQ131083:ODQ131185 ODQ196619:ODQ196721 ODQ262155:ODQ262257 ODQ327691:ODQ327793 ODQ393227:ODQ393329 ODQ458763:ODQ458865 ODQ524299:ODQ524401 ODQ589835:ODQ589937 ODQ655371:ODQ655473 ODQ720907:ODQ721009 ODQ786443:ODQ786545 ODQ851979:ODQ852081 ODQ917515:ODQ917617 ODQ983051:ODQ983153 ONN10:ONN63 ONM65547:ONM65649 ONM131083:ONM131185 ONM196619:ONM196721 ONM262155:ONM262257 ONM327691:ONM327793 ONM393227:ONM393329 ONM458763:ONM458865 ONM524299:ONM524401 ONM589835:ONM589937 ONM655371:ONM655473 ONM720907:ONM721009 ONM786443:ONM786545 ONM851979:ONM852081 ONM917515:ONM917617 ONM983051:ONM983153 OXJ10:OXJ63 OXI65547:OXI65649 OXI131083:OXI131185 OXI196619:OXI196721 OXI262155:OXI262257 OXI327691:OXI327793 OXI393227:OXI393329 OXI458763:OXI458865 OXI524299:OXI524401 OXI589835:OXI589937 OXI655371:OXI655473 OXI720907:OXI721009 OXI786443:OXI786545 OXI851979:OXI852081 OXI917515:OXI917617 OXI983051:OXI983153 PHF10:PHF63 PHE65547:PHE65649 PHE131083:PHE131185 PHE196619:PHE196721 PHE262155:PHE262257 PHE327691:PHE327793 PHE393227:PHE393329 PHE458763:PHE458865 PHE524299:PHE524401 PHE589835:PHE589937 PHE655371:PHE655473 PHE720907:PHE721009 PHE786443:PHE786545 PHE851979:PHE852081 PHE917515:PHE917617 PHE983051:PHE983153 PRB10:PRB63 PRA65547:PRA65649 PRA131083:PRA131185 PRA196619:PRA196721 PRA262155:PRA262257 PRA327691:PRA327793 PRA393227:PRA393329 PRA458763:PRA458865 PRA524299:PRA524401 PRA589835:PRA589937 PRA655371:PRA655473 PRA720907:PRA721009 PRA786443:PRA786545 PRA851979:PRA852081 PRA917515:PRA917617 PRA983051:PRA983153 QAX10:QAX63 QAW65547:QAW65649 QAW131083:QAW131185 QAW196619:QAW196721 QAW262155:QAW262257 QAW327691:QAW327793 QAW393227:QAW393329 QAW458763:QAW458865 QAW524299:QAW524401 QAW589835:QAW589937 QAW655371:QAW655473 QAW720907:QAW721009 QAW786443:QAW786545 QAW851979:QAW852081 QAW917515:QAW917617 QAW983051:QAW983153 QKT10:QKT63 QKS65547:QKS65649 QKS131083:QKS131185 QKS196619:QKS196721 QKS262155:QKS262257 QKS327691:QKS327793 QKS393227:QKS393329 QKS458763:QKS458865 QKS524299:QKS524401 QKS589835:QKS589937 QKS655371:QKS655473 QKS720907:QKS721009 QKS786443:QKS786545 QKS851979:QKS852081 QKS917515:QKS917617 QKS983051:QKS983153 QUP10:QUP63 QUO65547:QUO65649 QUO131083:QUO131185 QUO196619:QUO196721 QUO262155:QUO262257 QUO327691:QUO327793 QUO393227:QUO393329 QUO458763:QUO458865 QUO524299:QUO524401 QUO589835:QUO589937 QUO655371:QUO655473 QUO720907:QUO721009 QUO786443:QUO786545 QUO851979:QUO852081 QUO917515:QUO917617 QUO983051:QUO983153 REL10:REL63 REK65547:REK65649 REK131083:REK131185 REK196619:REK196721 REK262155:REK262257 REK327691:REK327793 REK393227:REK393329 REK458763:REK458865 REK524299:REK524401 REK589835:REK589937 REK655371:REK655473 REK720907:REK721009 REK786443:REK786545 REK851979:REK852081 REK917515:REK917617 REK983051:REK983153 ROH10:ROH63 ROG65547:ROG65649 ROG131083:ROG131185 ROG196619:ROG196721 ROG262155:ROG262257 ROG327691:ROG327793 ROG393227:ROG393329 ROG458763:ROG458865 ROG524299:ROG524401 ROG589835:ROG589937 ROG655371:ROG655473 ROG720907:ROG721009 ROG786443:ROG786545 ROG851979:ROG852081 ROG917515:ROG917617 ROG983051:ROG983153 RYD10:RYD63 RYC65547:RYC65649 RYC131083:RYC131185 RYC196619:RYC196721 RYC262155:RYC262257 RYC327691:RYC327793 RYC393227:RYC393329 RYC458763:RYC458865 RYC524299:RYC524401 RYC589835:RYC589937 RYC655371:RYC655473 RYC720907:RYC721009 RYC786443:RYC786545 RYC851979:RYC852081 RYC917515:RYC917617 RYC983051:RYC983153 SHZ10:SHZ63 SHY65547:SHY65649 SHY131083:SHY131185 SHY196619:SHY196721 SHY262155:SHY262257 SHY327691:SHY327793 SHY393227:SHY393329 SHY458763:SHY458865 SHY524299:SHY524401 SHY589835:SHY589937 SHY655371:SHY655473 SHY720907:SHY721009 SHY786443:SHY786545 SHY851979:SHY852081 SHY917515:SHY917617 SHY983051:SHY983153 SRV10:SRV63 SRU65547:SRU65649 SRU131083:SRU131185 SRU196619:SRU196721 SRU262155:SRU262257 SRU327691:SRU327793 SRU393227:SRU393329 SRU458763:SRU458865 SRU524299:SRU524401 SRU589835:SRU589937 SRU655371:SRU655473 SRU720907:SRU721009 SRU786443:SRU786545 SRU851979:SRU852081 SRU917515:SRU917617 SRU983051:SRU983153 TBR10:TBR63 TBQ65547:TBQ65649 TBQ131083:TBQ131185 TBQ196619:TBQ196721 TBQ262155:TBQ262257 TBQ327691:TBQ327793 TBQ393227:TBQ393329 TBQ458763:TBQ458865 TBQ524299:TBQ524401 TBQ589835:TBQ589937 TBQ655371:TBQ655473 TBQ720907:TBQ721009 TBQ786443:TBQ786545 TBQ851979:TBQ852081 TBQ917515:TBQ917617 TBQ983051:TBQ983153 TLN10:TLN63 TLM65547:TLM65649 TLM131083:TLM131185 TLM196619:TLM196721 TLM262155:TLM262257 TLM327691:TLM327793 TLM393227:TLM393329 TLM458763:TLM458865 TLM524299:TLM524401 TLM589835:TLM589937 TLM655371:TLM655473 TLM720907:TLM721009 TLM786443:TLM786545 TLM851979:TLM852081 TLM917515:TLM917617 TLM983051:TLM983153 TVJ10:TVJ63 TVI65547:TVI65649 TVI131083:TVI131185 TVI196619:TVI196721 TVI262155:TVI262257 TVI327691:TVI327793 TVI393227:TVI393329 TVI458763:TVI458865 TVI524299:TVI524401 TVI589835:TVI589937 TVI655371:TVI655473 TVI720907:TVI721009 TVI786443:TVI786545 TVI851979:TVI852081 TVI917515:TVI917617 TVI983051:TVI983153 UFF10:UFF63 UFE65547:UFE65649 UFE131083:UFE131185 UFE196619:UFE196721 UFE262155:UFE262257 UFE327691:UFE327793 UFE393227:UFE393329 UFE458763:UFE458865 UFE524299:UFE524401 UFE589835:UFE589937 UFE655371:UFE655473 UFE720907:UFE721009 UFE786443:UFE786545 UFE851979:UFE852081 UFE917515:UFE917617 UFE983051:UFE983153 UPB10:UPB63 UPA65547:UPA65649 UPA131083:UPA131185 UPA196619:UPA196721 UPA262155:UPA262257 UPA327691:UPA327793 UPA393227:UPA393329 UPA458763:UPA458865 UPA524299:UPA524401 UPA589835:UPA589937 UPA655371:UPA655473 UPA720907:UPA721009 UPA786443:UPA786545 UPA851979:UPA852081 UPA917515:UPA917617 UPA983051:UPA983153 UYX10:UYX63 UYW65547:UYW65649 UYW131083:UYW131185 UYW196619:UYW196721 UYW262155:UYW262257 UYW327691:UYW327793 UYW393227:UYW393329 UYW458763:UYW458865 UYW524299:UYW524401 UYW589835:UYW589937 UYW655371:UYW655473 UYW720907:UYW721009 UYW786443:UYW786545 UYW851979:UYW852081 UYW917515:UYW917617 UYW983051:UYW983153 VIT10:VIT63 VIS65547:VIS65649 VIS131083:VIS131185 VIS196619:VIS196721 VIS262155:VIS262257 VIS327691:VIS327793 VIS393227:VIS393329 VIS458763:VIS458865 VIS524299:VIS524401 VIS589835:VIS589937 VIS655371:VIS655473 VIS720907:VIS721009 VIS786443:VIS786545 VIS851979:VIS852081 VIS917515:VIS917617 VIS983051:VIS983153 VSP10:VSP63 VSO65547:VSO65649 VSO131083:VSO131185 VSO196619:VSO196721 VSO262155:VSO262257 VSO327691:VSO327793 VSO393227:VSO393329 VSO458763:VSO458865 VSO524299:VSO524401 VSO589835:VSO589937 VSO655371:VSO655473 VSO720907:VSO721009 VSO786443:VSO786545 VSO851979:VSO852081 VSO917515:VSO917617 VSO983051:VSO983153 WCL10:WCL63 WCK65547:WCK65649 WCK131083:WCK131185 WCK196619:WCK196721 WCK262155:WCK262257 WCK327691:WCK327793 WCK393227:WCK393329 WCK458763:WCK458865 WCK524299:WCK524401 WCK589835:WCK589937 WCK655371:WCK655473 WCK720907:WCK721009 WCK786443:WCK786545 WCK851979:WCK852081 WCK917515:WCK917617 WCK983051:WCK983153 WMH10:WMH63 WMG65547:WMG65649 WMG131083:WMG131185 WMG196619:WMG196721 WMG262155:WMG262257 WMG327691:WMG327793 WMG393227:WMG393329 WMG458763:WMG458865 WMG524299:WMG524401 WMG589835:WMG589937 WMG655371:WMG655473 WMG720907:WMG721009 WMG786443:WMG786545 WMG851979:WMG852081 WMG917515:WMG917617 WMG983051:WMG983153 WWD10:WWD63 WWC983051:WWC983153 WWC65547:WWC65649 WWC131083:WWC131185 WWC196619:WWC196721 WWC262155:WWC262257 WWC327691:WWC327793 WWC393227:WWC393329 WWC458763:WWC458865 WWC524299:WWC524401 WWC589835:WWC589937 WWC655371:WWC655473 WWC720907:WWC721009 WWC786443:WWC786545 WWC851979:WWC852081 WWC917515:WWC917617 JR10:JR63 WWD66:WWD114 WMH66:WMH114 WCL66:WCL114 VSP66:VSP114 VIT66:VIT114 UYX66:UYX114 UPB66:UPB114 UFF66:UFF114 TVJ66:TVJ114 TLN66:TLN114 TBR66:TBR114 SRV66:SRV114 SHZ66:SHZ114 RYD66:RYD114 ROH66:ROH114 REL66:REL114 QUP66:QUP114 QKT66:QKT114 QAX66:QAX114 PRB66:PRB114 PHF66:PHF114 OXJ66:OXJ114 ONN66:ONN114 ODR66:ODR114 NTV66:NTV114 NJZ66:NJZ114 NAD66:NAD114 MQH66:MQH114 MGL66:MGL114 LWP66:LWP114 LMT66:LMT114 LCX66:LCX114 KTB66:KTB114 KJF66:KJF114 JZJ66:JZJ114 JPN66:JPN114 JFR66:JFR114 IVV66:IVV114 ILZ66:ILZ114 ICD66:ICD114 HSH66:HSH114 HIL66:HIL114 GYP66:GYP114 GOT66:GOT114 GEX66:GEX114 FVB66:FVB114 FLF66:FLF114 FBJ66:FBJ114 ERN66:ERN114 EHR66:EHR114 DXV66:DXV114 DNZ66:DNZ114 DED66:DED114 CUH66:CUH114 CKL66:CKL114 CAP66:CAP114 BQT66:BQT114 BGX66:BGX114 AXB66:AXB114 ANF66:ANF114 ADJ66:ADJ114 TN66:TN114 JR66:JR114" xr:uid="{CA3FFABE-3134-44F7-BD5B-18B9B0DEDE7E}"/>
    <dataValidation allowBlank="1" showInputMessage="1" showErrorMessage="1" prompt="Percentage" sqref="WVZ851978 I65546 I131082 I196618 I262154 I327690 I393226 I458762 I524298 I589834 I655370 I720906 I786442 I851978 I917514 I983050 WVZ917514 O65546 O131082 O196618 O262154 O327690 O393226 O458762 O524298 O589834 O655370 O720906 O786442 O851978 O917514 O983050 WVZ983050 U65546 U131082 U196618 U262154 U327690 U393226 U458762 U524298 U589834 U655370 U720906 U786442 U851978 U917514 U983050 IY9 IX65546 IX131082 IX196618 IX262154 IX327690 IX393226 IX458762 IX524298 IX589834 IX655370 IX720906 IX786442 IX851978 IX917514 IX983050 JL9 JK65546 JK131082 JK196618 JK262154 JK327690 JK393226 JK458762 JK524298 JK589834 JK655370 JK720906 JK786442 JK851978 JK917514 JK983050 JO9 JN65546 JN131082 JN196618 JN262154 JN327690 JN393226 JN458762 JN524298 JN589834 JN655370 JN720906 JN786442 JN851978 JN917514 JN983050 SU9 ST65546 ST131082 ST196618 ST262154 ST327690 ST393226 ST458762 ST524298 ST589834 ST655370 ST720906 ST786442 ST851978 ST917514 ST983050 TH9 TG65546 TG131082 TG196618 TG262154 TG327690 TG393226 TG458762 TG524298 TG589834 TG655370 TG720906 TG786442 TG851978 TG917514 TG983050 TK9 TJ65546 TJ131082 TJ196618 TJ262154 TJ327690 TJ393226 TJ458762 TJ524298 TJ589834 TJ655370 TJ720906 TJ786442 TJ851978 TJ917514 TJ983050 ACQ9 ACP65546 ACP131082 ACP196618 ACP262154 ACP327690 ACP393226 ACP458762 ACP524298 ACP589834 ACP655370 ACP720906 ACP786442 ACP851978 ACP917514 ACP983050 ADD9 ADC65546 ADC131082 ADC196618 ADC262154 ADC327690 ADC393226 ADC458762 ADC524298 ADC589834 ADC655370 ADC720906 ADC786442 ADC851978 ADC917514 ADC983050 ADG9 ADF65546 ADF131082 ADF196618 ADF262154 ADF327690 ADF393226 ADF458762 ADF524298 ADF589834 ADF655370 ADF720906 ADF786442 ADF851978 ADF917514 ADF983050 AMM9 AML65546 AML131082 AML196618 AML262154 AML327690 AML393226 AML458762 AML524298 AML589834 AML655370 AML720906 AML786442 AML851978 AML917514 AML983050 AMZ9 AMY65546 AMY131082 AMY196618 AMY262154 AMY327690 AMY393226 AMY458762 AMY524298 AMY589834 AMY655370 AMY720906 AMY786442 AMY851978 AMY917514 AMY983050 ANC9 ANB65546 ANB131082 ANB196618 ANB262154 ANB327690 ANB393226 ANB458762 ANB524298 ANB589834 ANB655370 ANB720906 ANB786442 ANB851978 ANB917514 ANB983050 AWI9 AWH65546 AWH131082 AWH196618 AWH262154 AWH327690 AWH393226 AWH458762 AWH524298 AWH589834 AWH655370 AWH720906 AWH786442 AWH851978 AWH917514 AWH983050 AWV9 AWU65546 AWU131082 AWU196618 AWU262154 AWU327690 AWU393226 AWU458762 AWU524298 AWU589834 AWU655370 AWU720906 AWU786442 AWU851978 AWU917514 AWU983050 AWY9 AWX65546 AWX131082 AWX196618 AWX262154 AWX327690 AWX393226 AWX458762 AWX524298 AWX589834 AWX655370 AWX720906 AWX786442 AWX851978 AWX917514 AWX983050 BGE9 BGD65546 BGD131082 BGD196618 BGD262154 BGD327690 BGD393226 BGD458762 BGD524298 BGD589834 BGD655370 BGD720906 BGD786442 BGD851978 BGD917514 BGD983050 BGR9 BGQ65546 BGQ131082 BGQ196618 BGQ262154 BGQ327690 BGQ393226 BGQ458762 BGQ524298 BGQ589834 BGQ655370 BGQ720906 BGQ786442 BGQ851978 BGQ917514 BGQ983050 BGU9 BGT65546 BGT131082 BGT196618 BGT262154 BGT327690 BGT393226 BGT458762 BGT524298 BGT589834 BGT655370 BGT720906 BGT786442 BGT851978 BGT917514 BGT983050 BQA9 BPZ65546 BPZ131082 BPZ196618 BPZ262154 BPZ327690 BPZ393226 BPZ458762 BPZ524298 BPZ589834 BPZ655370 BPZ720906 BPZ786442 BPZ851978 BPZ917514 BPZ983050 BQN9 BQM65546 BQM131082 BQM196618 BQM262154 BQM327690 BQM393226 BQM458762 BQM524298 BQM589834 BQM655370 BQM720906 BQM786442 BQM851978 BQM917514 BQM983050 BQQ9 BQP65546 BQP131082 BQP196618 BQP262154 BQP327690 BQP393226 BQP458762 BQP524298 BQP589834 BQP655370 BQP720906 BQP786442 BQP851978 BQP917514 BQP983050 BZW9 BZV65546 BZV131082 BZV196618 BZV262154 BZV327690 BZV393226 BZV458762 BZV524298 BZV589834 BZV655370 BZV720906 BZV786442 BZV851978 BZV917514 BZV983050 CAJ9 CAI65546 CAI131082 CAI196618 CAI262154 CAI327690 CAI393226 CAI458762 CAI524298 CAI589834 CAI655370 CAI720906 CAI786442 CAI851978 CAI917514 CAI983050 CAM9 CAL65546 CAL131082 CAL196618 CAL262154 CAL327690 CAL393226 CAL458762 CAL524298 CAL589834 CAL655370 CAL720906 CAL786442 CAL851978 CAL917514 CAL983050 CJS9 CJR65546 CJR131082 CJR196618 CJR262154 CJR327690 CJR393226 CJR458762 CJR524298 CJR589834 CJR655370 CJR720906 CJR786442 CJR851978 CJR917514 CJR983050 CKF9 CKE65546 CKE131082 CKE196618 CKE262154 CKE327690 CKE393226 CKE458762 CKE524298 CKE589834 CKE655370 CKE720906 CKE786442 CKE851978 CKE917514 CKE983050 CKI9 CKH65546 CKH131082 CKH196618 CKH262154 CKH327690 CKH393226 CKH458762 CKH524298 CKH589834 CKH655370 CKH720906 CKH786442 CKH851978 CKH917514 CKH983050 CTO9 CTN65546 CTN131082 CTN196618 CTN262154 CTN327690 CTN393226 CTN458762 CTN524298 CTN589834 CTN655370 CTN720906 CTN786442 CTN851978 CTN917514 CTN983050 CUB9 CUA65546 CUA131082 CUA196618 CUA262154 CUA327690 CUA393226 CUA458762 CUA524298 CUA589834 CUA655370 CUA720906 CUA786442 CUA851978 CUA917514 CUA983050 CUE9 CUD65546 CUD131082 CUD196618 CUD262154 CUD327690 CUD393226 CUD458762 CUD524298 CUD589834 CUD655370 CUD720906 CUD786442 CUD851978 CUD917514 CUD983050 DDK9 DDJ65546 DDJ131082 DDJ196618 DDJ262154 DDJ327690 DDJ393226 DDJ458762 DDJ524298 DDJ589834 DDJ655370 DDJ720906 DDJ786442 DDJ851978 DDJ917514 DDJ983050 DDX9 DDW65546 DDW131082 DDW196618 DDW262154 DDW327690 DDW393226 DDW458762 DDW524298 DDW589834 DDW655370 DDW720906 DDW786442 DDW851978 DDW917514 DDW983050 DEA9 DDZ65546 DDZ131082 DDZ196618 DDZ262154 DDZ327690 DDZ393226 DDZ458762 DDZ524298 DDZ589834 DDZ655370 DDZ720906 DDZ786442 DDZ851978 DDZ917514 DDZ983050 DNG9 DNF65546 DNF131082 DNF196618 DNF262154 DNF327690 DNF393226 DNF458762 DNF524298 DNF589834 DNF655370 DNF720906 DNF786442 DNF851978 DNF917514 DNF983050 DNT9 DNS65546 DNS131082 DNS196618 DNS262154 DNS327690 DNS393226 DNS458762 DNS524298 DNS589834 DNS655370 DNS720906 DNS786442 DNS851978 DNS917514 DNS983050 DNW9 DNV65546 DNV131082 DNV196618 DNV262154 DNV327690 DNV393226 DNV458762 DNV524298 DNV589834 DNV655370 DNV720906 DNV786442 DNV851978 DNV917514 DNV983050 DXC9 DXB65546 DXB131082 DXB196618 DXB262154 DXB327690 DXB393226 DXB458762 DXB524298 DXB589834 DXB655370 DXB720906 DXB786442 DXB851978 DXB917514 DXB983050 DXP9 DXO65546 DXO131082 DXO196618 DXO262154 DXO327690 DXO393226 DXO458762 DXO524298 DXO589834 DXO655370 DXO720906 DXO786442 DXO851978 DXO917514 DXO983050 DXS9 DXR65546 DXR131082 DXR196618 DXR262154 DXR327690 DXR393226 DXR458762 DXR524298 DXR589834 DXR655370 DXR720906 DXR786442 DXR851978 DXR917514 DXR983050 EGY9 EGX65546 EGX131082 EGX196618 EGX262154 EGX327690 EGX393226 EGX458762 EGX524298 EGX589834 EGX655370 EGX720906 EGX786442 EGX851978 EGX917514 EGX983050 EHL9 EHK65546 EHK131082 EHK196618 EHK262154 EHK327690 EHK393226 EHK458762 EHK524298 EHK589834 EHK655370 EHK720906 EHK786442 EHK851978 EHK917514 EHK983050 EHO9 EHN65546 EHN131082 EHN196618 EHN262154 EHN327690 EHN393226 EHN458762 EHN524298 EHN589834 EHN655370 EHN720906 EHN786442 EHN851978 EHN917514 EHN983050 EQU9 EQT65546 EQT131082 EQT196618 EQT262154 EQT327690 EQT393226 EQT458762 EQT524298 EQT589834 EQT655370 EQT720906 EQT786442 EQT851978 EQT917514 EQT983050 ERH9 ERG65546 ERG131082 ERG196618 ERG262154 ERG327690 ERG393226 ERG458762 ERG524298 ERG589834 ERG655370 ERG720906 ERG786442 ERG851978 ERG917514 ERG983050 ERK9 ERJ65546 ERJ131082 ERJ196618 ERJ262154 ERJ327690 ERJ393226 ERJ458762 ERJ524298 ERJ589834 ERJ655370 ERJ720906 ERJ786442 ERJ851978 ERJ917514 ERJ983050 FAQ9 FAP65546 FAP131082 FAP196618 FAP262154 FAP327690 FAP393226 FAP458762 FAP524298 FAP589834 FAP655370 FAP720906 FAP786442 FAP851978 FAP917514 FAP983050 FBD9 FBC65546 FBC131082 FBC196618 FBC262154 FBC327690 FBC393226 FBC458762 FBC524298 FBC589834 FBC655370 FBC720906 FBC786442 FBC851978 FBC917514 FBC983050 FBG9 FBF65546 FBF131082 FBF196618 FBF262154 FBF327690 FBF393226 FBF458762 FBF524298 FBF589834 FBF655370 FBF720906 FBF786442 FBF851978 FBF917514 FBF983050 FKM9 FKL65546 FKL131082 FKL196618 FKL262154 FKL327690 FKL393226 FKL458762 FKL524298 FKL589834 FKL655370 FKL720906 FKL786442 FKL851978 FKL917514 FKL983050 FKZ9 FKY65546 FKY131082 FKY196618 FKY262154 FKY327690 FKY393226 FKY458762 FKY524298 FKY589834 FKY655370 FKY720906 FKY786442 FKY851978 FKY917514 FKY983050 FLC9 FLB65546 FLB131082 FLB196618 FLB262154 FLB327690 FLB393226 FLB458762 FLB524298 FLB589834 FLB655370 FLB720906 FLB786442 FLB851978 FLB917514 FLB983050 FUI9 FUH65546 FUH131082 FUH196618 FUH262154 FUH327690 FUH393226 FUH458762 FUH524298 FUH589834 FUH655370 FUH720906 FUH786442 FUH851978 FUH917514 FUH983050 FUV9 FUU65546 FUU131082 FUU196618 FUU262154 FUU327690 FUU393226 FUU458762 FUU524298 FUU589834 FUU655370 FUU720906 FUU786442 FUU851978 FUU917514 FUU983050 FUY9 FUX65546 FUX131082 FUX196618 FUX262154 FUX327690 FUX393226 FUX458762 FUX524298 FUX589834 FUX655370 FUX720906 FUX786442 FUX851978 FUX917514 FUX983050 GEE9 GED65546 GED131082 GED196618 GED262154 GED327690 GED393226 GED458762 GED524298 GED589834 GED655370 GED720906 GED786442 GED851978 GED917514 GED983050 GER9 GEQ65546 GEQ131082 GEQ196618 GEQ262154 GEQ327690 GEQ393226 GEQ458762 GEQ524298 GEQ589834 GEQ655370 GEQ720906 GEQ786442 GEQ851978 GEQ917514 GEQ983050 GEU9 GET65546 GET131082 GET196618 GET262154 GET327690 GET393226 GET458762 GET524298 GET589834 GET655370 GET720906 GET786442 GET851978 GET917514 GET983050 GOA9 GNZ65546 GNZ131082 GNZ196618 GNZ262154 GNZ327690 GNZ393226 GNZ458762 GNZ524298 GNZ589834 GNZ655370 GNZ720906 GNZ786442 GNZ851978 GNZ917514 GNZ983050 GON9 GOM65546 GOM131082 GOM196618 GOM262154 GOM327690 GOM393226 GOM458762 GOM524298 GOM589834 GOM655370 GOM720906 GOM786442 GOM851978 GOM917514 GOM983050 GOQ9 GOP65546 GOP131082 GOP196618 GOP262154 GOP327690 GOP393226 GOP458762 GOP524298 GOP589834 GOP655370 GOP720906 GOP786442 GOP851978 GOP917514 GOP983050 GXW9 GXV65546 GXV131082 GXV196618 GXV262154 GXV327690 GXV393226 GXV458762 GXV524298 GXV589834 GXV655370 GXV720906 GXV786442 GXV851978 GXV917514 GXV983050 GYJ9 GYI65546 GYI131082 GYI196618 GYI262154 GYI327690 GYI393226 GYI458762 GYI524298 GYI589834 GYI655370 GYI720906 GYI786442 GYI851978 GYI917514 GYI983050 GYM9 GYL65546 GYL131082 GYL196618 GYL262154 GYL327690 GYL393226 GYL458762 GYL524298 GYL589834 GYL655370 GYL720906 GYL786442 GYL851978 GYL917514 GYL983050 HHS9 HHR65546 HHR131082 HHR196618 HHR262154 HHR327690 HHR393226 HHR458762 HHR524298 HHR589834 HHR655370 HHR720906 HHR786442 HHR851978 HHR917514 HHR983050 HIF9 HIE65546 HIE131082 HIE196618 HIE262154 HIE327690 HIE393226 HIE458762 HIE524298 HIE589834 HIE655370 HIE720906 HIE786442 HIE851978 HIE917514 HIE983050 HII9 HIH65546 HIH131082 HIH196618 HIH262154 HIH327690 HIH393226 HIH458762 HIH524298 HIH589834 HIH655370 HIH720906 HIH786442 HIH851978 HIH917514 HIH983050 HRO9 HRN65546 HRN131082 HRN196618 HRN262154 HRN327690 HRN393226 HRN458762 HRN524298 HRN589834 HRN655370 HRN720906 HRN786442 HRN851978 HRN917514 HRN983050 HSB9 HSA65546 HSA131082 HSA196618 HSA262154 HSA327690 HSA393226 HSA458762 HSA524298 HSA589834 HSA655370 HSA720906 HSA786442 HSA851978 HSA917514 HSA983050 HSE9 HSD65546 HSD131082 HSD196618 HSD262154 HSD327690 HSD393226 HSD458762 HSD524298 HSD589834 HSD655370 HSD720906 HSD786442 HSD851978 HSD917514 HSD983050 IBK9 IBJ65546 IBJ131082 IBJ196618 IBJ262154 IBJ327690 IBJ393226 IBJ458762 IBJ524298 IBJ589834 IBJ655370 IBJ720906 IBJ786442 IBJ851978 IBJ917514 IBJ983050 IBX9 IBW65546 IBW131082 IBW196618 IBW262154 IBW327690 IBW393226 IBW458762 IBW524298 IBW589834 IBW655370 IBW720906 IBW786442 IBW851978 IBW917514 IBW983050 ICA9 IBZ65546 IBZ131082 IBZ196618 IBZ262154 IBZ327690 IBZ393226 IBZ458762 IBZ524298 IBZ589834 IBZ655370 IBZ720906 IBZ786442 IBZ851978 IBZ917514 IBZ983050 ILG9 ILF65546 ILF131082 ILF196618 ILF262154 ILF327690 ILF393226 ILF458762 ILF524298 ILF589834 ILF655370 ILF720906 ILF786442 ILF851978 ILF917514 ILF983050 ILT9 ILS65546 ILS131082 ILS196618 ILS262154 ILS327690 ILS393226 ILS458762 ILS524298 ILS589834 ILS655370 ILS720906 ILS786442 ILS851978 ILS917514 ILS983050 ILW9 ILV65546 ILV131082 ILV196618 ILV262154 ILV327690 ILV393226 ILV458762 ILV524298 ILV589834 ILV655370 ILV720906 ILV786442 ILV851978 ILV917514 ILV983050 IVC9 IVB65546 IVB131082 IVB196618 IVB262154 IVB327690 IVB393226 IVB458762 IVB524298 IVB589834 IVB655370 IVB720906 IVB786442 IVB851978 IVB917514 IVB983050 IVP9 IVO65546 IVO131082 IVO196618 IVO262154 IVO327690 IVO393226 IVO458762 IVO524298 IVO589834 IVO655370 IVO720906 IVO786442 IVO851978 IVO917514 IVO983050 IVS9 IVR65546 IVR131082 IVR196618 IVR262154 IVR327690 IVR393226 IVR458762 IVR524298 IVR589834 IVR655370 IVR720906 IVR786442 IVR851978 IVR917514 IVR983050 JEY9 JEX65546 JEX131082 JEX196618 JEX262154 JEX327690 JEX393226 JEX458762 JEX524298 JEX589834 JEX655370 JEX720906 JEX786442 JEX851978 JEX917514 JEX983050 JFL9 JFK65546 JFK131082 JFK196618 JFK262154 JFK327690 JFK393226 JFK458762 JFK524298 JFK589834 JFK655370 JFK720906 JFK786442 JFK851978 JFK917514 JFK983050 JFO9 JFN65546 JFN131082 JFN196618 JFN262154 JFN327690 JFN393226 JFN458762 JFN524298 JFN589834 JFN655370 JFN720906 JFN786442 JFN851978 JFN917514 JFN983050 JOU9 JOT65546 JOT131082 JOT196618 JOT262154 JOT327690 JOT393226 JOT458762 JOT524298 JOT589834 JOT655370 JOT720906 JOT786442 JOT851978 JOT917514 JOT983050 JPH9 JPG65546 JPG131082 JPG196618 JPG262154 JPG327690 JPG393226 JPG458762 JPG524298 JPG589834 JPG655370 JPG720906 JPG786442 JPG851978 JPG917514 JPG983050 JPK9 JPJ65546 JPJ131082 JPJ196618 JPJ262154 JPJ327690 JPJ393226 JPJ458762 JPJ524298 JPJ589834 JPJ655370 JPJ720906 JPJ786442 JPJ851978 JPJ917514 JPJ983050 JYQ9 JYP65546 JYP131082 JYP196618 JYP262154 JYP327690 JYP393226 JYP458762 JYP524298 JYP589834 JYP655370 JYP720906 JYP786442 JYP851978 JYP917514 JYP983050 JZD9 JZC65546 JZC131082 JZC196618 JZC262154 JZC327690 JZC393226 JZC458762 JZC524298 JZC589834 JZC655370 JZC720906 JZC786442 JZC851978 JZC917514 JZC983050 JZG9 JZF65546 JZF131082 JZF196618 JZF262154 JZF327690 JZF393226 JZF458762 JZF524298 JZF589834 JZF655370 JZF720906 JZF786442 JZF851978 JZF917514 JZF983050 KIM9 KIL65546 KIL131082 KIL196618 KIL262154 KIL327690 KIL393226 KIL458762 KIL524298 KIL589834 KIL655370 KIL720906 KIL786442 KIL851978 KIL917514 KIL983050 KIZ9 KIY65546 KIY131082 KIY196618 KIY262154 KIY327690 KIY393226 KIY458762 KIY524298 KIY589834 KIY655370 KIY720906 KIY786442 KIY851978 KIY917514 KIY983050 KJC9 KJB65546 KJB131082 KJB196618 KJB262154 KJB327690 KJB393226 KJB458762 KJB524298 KJB589834 KJB655370 KJB720906 KJB786442 KJB851978 KJB917514 KJB983050 KSI9 KSH65546 KSH131082 KSH196618 KSH262154 KSH327690 KSH393226 KSH458762 KSH524298 KSH589834 KSH655370 KSH720906 KSH786442 KSH851978 KSH917514 KSH983050 KSV9 KSU65546 KSU131082 KSU196618 KSU262154 KSU327690 KSU393226 KSU458762 KSU524298 KSU589834 KSU655370 KSU720906 KSU786442 KSU851978 KSU917514 KSU983050 KSY9 KSX65546 KSX131082 KSX196618 KSX262154 KSX327690 KSX393226 KSX458762 KSX524298 KSX589834 KSX655370 KSX720906 KSX786442 KSX851978 KSX917514 KSX983050 LCE9 LCD65546 LCD131082 LCD196618 LCD262154 LCD327690 LCD393226 LCD458762 LCD524298 LCD589834 LCD655370 LCD720906 LCD786442 LCD851978 LCD917514 LCD983050 LCR9 LCQ65546 LCQ131082 LCQ196618 LCQ262154 LCQ327690 LCQ393226 LCQ458762 LCQ524298 LCQ589834 LCQ655370 LCQ720906 LCQ786442 LCQ851978 LCQ917514 LCQ983050 LCU9 LCT65546 LCT131082 LCT196618 LCT262154 LCT327690 LCT393226 LCT458762 LCT524298 LCT589834 LCT655370 LCT720906 LCT786442 LCT851978 LCT917514 LCT983050 LMA9 LLZ65546 LLZ131082 LLZ196618 LLZ262154 LLZ327690 LLZ393226 LLZ458762 LLZ524298 LLZ589834 LLZ655370 LLZ720906 LLZ786442 LLZ851978 LLZ917514 LLZ983050 LMN9 LMM65546 LMM131082 LMM196618 LMM262154 LMM327690 LMM393226 LMM458762 LMM524298 LMM589834 LMM655370 LMM720906 LMM786442 LMM851978 LMM917514 LMM983050 LMQ9 LMP65546 LMP131082 LMP196618 LMP262154 LMP327690 LMP393226 LMP458762 LMP524298 LMP589834 LMP655370 LMP720906 LMP786442 LMP851978 LMP917514 LMP983050 LVW9 LVV65546 LVV131082 LVV196618 LVV262154 LVV327690 LVV393226 LVV458762 LVV524298 LVV589834 LVV655370 LVV720906 LVV786442 LVV851978 LVV917514 LVV983050 LWJ9 LWI65546 LWI131082 LWI196618 LWI262154 LWI327690 LWI393226 LWI458762 LWI524298 LWI589834 LWI655370 LWI720906 LWI786442 LWI851978 LWI917514 LWI983050 LWM9 LWL65546 LWL131082 LWL196618 LWL262154 LWL327690 LWL393226 LWL458762 LWL524298 LWL589834 LWL655370 LWL720906 LWL786442 LWL851978 LWL917514 LWL983050 MFS9 MFR65546 MFR131082 MFR196618 MFR262154 MFR327690 MFR393226 MFR458762 MFR524298 MFR589834 MFR655370 MFR720906 MFR786442 MFR851978 MFR917514 MFR983050 MGF9 MGE65546 MGE131082 MGE196618 MGE262154 MGE327690 MGE393226 MGE458762 MGE524298 MGE589834 MGE655370 MGE720906 MGE786442 MGE851978 MGE917514 MGE983050 MGI9 MGH65546 MGH131082 MGH196618 MGH262154 MGH327690 MGH393226 MGH458762 MGH524298 MGH589834 MGH655370 MGH720906 MGH786442 MGH851978 MGH917514 MGH983050 MPO9 MPN65546 MPN131082 MPN196618 MPN262154 MPN327690 MPN393226 MPN458762 MPN524298 MPN589834 MPN655370 MPN720906 MPN786442 MPN851978 MPN917514 MPN983050 MQB9 MQA65546 MQA131082 MQA196618 MQA262154 MQA327690 MQA393226 MQA458762 MQA524298 MQA589834 MQA655370 MQA720906 MQA786442 MQA851978 MQA917514 MQA983050 MQE9 MQD65546 MQD131082 MQD196618 MQD262154 MQD327690 MQD393226 MQD458762 MQD524298 MQD589834 MQD655370 MQD720906 MQD786442 MQD851978 MQD917514 MQD983050 MZK9 MZJ65546 MZJ131082 MZJ196618 MZJ262154 MZJ327690 MZJ393226 MZJ458762 MZJ524298 MZJ589834 MZJ655370 MZJ720906 MZJ786442 MZJ851978 MZJ917514 MZJ983050 MZX9 MZW65546 MZW131082 MZW196618 MZW262154 MZW327690 MZW393226 MZW458762 MZW524298 MZW589834 MZW655370 MZW720906 MZW786442 MZW851978 MZW917514 MZW983050 NAA9 MZZ65546 MZZ131082 MZZ196618 MZZ262154 MZZ327690 MZZ393226 MZZ458762 MZZ524298 MZZ589834 MZZ655370 MZZ720906 MZZ786442 MZZ851978 MZZ917514 MZZ983050 NJG9 NJF65546 NJF131082 NJF196618 NJF262154 NJF327690 NJF393226 NJF458762 NJF524298 NJF589834 NJF655370 NJF720906 NJF786442 NJF851978 NJF917514 NJF983050 NJT9 NJS65546 NJS131082 NJS196618 NJS262154 NJS327690 NJS393226 NJS458762 NJS524298 NJS589834 NJS655370 NJS720906 NJS786442 NJS851978 NJS917514 NJS983050 NJW9 NJV65546 NJV131082 NJV196618 NJV262154 NJV327690 NJV393226 NJV458762 NJV524298 NJV589834 NJV655370 NJV720906 NJV786442 NJV851978 NJV917514 NJV983050 NTC9 NTB65546 NTB131082 NTB196618 NTB262154 NTB327690 NTB393226 NTB458762 NTB524298 NTB589834 NTB655370 NTB720906 NTB786442 NTB851978 NTB917514 NTB983050 NTP9 NTO65546 NTO131082 NTO196618 NTO262154 NTO327690 NTO393226 NTO458762 NTO524298 NTO589834 NTO655370 NTO720906 NTO786442 NTO851978 NTO917514 NTO983050 NTS9 NTR65546 NTR131082 NTR196618 NTR262154 NTR327690 NTR393226 NTR458762 NTR524298 NTR589834 NTR655370 NTR720906 NTR786442 NTR851978 NTR917514 NTR983050 OCY9 OCX65546 OCX131082 OCX196618 OCX262154 OCX327690 OCX393226 OCX458762 OCX524298 OCX589834 OCX655370 OCX720906 OCX786442 OCX851978 OCX917514 OCX983050 ODL9 ODK65546 ODK131082 ODK196618 ODK262154 ODK327690 ODK393226 ODK458762 ODK524298 ODK589834 ODK655370 ODK720906 ODK786442 ODK851978 ODK917514 ODK983050 ODO9 ODN65546 ODN131082 ODN196618 ODN262154 ODN327690 ODN393226 ODN458762 ODN524298 ODN589834 ODN655370 ODN720906 ODN786442 ODN851978 ODN917514 ODN983050 OMU9 OMT65546 OMT131082 OMT196618 OMT262154 OMT327690 OMT393226 OMT458762 OMT524298 OMT589834 OMT655370 OMT720906 OMT786442 OMT851978 OMT917514 OMT983050 ONH9 ONG65546 ONG131082 ONG196618 ONG262154 ONG327690 ONG393226 ONG458762 ONG524298 ONG589834 ONG655370 ONG720906 ONG786442 ONG851978 ONG917514 ONG983050 ONK9 ONJ65546 ONJ131082 ONJ196618 ONJ262154 ONJ327690 ONJ393226 ONJ458762 ONJ524298 ONJ589834 ONJ655370 ONJ720906 ONJ786442 ONJ851978 ONJ917514 ONJ983050 OWQ9 OWP65546 OWP131082 OWP196618 OWP262154 OWP327690 OWP393226 OWP458762 OWP524298 OWP589834 OWP655370 OWP720906 OWP786442 OWP851978 OWP917514 OWP983050 OXD9 OXC65546 OXC131082 OXC196618 OXC262154 OXC327690 OXC393226 OXC458762 OXC524298 OXC589834 OXC655370 OXC720906 OXC786442 OXC851978 OXC917514 OXC983050 OXG9 OXF65546 OXF131082 OXF196618 OXF262154 OXF327690 OXF393226 OXF458762 OXF524298 OXF589834 OXF655370 OXF720906 OXF786442 OXF851978 OXF917514 OXF983050 PGM9 PGL65546 PGL131082 PGL196618 PGL262154 PGL327690 PGL393226 PGL458762 PGL524298 PGL589834 PGL655370 PGL720906 PGL786442 PGL851978 PGL917514 PGL983050 PGZ9 PGY65546 PGY131082 PGY196618 PGY262154 PGY327690 PGY393226 PGY458762 PGY524298 PGY589834 PGY655370 PGY720906 PGY786442 PGY851978 PGY917514 PGY983050 PHC9 PHB65546 PHB131082 PHB196618 PHB262154 PHB327690 PHB393226 PHB458762 PHB524298 PHB589834 PHB655370 PHB720906 PHB786442 PHB851978 PHB917514 PHB983050 PQI9 PQH65546 PQH131082 PQH196618 PQH262154 PQH327690 PQH393226 PQH458762 PQH524298 PQH589834 PQH655370 PQH720906 PQH786442 PQH851978 PQH917514 PQH983050 PQV9 PQU65546 PQU131082 PQU196618 PQU262154 PQU327690 PQU393226 PQU458762 PQU524298 PQU589834 PQU655370 PQU720906 PQU786442 PQU851978 PQU917514 PQU983050 PQY9 PQX65546 PQX131082 PQX196618 PQX262154 PQX327690 PQX393226 PQX458762 PQX524298 PQX589834 PQX655370 PQX720906 PQX786442 PQX851978 PQX917514 PQX983050 QAE9 QAD65546 QAD131082 QAD196618 QAD262154 QAD327690 QAD393226 QAD458762 QAD524298 QAD589834 QAD655370 QAD720906 QAD786442 QAD851978 QAD917514 QAD983050 QAR9 QAQ65546 QAQ131082 QAQ196618 QAQ262154 QAQ327690 QAQ393226 QAQ458762 QAQ524298 QAQ589834 QAQ655370 QAQ720906 QAQ786442 QAQ851978 QAQ917514 QAQ983050 QAU9 QAT65546 QAT131082 QAT196618 QAT262154 QAT327690 QAT393226 QAT458762 QAT524298 QAT589834 QAT655370 QAT720906 QAT786442 QAT851978 QAT917514 QAT983050 QKA9 QJZ65546 QJZ131082 QJZ196618 QJZ262154 QJZ327690 QJZ393226 QJZ458762 QJZ524298 QJZ589834 QJZ655370 QJZ720906 QJZ786442 QJZ851978 QJZ917514 QJZ983050 QKN9 QKM65546 QKM131082 QKM196618 QKM262154 QKM327690 QKM393226 QKM458762 QKM524298 QKM589834 QKM655370 QKM720906 QKM786442 QKM851978 QKM917514 QKM983050 QKQ9 QKP65546 QKP131082 QKP196618 QKP262154 QKP327690 QKP393226 QKP458762 QKP524298 QKP589834 QKP655370 QKP720906 QKP786442 QKP851978 QKP917514 QKP983050 QTW9 QTV65546 QTV131082 QTV196618 QTV262154 QTV327690 QTV393226 QTV458762 QTV524298 QTV589834 QTV655370 QTV720906 QTV786442 QTV851978 QTV917514 QTV983050 QUJ9 QUI65546 QUI131082 QUI196618 QUI262154 QUI327690 QUI393226 QUI458762 QUI524298 QUI589834 QUI655370 QUI720906 QUI786442 QUI851978 QUI917514 QUI983050 QUM9 QUL65546 QUL131082 QUL196618 QUL262154 QUL327690 QUL393226 QUL458762 QUL524298 QUL589834 QUL655370 QUL720906 QUL786442 QUL851978 QUL917514 QUL983050 RDS9 RDR65546 RDR131082 RDR196618 RDR262154 RDR327690 RDR393226 RDR458762 RDR524298 RDR589834 RDR655370 RDR720906 RDR786442 RDR851978 RDR917514 RDR983050 REF9 REE65546 REE131082 REE196618 REE262154 REE327690 REE393226 REE458762 REE524298 REE589834 REE655370 REE720906 REE786442 REE851978 REE917514 REE983050 REI9 REH65546 REH131082 REH196618 REH262154 REH327690 REH393226 REH458762 REH524298 REH589834 REH655370 REH720906 REH786442 REH851978 REH917514 REH983050 RNO9 RNN65546 RNN131082 RNN196618 RNN262154 RNN327690 RNN393226 RNN458762 RNN524298 RNN589834 RNN655370 RNN720906 RNN786442 RNN851978 RNN917514 RNN983050 ROB9 ROA65546 ROA131082 ROA196618 ROA262154 ROA327690 ROA393226 ROA458762 ROA524298 ROA589834 ROA655370 ROA720906 ROA786442 ROA851978 ROA917514 ROA983050 ROE9 ROD65546 ROD131082 ROD196618 ROD262154 ROD327690 ROD393226 ROD458762 ROD524298 ROD589834 ROD655370 ROD720906 ROD786442 ROD851978 ROD917514 ROD983050 RXK9 RXJ65546 RXJ131082 RXJ196618 RXJ262154 RXJ327690 RXJ393226 RXJ458762 RXJ524298 RXJ589834 RXJ655370 RXJ720906 RXJ786442 RXJ851978 RXJ917514 RXJ983050 RXX9 RXW65546 RXW131082 RXW196618 RXW262154 RXW327690 RXW393226 RXW458762 RXW524298 RXW589834 RXW655370 RXW720906 RXW786442 RXW851978 RXW917514 RXW983050 RYA9 RXZ65546 RXZ131082 RXZ196618 RXZ262154 RXZ327690 RXZ393226 RXZ458762 RXZ524298 RXZ589834 RXZ655370 RXZ720906 RXZ786442 RXZ851978 RXZ917514 RXZ983050 SHG9 SHF65546 SHF131082 SHF196618 SHF262154 SHF327690 SHF393226 SHF458762 SHF524298 SHF589834 SHF655370 SHF720906 SHF786442 SHF851978 SHF917514 SHF983050 SHT9 SHS65546 SHS131082 SHS196618 SHS262154 SHS327690 SHS393226 SHS458762 SHS524298 SHS589834 SHS655370 SHS720906 SHS786442 SHS851978 SHS917514 SHS983050 SHW9 SHV65546 SHV131082 SHV196618 SHV262154 SHV327690 SHV393226 SHV458762 SHV524298 SHV589834 SHV655370 SHV720906 SHV786442 SHV851978 SHV917514 SHV983050 SRC9 SRB65546 SRB131082 SRB196618 SRB262154 SRB327690 SRB393226 SRB458762 SRB524298 SRB589834 SRB655370 SRB720906 SRB786442 SRB851978 SRB917514 SRB983050 SRP9 SRO65546 SRO131082 SRO196618 SRO262154 SRO327690 SRO393226 SRO458762 SRO524298 SRO589834 SRO655370 SRO720906 SRO786442 SRO851978 SRO917514 SRO983050 SRS9 SRR65546 SRR131082 SRR196618 SRR262154 SRR327690 SRR393226 SRR458762 SRR524298 SRR589834 SRR655370 SRR720906 SRR786442 SRR851978 SRR917514 SRR983050 TAY9 TAX65546 TAX131082 TAX196618 TAX262154 TAX327690 TAX393226 TAX458762 TAX524298 TAX589834 TAX655370 TAX720906 TAX786442 TAX851978 TAX917514 TAX983050 TBL9 TBK65546 TBK131082 TBK196618 TBK262154 TBK327690 TBK393226 TBK458762 TBK524298 TBK589834 TBK655370 TBK720906 TBK786442 TBK851978 TBK917514 TBK983050 TBO9 TBN65546 TBN131082 TBN196618 TBN262154 TBN327690 TBN393226 TBN458762 TBN524298 TBN589834 TBN655370 TBN720906 TBN786442 TBN851978 TBN917514 TBN983050 TKU9 TKT65546 TKT131082 TKT196618 TKT262154 TKT327690 TKT393226 TKT458762 TKT524298 TKT589834 TKT655370 TKT720906 TKT786442 TKT851978 TKT917514 TKT983050 TLH9 TLG65546 TLG131082 TLG196618 TLG262154 TLG327690 TLG393226 TLG458762 TLG524298 TLG589834 TLG655370 TLG720906 TLG786442 TLG851978 TLG917514 TLG983050 TLK9 TLJ65546 TLJ131082 TLJ196618 TLJ262154 TLJ327690 TLJ393226 TLJ458762 TLJ524298 TLJ589834 TLJ655370 TLJ720906 TLJ786442 TLJ851978 TLJ917514 TLJ983050 TUQ9 TUP65546 TUP131082 TUP196618 TUP262154 TUP327690 TUP393226 TUP458762 TUP524298 TUP589834 TUP655370 TUP720906 TUP786442 TUP851978 TUP917514 TUP983050 TVD9 TVC65546 TVC131082 TVC196618 TVC262154 TVC327690 TVC393226 TVC458762 TVC524298 TVC589834 TVC655370 TVC720906 TVC786442 TVC851978 TVC917514 TVC983050 TVG9 TVF65546 TVF131082 TVF196618 TVF262154 TVF327690 TVF393226 TVF458762 TVF524298 TVF589834 TVF655370 TVF720906 TVF786442 TVF851978 TVF917514 TVF983050 UEM9 UEL65546 UEL131082 UEL196618 UEL262154 UEL327690 UEL393226 UEL458762 UEL524298 UEL589834 UEL655370 UEL720906 UEL786442 UEL851978 UEL917514 UEL983050 UEZ9 UEY65546 UEY131082 UEY196618 UEY262154 UEY327690 UEY393226 UEY458762 UEY524298 UEY589834 UEY655370 UEY720906 UEY786442 UEY851978 UEY917514 UEY983050 UFC9 UFB65546 UFB131082 UFB196618 UFB262154 UFB327690 UFB393226 UFB458762 UFB524298 UFB589834 UFB655370 UFB720906 UFB786442 UFB851978 UFB917514 UFB983050 UOI9 UOH65546 UOH131082 UOH196618 UOH262154 UOH327690 UOH393226 UOH458762 UOH524298 UOH589834 UOH655370 UOH720906 UOH786442 UOH851978 UOH917514 UOH983050 UOV9 UOU65546 UOU131082 UOU196618 UOU262154 UOU327690 UOU393226 UOU458762 UOU524298 UOU589834 UOU655370 UOU720906 UOU786442 UOU851978 UOU917514 UOU983050 UOY9 UOX65546 UOX131082 UOX196618 UOX262154 UOX327690 UOX393226 UOX458762 UOX524298 UOX589834 UOX655370 UOX720906 UOX786442 UOX851978 UOX917514 UOX983050 UYE9 UYD65546 UYD131082 UYD196618 UYD262154 UYD327690 UYD393226 UYD458762 UYD524298 UYD589834 UYD655370 UYD720906 UYD786442 UYD851978 UYD917514 UYD983050 UYR9 UYQ65546 UYQ131082 UYQ196618 UYQ262154 UYQ327690 UYQ393226 UYQ458762 UYQ524298 UYQ589834 UYQ655370 UYQ720906 UYQ786442 UYQ851978 UYQ917514 UYQ983050 UYU9 UYT65546 UYT131082 UYT196618 UYT262154 UYT327690 UYT393226 UYT458762 UYT524298 UYT589834 UYT655370 UYT720906 UYT786442 UYT851978 UYT917514 UYT983050 VIA9 VHZ65546 VHZ131082 VHZ196618 VHZ262154 VHZ327690 VHZ393226 VHZ458762 VHZ524298 VHZ589834 VHZ655370 VHZ720906 VHZ786442 VHZ851978 VHZ917514 VHZ983050 VIN9 VIM65546 VIM131082 VIM196618 VIM262154 VIM327690 VIM393226 VIM458762 VIM524298 VIM589834 VIM655370 VIM720906 VIM786442 VIM851978 VIM917514 VIM983050 VIQ9 VIP65546 VIP131082 VIP196618 VIP262154 VIP327690 VIP393226 VIP458762 VIP524298 VIP589834 VIP655370 VIP720906 VIP786442 VIP851978 VIP917514 VIP983050 VRW9 VRV65546 VRV131082 VRV196618 VRV262154 VRV327690 VRV393226 VRV458762 VRV524298 VRV589834 VRV655370 VRV720906 VRV786442 VRV851978 VRV917514 VRV983050 VSJ9 VSI65546 VSI131082 VSI196618 VSI262154 VSI327690 VSI393226 VSI458762 VSI524298 VSI589834 VSI655370 VSI720906 VSI786442 VSI851978 VSI917514 VSI983050 VSM9 VSL65546 VSL131082 VSL196618 VSL262154 VSL327690 VSL393226 VSL458762 VSL524298 VSL589834 VSL655370 VSL720906 VSL786442 VSL851978 VSL917514 VSL983050 WBS9 WBR65546 WBR131082 WBR196618 WBR262154 WBR327690 WBR393226 WBR458762 WBR524298 WBR589834 WBR655370 WBR720906 WBR786442 WBR851978 WBR917514 WBR983050 WCF9 WCE65546 WCE131082 WCE196618 WCE262154 WCE327690 WCE393226 WCE458762 WCE524298 WCE589834 WCE655370 WCE720906 WCE786442 WCE851978 WCE917514 WCE983050 WCI9 WCH65546 WCH131082 WCH196618 WCH262154 WCH327690 WCH393226 WCH458762 WCH524298 WCH589834 WCH655370 WCH720906 WCH786442 WCH851978 WCH917514 WCH983050 WLO9 WLN65546 WLN131082 WLN196618 WLN262154 WLN327690 WLN393226 WLN458762 WLN524298 WLN589834 WLN655370 WLN720906 WLN786442 WLN851978 WLN917514 WLN983050 WMB9 WMA65546 WMA131082 WMA196618 WMA262154 WMA327690 WMA393226 WMA458762 WMA524298 WMA589834 WMA655370 WMA720906 WMA786442 WMA851978 WMA917514 WMA983050 WME9 WMD65546 WMD131082 WMD196618 WMD262154 WMD327690 WMD393226 WMD458762 WMD524298 WMD589834 WMD655370 WMD720906 WMD786442 WMD851978 WMD917514 WMD983050 WVK9 WVJ65546 WVJ131082 WVJ196618 WVJ262154 WVJ327690 WVJ393226 WVJ458762 WVJ524298 WVJ589834 WVJ655370 WVJ720906 WVJ786442 WVJ851978 WVJ917514 WVJ983050 WVX9 WVW65546 WVW131082 WVW196618 WVW262154 WVW327690 WVW393226 WVW458762 WVW524298 WVW589834 WVW655370 WVW720906 WVW786442 WVW851978 WVW917514 WVW983050 WWA9 WVZ65546 WVZ131082 WVZ196618 WVZ262154 WVZ327690 WVZ393226 WVZ458762 WVZ524298 WVZ589834 WVZ655370 WVZ720906 WVZ786442 J9 P9 V9" xr:uid="{3E6BBFBA-0E9D-488E-956F-D2E3DF256E6E}"/>
    <dataValidation allowBlank="1" showInputMessage="1" showErrorMessage="1" prompt="TYPE IN INPUT INFOS" sqref="B65549:C65598 B65600:C65649 B131085:C131134 B131136:C131185 B196621:C196670 B196672:C196721 B262157:C262206 B262208:C262257 B327693:C327742 B327744:C327793 B393229:C393278 B393280:C393329 B458765:C458814 B458816:C458865 B524301:C524350 B524352:C524401 B589837:C589886 B589888:C589937 B655373:C655422 B655424:C655473 B720909:C720958 B720960:C721009 B786445:C786494 B786496:C786545 B851981:C852030 B852032:C852081 B917517:C917566 B917568:C917617 B983053:C983102 B983104:C983153 SF13:SF63 II65549:II65598 II65600:II65649 II131085:II131134 II131136:II131185 II196621:II196670 II196672:II196721 II262157:II262206 II262208:II262257 II327693:II327742 II327744:II327793 II393229:II393278 II393280:II393329 II458765:II458814 II458816:II458865 II524301:II524350 II524352:II524401 II589837:II589886 II589888:II589937 II655373:II655422 II655424:II655473 II720909:II720958 II720960:II721009 II786445:II786494 II786496:II786545 II851981:II852030 II852032:II852081 II917517:II917566 II917568:II917617 II983053:II983102 II983104:II983153 ACB13:ACB63 SE65549:SE65598 SE65600:SE65649 SE131085:SE131134 SE131136:SE131185 SE196621:SE196670 SE196672:SE196721 SE262157:SE262206 SE262208:SE262257 SE327693:SE327742 SE327744:SE327793 SE393229:SE393278 SE393280:SE393329 SE458765:SE458814 SE458816:SE458865 SE524301:SE524350 SE524352:SE524401 SE589837:SE589886 SE589888:SE589937 SE655373:SE655422 SE655424:SE655473 SE720909:SE720958 SE720960:SE721009 SE786445:SE786494 SE786496:SE786545 SE851981:SE852030 SE852032:SE852081 SE917517:SE917566 SE917568:SE917617 SE983053:SE983102 SE983104:SE983153 ALX13:ALX63 ACA65549:ACA65598 ACA65600:ACA65649 ACA131085:ACA131134 ACA131136:ACA131185 ACA196621:ACA196670 ACA196672:ACA196721 ACA262157:ACA262206 ACA262208:ACA262257 ACA327693:ACA327742 ACA327744:ACA327793 ACA393229:ACA393278 ACA393280:ACA393329 ACA458765:ACA458814 ACA458816:ACA458865 ACA524301:ACA524350 ACA524352:ACA524401 ACA589837:ACA589886 ACA589888:ACA589937 ACA655373:ACA655422 ACA655424:ACA655473 ACA720909:ACA720958 ACA720960:ACA721009 ACA786445:ACA786494 ACA786496:ACA786545 ACA851981:ACA852030 ACA852032:ACA852081 ACA917517:ACA917566 ACA917568:ACA917617 ACA983053:ACA983102 ACA983104:ACA983153 AVT13:AVT63 ALW65549:ALW65598 ALW65600:ALW65649 ALW131085:ALW131134 ALW131136:ALW131185 ALW196621:ALW196670 ALW196672:ALW196721 ALW262157:ALW262206 ALW262208:ALW262257 ALW327693:ALW327742 ALW327744:ALW327793 ALW393229:ALW393278 ALW393280:ALW393329 ALW458765:ALW458814 ALW458816:ALW458865 ALW524301:ALW524350 ALW524352:ALW524401 ALW589837:ALW589886 ALW589888:ALW589937 ALW655373:ALW655422 ALW655424:ALW655473 ALW720909:ALW720958 ALW720960:ALW721009 ALW786445:ALW786494 ALW786496:ALW786545 ALW851981:ALW852030 ALW852032:ALW852081 ALW917517:ALW917566 ALW917568:ALW917617 ALW983053:ALW983102 ALW983104:ALW983153 BFP13:BFP63 AVS65549:AVS65598 AVS65600:AVS65649 AVS131085:AVS131134 AVS131136:AVS131185 AVS196621:AVS196670 AVS196672:AVS196721 AVS262157:AVS262206 AVS262208:AVS262257 AVS327693:AVS327742 AVS327744:AVS327793 AVS393229:AVS393278 AVS393280:AVS393329 AVS458765:AVS458814 AVS458816:AVS458865 AVS524301:AVS524350 AVS524352:AVS524401 AVS589837:AVS589886 AVS589888:AVS589937 AVS655373:AVS655422 AVS655424:AVS655473 AVS720909:AVS720958 AVS720960:AVS721009 AVS786445:AVS786494 AVS786496:AVS786545 AVS851981:AVS852030 AVS852032:AVS852081 AVS917517:AVS917566 AVS917568:AVS917617 AVS983053:AVS983102 AVS983104:AVS983153 BPL13:BPL63 BFO65549:BFO65598 BFO65600:BFO65649 BFO131085:BFO131134 BFO131136:BFO131185 BFO196621:BFO196670 BFO196672:BFO196721 BFO262157:BFO262206 BFO262208:BFO262257 BFO327693:BFO327742 BFO327744:BFO327793 BFO393229:BFO393278 BFO393280:BFO393329 BFO458765:BFO458814 BFO458816:BFO458865 BFO524301:BFO524350 BFO524352:BFO524401 BFO589837:BFO589886 BFO589888:BFO589937 BFO655373:BFO655422 BFO655424:BFO655473 BFO720909:BFO720958 BFO720960:BFO721009 BFO786445:BFO786494 BFO786496:BFO786545 BFO851981:BFO852030 BFO852032:BFO852081 BFO917517:BFO917566 BFO917568:BFO917617 BFO983053:BFO983102 BFO983104:BFO983153 BZH13:BZH63 BPK65549:BPK65598 BPK65600:BPK65649 BPK131085:BPK131134 BPK131136:BPK131185 BPK196621:BPK196670 BPK196672:BPK196721 BPK262157:BPK262206 BPK262208:BPK262257 BPK327693:BPK327742 BPK327744:BPK327793 BPK393229:BPK393278 BPK393280:BPK393329 BPK458765:BPK458814 BPK458816:BPK458865 BPK524301:BPK524350 BPK524352:BPK524401 BPK589837:BPK589886 BPK589888:BPK589937 BPK655373:BPK655422 BPK655424:BPK655473 BPK720909:BPK720958 BPK720960:BPK721009 BPK786445:BPK786494 BPK786496:BPK786545 BPK851981:BPK852030 BPK852032:BPK852081 BPK917517:BPK917566 BPK917568:BPK917617 BPK983053:BPK983102 BPK983104:BPK983153 CJD13:CJD63 BZG65549:BZG65598 BZG65600:BZG65649 BZG131085:BZG131134 BZG131136:BZG131185 BZG196621:BZG196670 BZG196672:BZG196721 BZG262157:BZG262206 BZG262208:BZG262257 BZG327693:BZG327742 BZG327744:BZG327793 BZG393229:BZG393278 BZG393280:BZG393329 BZG458765:BZG458814 BZG458816:BZG458865 BZG524301:BZG524350 BZG524352:BZG524401 BZG589837:BZG589886 BZG589888:BZG589937 BZG655373:BZG655422 BZG655424:BZG655473 BZG720909:BZG720958 BZG720960:BZG721009 BZG786445:BZG786494 BZG786496:BZG786545 BZG851981:BZG852030 BZG852032:BZG852081 BZG917517:BZG917566 BZG917568:BZG917617 BZG983053:BZG983102 BZG983104:BZG983153 CSZ13:CSZ63 CJC65549:CJC65598 CJC65600:CJC65649 CJC131085:CJC131134 CJC131136:CJC131185 CJC196621:CJC196670 CJC196672:CJC196721 CJC262157:CJC262206 CJC262208:CJC262257 CJC327693:CJC327742 CJC327744:CJC327793 CJC393229:CJC393278 CJC393280:CJC393329 CJC458765:CJC458814 CJC458816:CJC458865 CJC524301:CJC524350 CJC524352:CJC524401 CJC589837:CJC589886 CJC589888:CJC589937 CJC655373:CJC655422 CJC655424:CJC655473 CJC720909:CJC720958 CJC720960:CJC721009 CJC786445:CJC786494 CJC786496:CJC786545 CJC851981:CJC852030 CJC852032:CJC852081 CJC917517:CJC917566 CJC917568:CJC917617 CJC983053:CJC983102 CJC983104:CJC983153 DCV13:DCV63 CSY65549:CSY65598 CSY65600:CSY65649 CSY131085:CSY131134 CSY131136:CSY131185 CSY196621:CSY196670 CSY196672:CSY196721 CSY262157:CSY262206 CSY262208:CSY262257 CSY327693:CSY327742 CSY327744:CSY327793 CSY393229:CSY393278 CSY393280:CSY393329 CSY458765:CSY458814 CSY458816:CSY458865 CSY524301:CSY524350 CSY524352:CSY524401 CSY589837:CSY589886 CSY589888:CSY589937 CSY655373:CSY655422 CSY655424:CSY655473 CSY720909:CSY720958 CSY720960:CSY721009 CSY786445:CSY786494 CSY786496:CSY786545 CSY851981:CSY852030 CSY852032:CSY852081 CSY917517:CSY917566 CSY917568:CSY917617 CSY983053:CSY983102 CSY983104:CSY983153 DMR13:DMR63 DCU65549:DCU65598 DCU65600:DCU65649 DCU131085:DCU131134 DCU131136:DCU131185 DCU196621:DCU196670 DCU196672:DCU196721 DCU262157:DCU262206 DCU262208:DCU262257 DCU327693:DCU327742 DCU327744:DCU327793 DCU393229:DCU393278 DCU393280:DCU393329 DCU458765:DCU458814 DCU458816:DCU458865 DCU524301:DCU524350 DCU524352:DCU524401 DCU589837:DCU589886 DCU589888:DCU589937 DCU655373:DCU655422 DCU655424:DCU655473 DCU720909:DCU720958 DCU720960:DCU721009 DCU786445:DCU786494 DCU786496:DCU786545 DCU851981:DCU852030 DCU852032:DCU852081 DCU917517:DCU917566 DCU917568:DCU917617 DCU983053:DCU983102 DCU983104:DCU983153 DWN13:DWN63 DMQ65549:DMQ65598 DMQ65600:DMQ65649 DMQ131085:DMQ131134 DMQ131136:DMQ131185 DMQ196621:DMQ196670 DMQ196672:DMQ196721 DMQ262157:DMQ262206 DMQ262208:DMQ262257 DMQ327693:DMQ327742 DMQ327744:DMQ327793 DMQ393229:DMQ393278 DMQ393280:DMQ393329 DMQ458765:DMQ458814 DMQ458816:DMQ458865 DMQ524301:DMQ524350 DMQ524352:DMQ524401 DMQ589837:DMQ589886 DMQ589888:DMQ589937 DMQ655373:DMQ655422 DMQ655424:DMQ655473 DMQ720909:DMQ720958 DMQ720960:DMQ721009 DMQ786445:DMQ786494 DMQ786496:DMQ786545 DMQ851981:DMQ852030 DMQ852032:DMQ852081 DMQ917517:DMQ917566 DMQ917568:DMQ917617 DMQ983053:DMQ983102 DMQ983104:DMQ983153 EGJ13:EGJ63 DWM65549:DWM65598 DWM65600:DWM65649 DWM131085:DWM131134 DWM131136:DWM131185 DWM196621:DWM196670 DWM196672:DWM196721 DWM262157:DWM262206 DWM262208:DWM262257 DWM327693:DWM327742 DWM327744:DWM327793 DWM393229:DWM393278 DWM393280:DWM393329 DWM458765:DWM458814 DWM458816:DWM458865 DWM524301:DWM524350 DWM524352:DWM524401 DWM589837:DWM589886 DWM589888:DWM589937 DWM655373:DWM655422 DWM655424:DWM655473 DWM720909:DWM720958 DWM720960:DWM721009 DWM786445:DWM786494 DWM786496:DWM786545 DWM851981:DWM852030 DWM852032:DWM852081 DWM917517:DWM917566 DWM917568:DWM917617 DWM983053:DWM983102 DWM983104:DWM983153 EQF13:EQF63 EGI65549:EGI65598 EGI65600:EGI65649 EGI131085:EGI131134 EGI131136:EGI131185 EGI196621:EGI196670 EGI196672:EGI196721 EGI262157:EGI262206 EGI262208:EGI262257 EGI327693:EGI327742 EGI327744:EGI327793 EGI393229:EGI393278 EGI393280:EGI393329 EGI458765:EGI458814 EGI458816:EGI458865 EGI524301:EGI524350 EGI524352:EGI524401 EGI589837:EGI589886 EGI589888:EGI589937 EGI655373:EGI655422 EGI655424:EGI655473 EGI720909:EGI720958 EGI720960:EGI721009 EGI786445:EGI786494 EGI786496:EGI786545 EGI851981:EGI852030 EGI852032:EGI852081 EGI917517:EGI917566 EGI917568:EGI917617 EGI983053:EGI983102 EGI983104:EGI983153 FAB13:FAB63 EQE65549:EQE65598 EQE65600:EQE65649 EQE131085:EQE131134 EQE131136:EQE131185 EQE196621:EQE196670 EQE196672:EQE196721 EQE262157:EQE262206 EQE262208:EQE262257 EQE327693:EQE327742 EQE327744:EQE327793 EQE393229:EQE393278 EQE393280:EQE393329 EQE458765:EQE458814 EQE458816:EQE458865 EQE524301:EQE524350 EQE524352:EQE524401 EQE589837:EQE589886 EQE589888:EQE589937 EQE655373:EQE655422 EQE655424:EQE655473 EQE720909:EQE720958 EQE720960:EQE721009 EQE786445:EQE786494 EQE786496:EQE786545 EQE851981:EQE852030 EQE852032:EQE852081 EQE917517:EQE917566 EQE917568:EQE917617 EQE983053:EQE983102 EQE983104:EQE983153 FJX13:FJX63 FAA65549:FAA65598 FAA65600:FAA65649 FAA131085:FAA131134 FAA131136:FAA131185 FAA196621:FAA196670 FAA196672:FAA196721 FAA262157:FAA262206 FAA262208:FAA262257 FAA327693:FAA327742 FAA327744:FAA327793 FAA393229:FAA393278 FAA393280:FAA393329 FAA458765:FAA458814 FAA458816:FAA458865 FAA524301:FAA524350 FAA524352:FAA524401 FAA589837:FAA589886 FAA589888:FAA589937 FAA655373:FAA655422 FAA655424:FAA655473 FAA720909:FAA720958 FAA720960:FAA721009 FAA786445:FAA786494 FAA786496:FAA786545 FAA851981:FAA852030 FAA852032:FAA852081 FAA917517:FAA917566 FAA917568:FAA917617 FAA983053:FAA983102 FAA983104:FAA983153 FTT13:FTT63 FJW65549:FJW65598 FJW65600:FJW65649 FJW131085:FJW131134 FJW131136:FJW131185 FJW196621:FJW196670 FJW196672:FJW196721 FJW262157:FJW262206 FJW262208:FJW262257 FJW327693:FJW327742 FJW327744:FJW327793 FJW393229:FJW393278 FJW393280:FJW393329 FJW458765:FJW458814 FJW458816:FJW458865 FJW524301:FJW524350 FJW524352:FJW524401 FJW589837:FJW589886 FJW589888:FJW589937 FJW655373:FJW655422 FJW655424:FJW655473 FJW720909:FJW720958 FJW720960:FJW721009 FJW786445:FJW786494 FJW786496:FJW786545 FJW851981:FJW852030 FJW852032:FJW852081 FJW917517:FJW917566 FJW917568:FJW917617 FJW983053:FJW983102 FJW983104:FJW983153 GDP13:GDP63 FTS65549:FTS65598 FTS65600:FTS65649 FTS131085:FTS131134 FTS131136:FTS131185 FTS196621:FTS196670 FTS196672:FTS196721 FTS262157:FTS262206 FTS262208:FTS262257 FTS327693:FTS327742 FTS327744:FTS327793 FTS393229:FTS393278 FTS393280:FTS393329 FTS458765:FTS458814 FTS458816:FTS458865 FTS524301:FTS524350 FTS524352:FTS524401 FTS589837:FTS589886 FTS589888:FTS589937 FTS655373:FTS655422 FTS655424:FTS655473 FTS720909:FTS720958 FTS720960:FTS721009 FTS786445:FTS786494 FTS786496:FTS786545 FTS851981:FTS852030 FTS852032:FTS852081 FTS917517:FTS917566 FTS917568:FTS917617 FTS983053:FTS983102 FTS983104:FTS983153 GNL13:GNL63 GDO65549:GDO65598 GDO65600:GDO65649 GDO131085:GDO131134 GDO131136:GDO131185 GDO196621:GDO196670 GDO196672:GDO196721 GDO262157:GDO262206 GDO262208:GDO262257 GDO327693:GDO327742 GDO327744:GDO327793 GDO393229:GDO393278 GDO393280:GDO393329 GDO458765:GDO458814 GDO458816:GDO458865 GDO524301:GDO524350 GDO524352:GDO524401 GDO589837:GDO589886 GDO589888:GDO589937 GDO655373:GDO655422 GDO655424:GDO655473 GDO720909:GDO720958 GDO720960:GDO721009 GDO786445:GDO786494 GDO786496:GDO786545 GDO851981:GDO852030 GDO852032:GDO852081 GDO917517:GDO917566 GDO917568:GDO917617 GDO983053:GDO983102 GDO983104:GDO983153 GXH13:GXH63 GNK65549:GNK65598 GNK65600:GNK65649 GNK131085:GNK131134 GNK131136:GNK131185 GNK196621:GNK196670 GNK196672:GNK196721 GNK262157:GNK262206 GNK262208:GNK262257 GNK327693:GNK327742 GNK327744:GNK327793 GNK393229:GNK393278 GNK393280:GNK393329 GNK458765:GNK458814 GNK458816:GNK458865 GNK524301:GNK524350 GNK524352:GNK524401 GNK589837:GNK589886 GNK589888:GNK589937 GNK655373:GNK655422 GNK655424:GNK655473 GNK720909:GNK720958 GNK720960:GNK721009 GNK786445:GNK786494 GNK786496:GNK786545 GNK851981:GNK852030 GNK852032:GNK852081 GNK917517:GNK917566 GNK917568:GNK917617 GNK983053:GNK983102 GNK983104:GNK983153 HHD13:HHD63 GXG65549:GXG65598 GXG65600:GXG65649 GXG131085:GXG131134 GXG131136:GXG131185 GXG196621:GXG196670 GXG196672:GXG196721 GXG262157:GXG262206 GXG262208:GXG262257 GXG327693:GXG327742 GXG327744:GXG327793 GXG393229:GXG393278 GXG393280:GXG393329 GXG458765:GXG458814 GXG458816:GXG458865 GXG524301:GXG524350 GXG524352:GXG524401 GXG589837:GXG589886 GXG589888:GXG589937 GXG655373:GXG655422 GXG655424:GXG655473 GXG720909:GXG720958 GXG720960:GXG721009 GXG786445:GXG786494 GXG786496:GXG786545 GXG851981:GXG852030 GXG852032:GXG852081 GXG917517:GXG917566 GXG917568:GXG917617 GXG983053:GXG983102 GXG983104:GXG983153 HQZ13:HQZ63 HHC65549:HHC65598 HHC65600:HHC65649 HHC131085:HHC131134 HHC131136:HHC131185 HHC196621:HHC196670 HHC196672:HHC196721 HHC262157:HHC262206 HHC262208:HHC262257 HHC327693:HHC327742 HHC327744:HHC327793 HHC393229:HHC393278 HHC393280:HHC393329 HHC458765:HHC458814 HHC458816:HHC458865 HHC524301:HHC524350 HHC524352:HHC524401 HHC589837:HHC589886 HHC589888:HHC589937 HHC655373:HHC655422 HHC655424:HHC655473 HHC720909:HHC720958 HHC720960:HHC721009 HHC786445:HHC786494 HHC786496:HHC786545 HHC851981:HHC852030 HHC852032:HHC852081 HHC917517:HHC917566 HHC917568:HHC917617 HHC983053:HHC983102 HHC983104:HHC983153 IAV13:IAV63 HQY65549:HQY65598 HQY65600:HQY65649 HQY131085:HQY131134 HQY131136:HQY131185 HQY196621:HQY196670 HQY196672:HQY196721 HQY262157:HQY262206 HQY262208:HQY262257 HQY327693:HQY327742 HQY327744:HQY327793 HQY393229:HQY393278 HQY393280:HQY393329 HQY458765:HQY458814 HQY458816:HQY458865 HQY524301:HQY524350 HQY524352:HQY524401 HQY589837:HQY589886 HQY589888:HQY589937 HQY655373:HQY655422 HQY655424:HQY655473 HQY720909:HQY720958 HQY720960:HQY721009 HQY786445:HQY786494 HQY786496:HQY786545 HQY851981:HQY852030 HQY852032:HQY852081 HQY917517:HQY917566 HQY917568:HQY917617 HQY983053:HQY983102 HQY983104:HQY983153 IKR13:IKR63 IAU65549:IAU65598 IAU65600:IAU65649 IAU131085:IAU131134 IAU131136:IAU131185 IAU196621:IAU196670 IAU196672:IAU196721 IAU262157:IAU262206 IAU262208:IAU262257 IAU327693:IAU327742 IAU327744:IAU327793 IAU393229:IAU393278 IAU393280:IAU393329 IAU458765:IAU458814 IAU458816:IAU458865 IAU524301:IAU524350 IAU524352:IAU524401 IAU589837:IAU589886 IAU589888:IAU589937 IAU655373:IAU655422 IAU655424:IAU655473 IAU720909:IAU720958 IAU720960:IAU721009 IAU786445:IAU786494 IAU786496:IAU786545 IAU851981:IAU852030 IAU852032:IAU852081 IAU917517:IAU917566 IAU917568:IAU917617 IAU983053:IAU983102 IAU983104:IAU983153 IUN13:IUN63 IKQ65549:IKQ65598 IKQ65600:IKQ65649 IKQ131085:IKQ131134 IKQ131136:IKQ131185 IKQ196621:IKQ196670 IKQ196672:IKQ196721 IKQ262157:IKQ262206 IKQ262208:IKQ262257 IKQ327693:IKQ327742 IKQ327744:IKQ327793 IKQ393229:IKQ393278 IKQ393280:IKQ393329 IKQ458765:IKQ458814 IKQ458816:IKQ458865 IKQ524301:IKQ524350 IKQ524352:IKQ524401 IKQ589837:IKQ589886 IKQ589888:IKQ589937 IKQ655373:IKQ655422 IKQ655424:IKQ655473 IKQ720909:IKQ720958 IKQ720960:IKQ721009 IKQ786445:IKQ786494 IKQ786496:IKQ786545 IKQ851981:IKQ852030 IKQ852032:IKQ852081 IKQ917517:IKQ917566 IKQ917568:IKQ917617 IKQ983053:IKQ983102 IKQ983104:IKQ983153 JEJ13:JEJ63 IUM65549:IUM65598 IUM65600:IUM65649 IUM131085:IUM131134 IUM131136:IUM131185 IUM196621:IUM196670 IUM196672:IUM196721 IUM262157:IUM262206 IUM262208:IUM262257 IUM327693:IUM327742 IUM327744:IUM327793 IUM393229:IUM393278 IUM393280:IUM393329 IUM458765:IUM458814 IUM458816:IUM458865 IUM524301:IUM524350 IUM524352:IUM524401 IUM589837:IUM589886 IUM589888:IUM589937 IUM655373:IUM655422 IUM655424:IUM655473 IUM720909:IUM720958 IUM720960:IUM721009 IUM786445:IUM786494 IUM786496:IUM786545 IUM851981:IUM852030 IUM852032:IUM852081 IUM917517:IUM917566 IUM917568:IUM917617 IUM983053:IUM983102 IUM983104:IUM983153 JOF13:JOF63 JEI65549:JEI65598 JEI65600:JEI65649 JEI131085:JEI131134 JEI131136:JEI131185 JEI196621:JEI196670 JEI196672:JEI196721 JEI262157:JEI262206 JEI262208:JEI262257 JEI327693:JEI327742 JEI327744:JEI327793 JEI393229:JEI393278 JEI393280:JEI393329 JEI458765:JEI458814 JEI458816:JEI458865 JEI524301:JEI524350 JEI524352:JEI524401 JEI589837:JEI589886 JEI589888:JEI589937 JEI655373:JEI655422 JEI655424:JEI655473 JEI720909:JEI720958 JEI720960:JEI721009 JEI786445:JEI786494 JEI786496:JEI786545 JEI851981:JEI852030 JEI852032:JEI852081 JEI917517:JEI917566 JEI917568:JEI917617 JEI983053:JEI983102 JEI983104:JEI983153 JYB13:JYB63 JOE65549:JOE65598 JOE65600:JOE65649 JOE131085:JOE131134 JOE131136:JOE131185 JOE196621:JOE196670 JOE196672:JOE196721 JOE262157:JOE262206 JOE262208:JOE262257 JOE327693:JOE327742 JOE327744:JOE327793 JOE393229:JOE393278 JOE393280:JOE393329 JOE458765:JOE458814 JOE458816:JOE458865 JOE524301:JOE524350 JOE524352:JOE524401 JOE589837:JOE589886 JOE589888:JOE589937 JOE655373:JOE655422 JOE655424:JOE655473 JOE720909:JOE720958 JOE720960:JOE721009 JOE786445:JOE786494 JOE786496:JOE786545 JOE851981:JOE852030 JOE852032:JOE852081 JOE917517:JOE917566 JOE917568:JOE917617 JOE983053:JOE983102 JOE983104:JOE983153 KHX13:KHX63 JYA65549:JYA65598 JYA65600:JYA65649 JYA131085:JYA131134 JYA131136:JYA131185 JYA196621:JYA196670 JYA196672:JYA196721 JYA262157:JYA262206 JYA262208:JYA262257 JYA327693:JYA327742 JYA327744:JYA327793 JYA393229:JYA393278 JYA393280:JYA393329 JYA458765:JYA458814 JYA458816:JYA458865 JYA524301:JYA524350 JYA524352:JYA524401 JYA589837:JYA589886 JYA589888:JYA589937 JYA655373:JYA655422 JYA655424:JYA655473 JYA720909:JYA720958 JYA720960:JYA721009 JYA786445:JYA786494 JYA786496:JYA786545 JYA851981:JYA852030 JYA852032:JYA852081 JYA917517:JYA917566 JYA917568:JYA917617 JYA983053:JYA983102 JYA983104:JYA983153 KRT13:KRT63 KHW65549:KHW65598 KHW65600:KHW65649 KHW131085:KHW131134 KHW131136:KHW131185 KHW196621:KHW196670 KHW196672:KHW196721 KHW262157:KHW262206 KHW262208:KHW262257 KHW327693:KHW327742 KHW327744:KHW327793 KHW393229:KHW393278 KHW393280:KHW393329 KHW458765:KHW458814 KHW458816:KHW458865 KHW524301:KHW524350 KHW524352:KHW524401 KHW589837:KHW589886 KHW589888:KHW589937 KHW655373:KHW655422 KHW655424:KHW655473 KHW720909:KHW720958 KHW720960:KHW721009 KHW786445:KHW786494 KHW786496:KHW786545 KHW851981:KHW852030 KHW852032:KHW852081 KHW917517:KHW917566 KHW917568:KHW917617 KHW983053:KHW983102 KHW983104:KHW983153 LBP13:LBP63 KRS65549:KRS65598 KRS65600:KRS65649 KRS131085:KRS131134 KRS131136:KRS131185 KRS196621:KRS196670 KRS196672:KRS196721 KRS262157:KRS262206 KRS262208:KRS262257 KRS327693:KRS327742 KRS327744:KRS327793 KRS393229:KRS393278 KRS393280:KRS393329 KRS458765:KRS458814 KRS458816:KRS458865 KRS524301:KRS524350 KRS524352:KRS524401 KRS589837:KRS589886 KRS589888:KRS589937 KRS655373:KRS655422 KRS655424:KRS655473 KRS720909:KRS720958 KRS720960:KRS721009 KRS786445:KRS786494 KRS786496:KRS786545 KRS851981:KRS852030 KRS852032:KRS852081 KRS917517:KRS917566 KRS917568:KRS917617 KRS983053:KRS983102 KRS983104:KRS983153 LLL13:LLL63 LBO65549:LBO65598 LBO65600:LBO65649 LBO131085:LBO131134 LBO131136:LBO131185 LBO196621:LBO196670 LBO196672:LBO196721 LBO262157:LBO262206 LBO262208:LBO262257 LBO327693:LBO327742 LBO327744:LBO327793 LBO393229:LBO393278 LBO393280:LBO393329 LBO458765:LBO458814 LBO458816:LBO458865 LBO524301:LBO524350 LBO524352:LBO524401 LBO589837:LBO589886 LBO589888:LBO589937 LBO655373:LBO655422 LBO655424:LBO655473 LBO720909:LBO720958 LBO720960:LBO721009 LBO786445:LBO786494 LBO786496:LBO786545 LBO851981:LBO852030 LBO852032:LBO852081 LBO917517:LBO917566 LBO917568:LBO917617 LBO983053:LBO983102 LBO983104:LBO983153 LVH13:LVH63 LLK65549:LLK65598 LLK65600:LLK65649 LLK131085:LLK131134 LLK131136:LLK131185 LLK196621:LLK196670 LLK196672:LLK196721 LLK262157:LLK262206 LLK262208:LLK262257 LLK327693:LLK327742 LLK327744:LLK327793 LLK393229:LLK393278 LLK393280:LLK393329 LLK458765:LLK458814 LLK458816:LLK458865 LLK524301:LLK524350 LLK524352:LLK524401 LLK589837:LLK589886 LLK589888:LLK589937 LLK655373:LLK655422 LLK655424:LLK655473 LLK720909:LLK720958 LLK720960:LLK721009 LLK786445:LLK786494 LLK786496:LLK786545 LLK851981:LLK852030 LLK852032:LLK852081 LLK917517:LLK917566 LLK917568:LLK917617 LLK983053:LLK983102 LLK983104:LLK983153 MFD13:MFD63 LVG65549:LVG65598 LVG65600:LVG65649 LVG131085:LVG131134 LVG131136:LVG131185 LVG196621:LVG196670 LVG196672:LVG196721 LVG262157:LVG262206 LVG262208:LVG262257 LVG327693:LVG327742 LVG327744:LVG327793 LVG393229:LVG393278 LVG393280:LVG393329 LVG458765:LVG458814 LVG458816:LVG458865 LVG524301:LVG524350 LVG524352:LVG524401 LVG589837:LVG589886 LVG589888:LVG589937 LVG655373:LVG655422 LVG655424:LVG655473 LVG720909:LVG720958 LVG720960:LVG721009 LVG786445:LVG786494 LVG786496:LVG786545 LVG851981:LVG852030 LVG852032:LVG852081 LVG917517:LVG917566 LVG917568:LVG917617 LVG983053:LVG983102 LVG983104:LVG983153 MOZ13:MOZ63 MFC65549:MFC65598 MFC65600:MFC65649 MFC131085:MFC131134 MFC131136:MFC131185 MFC196621:MFC196670 MFC196672:MFC196721 MFC262157:MFC262206 MFC262208:MFC262257 MFC327693:MFC327742 MFC327744:MFC327793 MFC393229:MFC393278 MFC393280:MFC393329 MFC458765:MFC458814 MFC458816:MFC458865 MFC524301:MFC524350 MFC524352:MFC524401 MFC589837:MFC589886 MFC589888:MFC589937 MFC655373:MFC655422 MFC655424:MFC655473 MFC720909:MFC720958 MFC720960:MFC721009 MFC786445:MFC786494 MFC786496:MFC786545 MFC851981:MFC852030 MFC852032:MFC852081 MFC917517:MFC917566 MFC917568:MFC917617 MFC983053:MFC983102 MFC983104:MFC983153 MYV13:MYV63 MOY65549:MOY65598 MOY65600:MOY65649 MOY131085:MOY131134 MOY131136:MOY131185 MOY196621:MOY196670 MOY196672:MOY196721 MOY262157:MOY262206 MOY262208:MOY262257 MOY327693:MOY327742 MOY327744:MOY327793 MOY393229:MOY393278 MOY393280:MOY393329 MOY458765:MOY458814 MOY458816:MOY458865 MOY524301:MOY524350 MOY524352:MOY524401 MOY589837:MOY589886 MOY589888:MOY589937 MOY655373:MOY655422 MOY655424:MOY655473 MOY720909:MOY720958 MOY720960:MOY721009 MOY786445:MOY786494 MOY786496:MOY786545 MOY851981:MOY852030 MOY852032:MOY852081 MOY917517:MOY917566 MOY917568:MOY917617 MOY983053:MOY983102 MOY983104:MOY983153 NIR13:NIR63 MYU65549:MYU65598 MYU65600:MYU65649 MYU131085:MYU131134 MYU131136:MYU131185 MYU196621:MYU196670 MYU196672:MYU196721 MYU262157:MYU262206 MYU262208:MYU262257 MYU327693:MYU327742 MYU327744:MYU327793 MYU393229:MYU393278 MYU393280:MYU393329 MYU458765:MYU458814 MYU458816:MYU458865 MYU524301:MYU524350 MYU524352:MYU524401 MYU589837:MYU589886 MYU589888:MYU589937 MYU655373:MYU655422 MYU655424:MYU655473 MYU720909:MYU720958 MYU720960:MYU721009 MYU786445:MYU786494 MYU786496:MYU786545 MYU851981:MYU852030 MYU852032:MYU852081 MYU917517:MYU917566 MYU917568:MYU917617 MYU983053:MYU983102 MYU983104:MYU983153 NSN13:NSN63 NIQ65549:NIQ65598 NIQ65600:NIQ65649 NIQ131085:NIQ131134 NIQ131136:NIQ131185 NIQ196621:NIQ196670 NIQ196672:NIQ196721 NIQ262157:NIQ262206 NIQ262208:NIQ262257 NIQ327693:NIQ327742 NIQ327744:NIQ327793 NIQ393229:NIQ393278 NIQ393280:NIQ393329 NIQ458765:NIQ458814 NIQ458816:NIQ458865 NIQ524301:NIQ524350 NIQ524352:NIQ524401 NIQ589837:NIQ589886 NIQ589888:NIQ589937 NIQ655373:NIQ655422 NIQ655424:NIQ655473 NIQ720909:NIQ720958 NIQ720960:NIQ721009 NIQ786445:NIQ786494 NIQ786496:NIQ786545 NIQ851981:NIQ852030 NIQ852032:NIQ852081 NIQ917517:NIQ917566 NIQ917568:NIQ917617 NIQ983053:NIQ983102 NIQ983104:NIQ983153 OCJ13:OCJ63 NSM65549:NSM65598 NSM65600:NSM65649 NSM131085:NSM131134 NSM131136:NSM131185 NSM196621:NSM196670 NSM196672:NSM196721 NSM262157:NSM262206 NSM262208:NSM262257 NSM327693:NSM327742 NSM327744:NSM327793 NSM393229:NSM393278 NSM393280:NSM393329 NSM458765:NSM458814 NSM458816:NSM458865 NSM524301:NSM524350 NSM524352:NSM524401 NSM589837:NSM589886 NSM589888:NSM589937 NSM655373:NSM655422 NSM655424:NSM655473 NSM720909:NSM720958 NSM720960:NSM721009 NSM786445:NSM786494 NSM786496:NSM786545 NSM851981:NSM852030 NSM852032:NSM852081 NSM917517:NSM917566 NSM917568:NSM917617 NSM983053:NSM983102 NSM983104:NSM983153 OMF13:OMF63 OCI65549:OCI65598 OCI65600:OCI65649 OCI131085:OCI131134 OCI131136:OCI131185 OCI196621:OCI196670 OCI196672:OCI196721 OCI262157:OCI262206 OCI262208:OCI262257 OCI327693:OCI327742 OCI327744:OCI327793 OCI393229:OCI393278 OCI393280:OCI393329 OCI458765:OCI458814 OCI458816:OCI458865 OCI524301:OCI524350 OCI524352:OCI524401 OCI589837:OCI589886 OCI589888:OCI589937 OCI655373:OCI655422 OCI655424:OCI655473 OCI720909:OCI720958 OCI720960:OCI721009 OCI786445:OCI786494 OCI786496:OCI786545 OCI851981:OCI852030 OCI852032:OCI852081 OCI917517:OCI917566 OCI917568:OCI917617 OCI983053:OCI983102 OCI983104:OCI983153 OWB13:OWB63 OME65549:OME65598 OME65600:OME65649 OME131085:OME131134 OME131136:OME131185 OME196621:OME196670 OME196672:OME196721 OME262157:OME262206 OME262208:OME262257 OME327693:OME327742 OME327744:OME327793 OME393229:OME393278 OME393280:OME393329 OME458765:OME458814 OME458816:OME458865 OME524301:OME524350 OME524352:OME524401 OME589837:OME589886 OME589888:OME589937 OME655373:OME655422 OME655424:OME655473 OME720909:OME720958 OME720960:OME721009 OME786445:OME786494 OME786496:OME786545 OME851981:OME852030 OME852032:OME852081 OME917517:OME917566 OME917568:OME917617 OME983053:OME983102 OME983104:OME983153 PFX13:PFX63 OWA65549:OWA65598 OWA65600:OWA65649 OWA131085:OWA131134 OWA131136:OWA131185 OWA196621:OWA196670 OWA196672:OWA196721 OWA262157:OWA262206 OWA262208:OWA262257 OWA327693:OWA327742 OWA327744:OWA327793 OWA393229:OWA393278 OWA393280:OWA393329 OWA458765:OWA458814 OWA458816:OWA458865 OWA524301:OWA524350 OWA524352:OWA524401 OWA589837:OWA589886 OWA589888:OWA589937 OWA655373:OWA655422 OWA655424:OWA655473 OWA720909:OWA720958 OWA720960:OWA721009 OWA786445:OWA786494 OWA786496:OWA786545 OWA851981:OWA852030 OWA852032:OWA852081 OWA917517:OWA917566 OWA917568:OWA917617 OWA983053:OWA983102 OWA983104:OWA983153 PPT13:PPT63 PFW65549:PFW65598 PFW65600:PFW65649 PFW131085:PFW131134 PFW131136:PFW131185 PFW196621:PFW196670 PFW196672:PFW196721 PFW262157:PFW262206 PFW262208:PFW262257 PFW327693:PFW327742 PFW327744:PFW327793 PFW393229:PFW393278 PFW393280:PFW393329 PFW458765:PFW458814 PFW458816:PFW458865 PFW524301:PFW524350 PFW524352:PFW524401 PFW589837:PFW589886 PFW589888:PFW589937 PFW655373:PFW655422 PFW655424:PFW655473 PFW720909:PFW720958 PFW720960:PFW721009 PFW786445:PFW786494 PFW786496:PFW786545 PFW851981:PFW852030 PFW852032:PFW852081 PFW917517:PFW917566 PFW917568:PFW917617 PFW983053:PFW983102 PFW983104:PFW983153 PZP13:PZP63 PPS65549:PPS65598 PPS65600:PPS65649 PPS131085:PPS131134 PPS131136:PPS131185 PPS196621:PPS196670 PPS196672:PPS196721 PPS262157:PPS262206 PPS262208:PPS262257 PPS327693:PPS327742 PPS327744:PPS327793 PPS393229:PPS393278 PPS393280:PPS393329 PPS458765:PPS458814 PPS458816:PPS458865 PPS524301:PPS524350 PPS524352:PPS524401 PPS589837:PPS589886 PPS589888:PPS589937 PPS655373:PPS655422 PPS655424:PPS655473 PPS720909:PPS720958 PPS720960:PPS721009 PPS786445:PPS786494 PPS786496:PPS786545 PPS851981:PPS852030 PPS852032:PPS852081 PPS917517:PPS917566 PPS917568:PPS917617 PPS983053:PPS983102 PPS983104:PPS983153 QJL13:QJL63 PZO65549:PZO65598 PZO65600:PZO65649 PZO131085:PZO131134 PZO131136:PZO131185 PZO196621:PZO196670 PZO196672:PZO196721 PZO262157:PZO262206 PZO262208:PZO262257 PZO327693:PZO327742 PZO327744:PZO327793 PZO393229:PZO393278 PZO393280:PZO393329 PZO458765:PZO458814 PZO458816:PZO458865 PZO524301:PZO524350 PZO524352:PZO524401 PZO589837:PZO589886 PZO589888:PZO589937 PZO655373:PZO655422 PZO655424:PZO655473 PZO720909:PZO720958 PZO720960:PZO721009 PZO786445:PZO786494 PZO786496:PZO786545 PZO851981:PZO852030 PZO852032:PZO852081 PZO917517:PZO917566 PZO917568:PZO917617 PZO983053:PZO983102 PZO983104:PZO983153 QTH13:QTH63 QJK65549:QJK65598 QJK65600:QJK65649 QJK131085:QJK131134 QJK131136:QJK131185 QJK196621:QJK196670 QJK196672:QJK196721 QJK262157:QJK262206 QJK262208:QJK262257 QJK327693:QJK327742 QJK327744:QJK327793 QJK393229:QJK393278 QJK393280:QJK393329 QJK458765:QJK458814 QJK458816:QJK458865 QJK524301:QJK524350 QJK524352:QJK524401 QJK589837:QJK589886 QJK589888:QJK589937 QJK655373:QJK655422 QJK655424:QJK655473 QJK720909:QJK720958 QJK720960:QJK721009 QJK786445:QJK786494 QJK786496:QJK786545 QJK851981:QJK852030 QJK852032:QJK852081 QJK917517:QJK917566 QJK917568:QJK917617 QJK983053:QJK983102 QJK983104:QJK983153 RDD13:RDD63 QTG65549:QTG65598 QTG65600:QTG65649 QTG131085:QTG131134 QTG131136:QTG131185 QTG196621:QTG196670 QTG196672:QTG196721 QTG262157:QTG262206 QTG262208:QTG262257 QTG327693:QTG327742 QTG327744:QTG327793 QTG393229:QTG393278 QTG393280:QTG393329 QTG458765:QTG458814 QTG458816:QTG458865 QTG524301:QTG524350 QTG524352:QTG524401 QTG589837:QTG589886 QTG589888:QTG589937 QTG655373:QTG655422 QTG655424:QTG655473 QTG720909:QTG720958 QTG720960:QTG721009 QTG786445:QTG786494 QTG786496:QTG786545 QTG851981:QTG852030 QTG852032:QTG852081 QTG917517:QTG917566 QTG917568:QTG917617 QTG983053:QTG983102 QTG983104:QTG983153 RMZ13:RMZ63 RDC65549:RDC65598 RDC65600:RDC65649 RDC131085:RDC131134 RDC131136:RDC131185 RDC196621:RDC196670 RDC196672:RDC196721 RDC262157:RDC262206 RDC262208:RDC262257 RDC327693:RDC327742 RDC327744:RDC327793 RDC393229:RDC393278 RDC393280:RDC393329 RDC458765:RDC458814 RDC458816:RDC458865 RDC524301:RDC524350 RDC524352:RDC524401 RDC589837:RDC589886 RDC589888:RDC589937 RDC655373:RDC655422 RDC655424:RDC655473 RDC720909:RDC720958 RDC720960:RDC721009 RDC786445:RDC786494 RDC786496:RDC786545 RDC851981:RDC852030 RDC852032:RDC852081 RDC917517:RDC917566 RDC917568:RDC917617 RDC983053:RDC983102 RDC983104:RDC983153 RWV13:RWV63 RMY65549:RMY65598 RMY65600:RMY65649 RMY131085:RMY131134 RMY131136:RMY131185 RMY196621:RMY196670 RMY196672:RMY196721 RMY262157:RMY262206 RMY262208:RMY262257 RMY327693:RMY327742 RMY327744:RMY327793 RMY393229:RMY393278 RMY393280:RMY393329 RMY458765:RMY458814 RMY458816:RMY458865 RMY524301:RMY524350 RMY524352:RMY524401 RMY589837:RMY589886 RMY589888:RMY589937 RMY655373:RMY655422 RMY655424:RMY655473 RMY720909:RMY720958 RMY720960:RMY721009 RMY786445:RMY786494 RMY786496:RMY786545 RMY851981:RMY852030 RMY852032:RMY852081 RMY917517:RMY917566 RMY917568:RMY917617 RMY983053:RMY983102 RMY983104:RMY983153 SGR13:SGR63 RWU65549:RWU65598 RWU65600:RWU65649 RWU131085:RWU131134 RWU131136:RWU131185 RWU196621:RWU196670 RWU196672:RWU196721 RWU262157:RWU262206 RWU262208:RWU262257 RWU327693:RWU327742 RWU327744:RWU327793 RWU393229:RWU393278 RWU393280:RWU393329 RWU458765:RWU458814 RWU458816:RWU458865 RWU524301:RWU524350 RWU524352:RWU524401 RWU589837:RWU589886 RWU589888:RWU589937 RWU655373:RWU655422 RWU655424:RWU655473 RWU720909:RWU720958 RWU720960:RWU721009 RWU786445:RWU786494 RWU786496:RWU786545 RWU851981:RWU852030 RWU852032:RWU852081 RWU917517:RWU917566 RWU917568:RWU917617 RWU983053:RWU983102 RWU983104:RWU983153 SQN13:SQN63 SGQ65549:SGQ65598 SGQ65600:SGQ65649 SGQ131085:SGQ131134 SGQ131136:SGQ131185 SGQ196621:SGQ196670 SGQ196672:SGQ196721 SGQ262157:SGQ262206 SGQ262208:SGQ262257 SGQ327693:SGQ327742 SGQ327744:SGQ327793 SGQ393229:SGQ393278 SGQ393280:SGQ393329 SGQ458765:SGQ458814 SGQ458816:SGQ458865 SGQ524301:SGQ524350 SGQ524352:SGQ524401 SGQ589837:SGQ589886 SGQ589888:SGQ589937 SGQ655373:SGQ655422 SGQ655424:SGQ655473 SGQ720909:SGQ720958 SGQ720960:SGQ721009 SGQ786445:SGQ786494 SGQ786496:SGQ786545 SGQ851981:SGQ852030 SGQ852032:SGQ852081 SGQ917517:SGQ917566 SGQ917568:SGQ917617 SGQ983053:SGQ983102 SGQ983104:SGQ983153 TAJ13:TAJ63 SQM65549:SQM65598 SQM65600:SQM65649 SQM131085:SQM131134 SQM131136:SQM131185 SQM196621:SQM196670 SQM196672:SQM196721 SQM262157:SQM262206 SQM262208:SQM262257 SQM327693:SQM327742 SQM327744:SQM327793 SQM393229:SQM393278 SQM393280:SQM393329 SQM458765:SQM458814 SQM458816:SQM458865 SQM524301:SQM524350 SQM524352:SQM524401 SQM589837:SQM589886 SQM589888:SQM589937 SQM655373:SQM655422 SQM655424:SQM655473 SQM720909:SQM720958 SQM720960:SQM721009 SQM786445:SQM786494 SQM786496:SQM786545 SQM851981:SQM852030 SQM852032:SQM852081 SQM917517:SQM917566 SQM917568:SQM917617 SQM983053:SQM983102 SQM983104:SQM983153 TKF13:TKF63 TAI65549:TAI65598 TAI65600:TAI65649 TAI131085:TAI131134 TAI131136:TAI131185 TAI196621:TAI196670 TAI196672:TAI196721 TAI262157:TAI262206 TAI262208:TAI262257 TAI327693:TAI327742 TAI327744:TAI327793 TAI393229:TAI393278 TAI393280:TAI393329 TAI458765:TAI458814 TAI458816:TAI458865 TAI524301:TAI524350 TAI524352:TAI524401 TAI589837:TAI589886 TAI589888:TAI589937 TAI655373:TAI655422 TAI655424:TAI655473 TAI720909:TAI720958 TAI720960:TAI721009 TAI786445:TAI786494 TAI786496:TAI786545 TAI851981:TAI852030 TAI852032:TAI852081 TAI917517:TAI917566 TAI917568:TAI917617 TAI983053:TAI983102 TAI983104:TAI983153 TUB13:TUB63 TKE65549:TKE65598 TKE65600:TKE65649 TKE131085:TKE131134 TKE131136:TKE131185 TKE196621:TKE196670 TKE196672:TKE196721 TKE262157:TKE262206 TKE262208:TKE262257 TKE327693:TKE327742 TKE327744:TKE327793 TKE393229:TKE393278 TKE393280:TKE393329 TKE458765:TKE458814 TKE458816:TKE458865 TKE524301:TKE524350 TKE524352:TKE524401 TKE589837:TKE589886 TKE589888:TKE589937 TKE655373:TKE655422 TKE655424:TKE655473 TKE720909:TKE720958 TKE720960:TKE721009 TKE786445:TKE786494 TKE786496:TKE786545 TKE851981:TKE852030 TKE852032:TKE852081 TKE917517:TKE917566 TKE917568:TKE917617 TKE983053:TKE983102 TKE983104:TKE983153 UDX13:UDX63 TUA65549:TUA65598 TUA65600:TUA65649 TUA131085:TUA131134 TUA131136:TUA131185 TUA196621:TUA196670 TUA196672:TUA196721 TUA262157:TUA262206 TUA262208:TUA262257 TUA327693:TUA327742 TUA327744:TUA327793 TUA393229:TUA393278 TUA393280:TUA393329 TUA458765:TUA458814 TUA458816:TUA458865 TUA524301:TUA524350 TUA524352:TUA524401 TUA589837:TUA589886 TUA589888:TUA589937 TUA655373:TUA655422 TUA655424:TUA655473 TUA720909:TUA720958 TUA720960:TUA721009 TUA786445:TUA786494 TUA786496:TUA786545 TUA851981:TUA852030 TUA852032:TUA852081 TUA917517:TUA917566 TUA917568:TUA917617 TUA983053:TUA983102 TUA983104:TUA983153 UNT13:UNT63 UDW65549:UDW65598 UDW65600:UDW65649 UDW131085:UDW131134 UDW131136:UDW131185 UDW196621:UDW196670 UDW196672:UDW196721 UDW262157:UDW262206 UDW262208:UDW262257 UDW327693:UDW327742 UDW327744:UDW327793 UDW393229:UDW393278 UDW393280:UDW393329 UDW458765:UDW458814 UDW458816:UDW458865 UDW524301:UDW524350 UDW524352:UDW524401 UDW589837:UDW589886 UDW589888:UDW589937 UDW655373:UDW655422 UDW655424:UDW655473 UDW720909:UDW720958 UDW720960:UDW721009 UDW786445:UDW786494 UDW786496:UDW786545 UDW851981:UDW852030 UDW852032:UDW852081 UDW917517:UDW917566 UDW917568:UDW917617 UDW983053:UDW983102 UDW983104:UDW983153 UXP13:UXP63 UNS65549:UNS65598 UNS65600:UNS65649 UNS131085:UNS131134 UNS131136:UNS131185 UNS196621:UNS196670 UNS196672:UNS196721 UNS262157:UNS262206 UNS262208:UNS262257 UNS327693:UNS327742 UNS327744:UNS327793 UNS393229:UNS393278 UNS393280:UNS393329 UNS458765:UNS458814 UNS458816:UNS458865 UNS524301:UNS524350 UNS524352:UNS524401 UNS589837:UNS589886 UNS589888:UNS589937 UNS655373:UNS655422 UNS655424:UNS655473 UNS720909:UNS720958 UNS720960:UNS721009 UNS786445:UNS786494 UNS786496:UNS786545 UNS851981:UNS852030 UNS852032:UNS852081 UNS917517:UNS917566 UNS917568:UNS917617 UNS983053:UNS983102 UNS983104:UNS983153 VHL13:VHL63 UXO65549:UXO65598 UXO65600:UXO65649 UXO131085:UXO131134 UXO131136:UXO131185 UXO196621:UXO196670 UXO196672:UXO196721 UXO262157:UXO262206 UXO262208:UXO262257 UXO327693:UXO327742 UXO327744:UXO327793 UXO393229:UXO393278 UXO393280:UXO393329 UXO458765:UXO458814 UXO458816:UXO458865 UXO524301:UXO524350 UXO524352:UXO524401 UXO589837:UXO589886 UXO589888:UXO589937 UXO655373:UXO655422 UXO655424:UXO655473 UXO720909:UXO720958 UXO720960:UXO721009 UXO786445:UXO786494 UXO786496:UXO786545 UXO851981:UXO852030 UXO852032:UXO852081 UXO917517:UXO917566 UXO917568:UXO917617 UXO983053:UXO983102 UXO983104:UXO983153 VRH13:VRH63 VHK65549:VHK65598 VHK65600:VHK65649 VHK131085:VHK131134 VHK131136:VHK131185 VHK196621:VHK196670 VHK196672:VHK196721 VHK262157:VHK262206 VHK262208:VHK262257 VHK327693:VHK327742 VHK327744:VHK327793 VHK393229:VHK393278 VHK393280:VHK393329 VHK458765:VHK458814 VHK458816:VHK458865 VHK524301:VHK524350 VHK524352:VHK524401 VHK589837:VHK589886 VHK589888:VHK589937 VHK655373:VHK655422 VHK655424:VHK655473 VHK720909:VHK720958 VHK720960:VHK721009 VHK786445:VHK786494 VHK786496:VHK786545 VHK851981:VHK852030 VHK852032:VHK852081 VHK917517:VHK917566 VHK917568:VHK917617 VHK983053:VHK983102 VHK983104:VHK983153 WBD13:WBD63 VRG65549:VRG65598 VRG65600:VRG65649 VRG131085:VRG131134 VRG131136:VRG131185 VRG196621:VRG196670 VRG196672:VRG196721 VRG262157:VRG262206 VRG262208:VRG262257 VRG327693:VRG327742 VRG327744:VRG327793 VRG393229:VRG393278 VRG393280:VRG393329 VRG458765:VRG458814 VRG458816:VRG458865 VRG524301:VRG524350 VRG524352:VRG524401 VRG589837:VRG589886 VRG589888:VRG589937 VRG655373:VRG655422 VRG655424:VRG655473 VRG720909:VRG720958 VRG720960:VRG721009 VRG786445:VRG786494 VRG786496:VRG786545 VRG851981:VRG852030 VRG852032:VRG852081 VRG917517:VRG917566 VRG917568:VRG917617 VRG983053:VRG983102 VRG983104:VRG983153 WKZ13:WKZ63 WBC65549:WBC65598 WBC65600:WBC65649 WBC131085:WBC131134 WBC131136:WBC131185 WBC196621:WBC196670 WBC196672:WBC196721 WBC262157:WBC262206 WBC262208:WBC262257 WBC327693:WBC327742 WBC327744:WBC327793 WBC393229:WBC393278 WBC393280:WBC393329 WBC458765:WBC458814 WBC458816:WBC458865 WBC524301:WBC524350 WBC524352:WBC524401 WBC589837:WBC589886 WBC589888:WBC589937 WBC655373:WBC655422 WBC655424:WBC655473 WBC720909:WBC720958 WBC720960:WBC721009 WBC786445:WBC786494 WBC786496:WBC786545 WBC851981:WBC852030 WBC852032:WBC852081 WBC917517:WBC917566 WBC917568:WBC917617 WBC983053:WBC983102 WBC983104:WBC983153 WUV13:WUV63 WKY65549:WKY65598 WKY65600:WKY65649 WKY131085:WKY131134 WKY131136:WKY131185 WKY196621:WKY196670 WKY196672:WKY196721 WKY262157:WKY262206 WKY262208:WKY262257 WKY327693:WKY327742 WKY327744:WKY327793 WKY393229:WKY393278 WKY393280:WKY393329 WKY458765:WKY458814 WKY458816:WKY458865 WKY524301:WKY524350 WKY524352:WKY524401 WKY589837:WKY589886 WKY589888:WKY589937 WKY655373:WKY655422 WKY655424:WKY655473 WKY720909:WKY720958 WKY720960:WKY721009 WKY786445:WKY786494 WKY786496:WKY786545 WKY851981:WKY852030 WKY852032:WKY852081 WKY917517:WKY917566 WKY917568:WKY917617 WKY983053:WKY983102 WKY983104:WKY983153 WUU983104:WUU983153 WUU65549:WUU65598 WUU65600:WUU65649 WUU131085:WUU131134 WUU131136:WUU131185 WUU196621:WUU196670 WUU196672:WUU196721 WUU262157:WUU262206 WUU262208:WUU262257 WUU327693:WUU327742 WUU327744:WUU327793 WUU393229:WUU393278 WUU393280:WUU393329 WUU458765:WUU458814 WUU458816:WUU458865 WUU524301:WUU524350 WUU524352:WUU524401 WUU589837:WUU589886 WUU589888:WUU589937 WUU655373:WUU655422 WUU655424:WUU655473 WUU720909:WUU720958 WUU720960:WUU721009 WUU786445:WUU786494 WUU786496:WUU786545 WUU851981:WUU852030 WUU852032:WUU852081 WUU917517:WUU917566 WUU917568:WUU917617 WUU983053:WUU983102 IJ13:IJ63 WUV66:WUV114 WKZ66:WKZ114 WBD66:WBD114 VRH66:VRH114 VHL66:VHL114 UXP66:UXP114 UNT66:UNT114 UDX66:UDX114 TUB66:TUB114 TKF66:TKF114 TAJ66:TAJ114 SQN66:SQN114 SGR66:SGR114 RWV66:RWV114 RMZ66:RMZ114 RDD66:RDD114 QTH66:QTH114 QJL66:QJL114 PZP66:PZP114 PPT66:PPT114 PFX66:PFX114 OWB66:OWB114 OMF66:OMF114 OCJ66:OCJ114 NSN66:NSN114 NIR66:NIR114 MYV66:MYV114 MOZ66:MOZ114 MFD66:MFD114 LVH66:LVH114 LLL66:LLL114 LBP66:LBP114 KRT66:KRT114 KHX66:KHX114 JYB66:JYB114 JOF66:JOF114 JEJ66:JEJ114 IUN66:IUN114 IKR66:IKR114 IAV66:IAV114 HQZ66:HQZ114 HHD66:HHD114 GXH66:GXH114 GNL66:GNL114 GDP66:GDP114 FTT66:FTT114 FJX66:FJX114 FAB66:FAB114 EQF66:EQF114 EGJ66:EGJ114 DWN66:DWN114 DMR66:DMR114 DCV66:DCV114 CSZ66:CSZ114 CJD66:CJD114 BZH66:BZH114 BPL66:BPL114 BFP66:BFP114 AVT66:AVT114 ALX66:ALX114 ACB66:ACB114 SF66:SF114 IJ66:IJ114" xr:uid="{95902FFA-2F90-4C88-97E8-F6DBCF790A5E}"/>
    <dataValidation allowBlank="1" sqref="AB10:XFD12 A12:C12 A10 A114:C114 A63" xr:uid="{47667370-5D9C-48A8-BCA5-AE8A6C57A283}"/>
    <dataValidation allowBlank="1" showInputMessage="1" showErrorMessage="1" prompt="Written Works' Total Raw Score" sqref="I13:I63 I66:I114" xr:uid="{B62100BC-EDDD-467A-9435-B27F6DF6FFFA}"/>
    <dataValidation allowBlank="1" showInputMessage="1" showErrorMessage="1" prompt="Performance Tasks' Total Raw Scores" sqref="O13:O63 O66:O114" xr:uid="{3648F559-7AF6-4592-8E7B-F19CF77D7ED8}"/>
    <dataValidation allowBlank="1" showInputMessage="1" prompt="Do not type name of learners here. Go to INPUT DATA sheet." sqref="B13:C63 A66:A113 B66:C113 A13:A62" xr:uid="{94504D0B-DAF0-4CCA-9CFE-5080AC35D0B0}"/>
    <dataValidation allowBlank="1" showInputMessage="1" prompt="Written Works' Percentage Score" sqref="J10 J12:J63 J66:J114" xr:uid="{6CE1E834-92F8-4D55-8271-8CDB30CA5F20}"/>
    <dataValidation allowBlank="1" showInputMessage="1" prompt="Performance Tasks' Percentage Score" sqref="P10 P12:P63 P66:P114" xr:uid="{7047AE67-F245-4107-91A2-148794715643}"/>
    <dataValidation allowBlank="1" showInputMessage="1" prompt="Written Works' Weighted Score" sqref="K10 K12:K63 K66:K114" xr:uid="{0F088357-8251-4B83-B60A-A3442A293B1F}"/>
    <dataValidation allowBlank="1" showInputMessage="1" prompt="Performance Tasks' Weighted Score" sqref="Q10:S10 Q12:S12 Q13:Q63 Q66:Q114" xr:uid="{9C61DBF7-0A71-43B2-915B-6B4C2FCBE789}"/>
    <dataValidation allowBlank="1" showInputMessage="1" prompt="INITIAL GRADE" sqref="X13:X63 X66:X114" xr:uid="{05FF18E3-BA08-4C55-970E-66A3F5FCB626}"/>
    <dataValidation allowBlank="1" showInputMessage="1" prompt="QUARTERLY GRADE (TRANSMUTED GRADE)" sqref="Y13:Y63 Y66:Y114" xr:uid="{75C7C1E6-6379-4DB4-8F6C-997D76A1EF5A}"/>
    <dataValidation allowBlank="1" showErrorMessage="1" sqref="A11:B11 AB14:AE14 AC18:AE18 AC24:AE24 AC30:AE30 D11:Z11 Z64:AU65 A64:A65 AW64:XFD65 B64 B65:Q65 D64:Q64" xr:uid="{908383B6-9CE5-4548-93C5-FCEFC43FF978}"/>
    <dataValidation type="whole" operator="lessThanOrEqual" allowBlank="1" showInputMessage="1" showErrorMessage="1" error="INPUT NUMBER LESS THAN OR EQUAL THE HIGHEST POSSIBLE SCORE" prompt="Input Raw Score" sqref="JD13:JJ63 IR65549:IV65649 IR131085:IV131185 IR196621:IV196721 IR262157:IV262257 IR327693:IV327793 IR393229:IV393329 IR458765:IV458865 IR524301:IV524401 IR589837:IV589937 IR655373:IV655473 IR720909:IV721009 IR786445:IV786545 IR851981:IV852081 IR917517:IV917617 IR983053:IV983153 SO13:SS63 JC65549:JI65649 JC131085:JI131185 JC196621:JI196721 JC262157:JI262257 JC327693:JI327793 JC393229:JI393329 JC458765:JI458865 JC524301:JI524401 JC589837:JI589937 JC655373:JI655473 JC720909:JI721009 JC786445:JI786545 JC851981:JI852081 JC917517:JI917617 JC983053:JI983153 SZ13:TF63 SN65549:SR65649 SN131085:SR131185 SN196621:SR196721 SN262157:SR262257 SN327693:SR327793 SN393229:SR393329 SN458765:SR458865 SN524301:SR524401 SN589837:SR589937 SN655373:SR655473 SN720909:SR721009 SN786445:SR786545 SN851981:SR852081 SN917517:SR917617 SN983053:SR983153 ACK13:ACO63 SY65549:TE65649 SY131085:TE131185 SY196621:TE196721 SY262157:TE262257 SY327693:TE327793 SY393229:TE393329 SY458765:TE458865 SY524301:TE524401 SY589837:TE589937 SY655373:TE655473 SY720909:TE721009 SY786445:TE786545 SY851981:TE852081 SY917517:TE917617 SY983053:TE983153 ACV13:ADB63 ACJ65549:ACN65649 ACJ131085:ACN131185 ACJ196621:ACN196721 ACJ262157:ACN262257 ACJ327693:ACN327793 ACJ393229:ACN393329 ACJ458765:ACN458865 ACJ524301:ACN524401 ACJ589837:ACN589937 ACJ655373:ACN655473 ACJ720909:ACN721009 ACJ786445:ACN786545 ACJ851981:ACN852081 ACJ917517:ACN917617 ACJ983053:ACN983153 AMG13:AMK63 ACU65549:ADA65649 ACU131085:ADA131185 ACU196621:ADA196721 ACU262157:ADA262257 ACU327693:ADA327793 ACU393229:ADA393329 ACU458765:ADA458865 ACU524301:ADA524401 ACU589837:ADA589937 ACU655373:ADA655473 ACU720909:ADA721009 ACU786445:ADA786545 ACU851981:ADA852081 ACU917517:ADA917617 ACU983053:ADA983153 AMR13:AMX63 AMF65549:AMJ65649 AMF131085:AMJ131185 AMF196621:AMJ196721 AMF262157:AMJ262257 AMF327693:AMJ327793 AMF393229:AMJ393329 AMF458765:AMJ458865 AMF524301:AMJ524401 AMF589837:AMJ589937 AMF655373:AMJ655473 AMF720909:AMJ721009 AMF786445:AMJ786545 AMF851981:AMJ852081 AMF917517:AMJ917617 AMF983053:AMJ983153 AWC13:AWG63 AMQ65549:AMW65649 AMQ131085:AMW131185 AMQ196621:AMW196721 AMQ262157:AMW262257 AMQ327693:AMW327793 AMQ393229:AMW393329 AMQ458765:AMW458865 AMQ524301:AMW524401 AMQ589837:AMW589937 AMQ655373:AMW655473 AMQ720909:AMW721009 AMQ786445:AMW786545 AMQ851981:AMW852081 AMQ917517:AMW917617 AMQ983053:AMW983153 AWN13:AWT63 AWB65549:AWF65649 AWB131085:AWF131185 AWB196621:AWF196721 AWB262157:AWF262257 AWB327693:AWF327793 AWB393229:AWF393329 AWB458765:AWF458865 AWB524301:AWF524401 AWB589837:AWF589937 AWB655373:AWF655473 AWB720909:AWF721009 AWB786445:AWF786545 AWB851981:AWF852081 AWB917517:AWF917617 AWB983053:AWF983153 BFY13:BGC63 AWM65549:AWS65649 AWM131085:AWS131185 AWM196621:AWS196721 AWM262157:AWS262257 AWM327693:AWS327793 AWM393229:AWS393329 AWM458765:AWS458865 AWM524301:AWS524401 AWM589837:AWS589937 AWM655373:AWS655473 AWM720909:AWS721009 AWM786445:AWS786545 AWM851981:AWS852081 AWM917517:AWS917617 AWM983053:AWS983153 BGJ13:BGP63 BFX65549:BGB65649 BFX131085:BGB131185 BFX196621:BGB196721 BFX262157:BGB262257 BFX327693:BGB327793 BFX393229:BGB393329 BFX458765:BGB458865 BFX524301:BGB524401 BFX589837:BGB589937 BFX655373:BGB655473 BFX720909:BGB721009 BFX786445:BGB786545 BFX851981:BGB852081 BFX917517:BGB917617 BFX983053:BGB983153 BPU13:BPY63 BGI65549:BGO65649 BGI131085:BGO131185 BGI196621:BGO196721 BGI262157:BGO262257 BGI327693:BGO327793 BGI393229:BGO393329 BGI458765:BGO458865 BGI524301:BGO524401 BGI589837:BGO589937 BGI655373:BGO655473 BGI720909:BGO721009 BGI786445:BGO786545 BGI851981:BGO852081 BGI917517:BGO917617 BGI983053:BGO983153 BQF13:BQL63 BPT65549:BPX65649 BPT131085:BPX131185 BPT196621:BPX196721 BPT262157:BPX262257 BPT327693:BPX327793 BPT393229:BPX393329 BPT458765:BPX458865 BPT524301:BPX524401 BPT589837:BPX589937 BPT655373:BPX655473 BPT720909:BPX721009 BPT786445:BPX786545 BPT851981:BPX852081 BPT917517:BPX917617 BPT983053:BPX983153 BZQ13:BZU63 BQE65549:BQK65649 BQE131085:BQK131185 BQE196621:BQK196721 BQE262157:BQK262257 BQE327693:BQK327793 BQE393229:BQK393329 BQE458765:BQK458865 BQE524301:BQK524401 BQE589837:BQK589937 BQE655373:BQK655473 BQE720909:BQK721009 BQE786445:BQK786545 BQE851981:BQK852081 BQE917517:BQK917617 BQE983053:BQK983153 CAB13:CAH63 BZP65549:BZT65649 BZP131085:BZT131185 BZP196621:BZT196721 BZP262157:BZT262257 BZP327693:BZT327793 BZP393229:BZT393329 BZP458765:BZT458865 BZP524301:BZT524401 BZP589837:BZT589937 BZP655373:BZT655473 BZP720909:BZT721009 BZP786445:BZT786545 BZP851981:BZT852081 BZP917517:BZT917617 BZP983053:BZT983153 CJM13:CJQ63 CAA65549:CAG65649 CAA131085:CAG131185 CAA196621:CAG196721 CAA262157:CAG262257 CAA327693:CAG327793 CAA393229:CAG393329 CAA458765:CAG458865 CAA524301:CAG524401 CAA589837:CAG589937 CAA655373:CAG655473 CAA720909:CAG721009 CAA786445:CAG786545 CAA851981:CAG852081 CAA917517:CAG917617 CAA983053:CAG983153 CJX13:CKD63 CJL65549:CJP65649 CJL131085:CJP131185 CJL196621:CJP196721 CJL262157:CJP262257 CJL327693:CJP327793 CJL393229:CJP393329 CJL458765:CJP458865 CJL524301:CJP524401 CJL589837:CJP589937 CJL655373:CJP655473 CJL720909:CJP721009 CJL786445:CJP786545 CJL851981:CJP852081 CJL917517:CJP917617 CJL983053:CJP983153 CTI13:CTM63 CJW65549:CKC65649 CJW131085:CKC131185 CJW196621:CKC196721 CJW262157:CKC262257 CJW327693:CKC327793 CJW393229:CKC393329 CJW458765:CKC458865 CJW524301:CKC524401 CJW589837:CKC589937 CJW655373:CKC655473 CJW720909:CKC721009 CJW786445:CKC786545 CJW851981:CKC852081 CJW917517:CKC917617 CJW983053:CKC983153 CTT13:CTZ63 CTH65549:CTL65649 CTH131085:CTL131185 CTH196621:CTL196721 CTH262157:CTL262257 CTH327693:CTL327793 CTH393229:CTL393329 CTH458765:CTL458865 CTH524301:CTL524401 CTH589837:CTL589937 CTH655373:CTL655473 CTH720909:CTL721009 CTH786445:CTL786545 CTH851981:CTL852081 CTH917517:CTL917617 CTH983053:CTL983153 DDE13:DDI63 CTS65549:CTY65649 CTS131085:CTY131185 CTS196621:CTY196721 CTS262157:CTY262257 CTS327693:CTY327793 CTS393229:CTY393329 CTS458765:CTY458865 CTS524301:CTY524401 CTS589837:CTY589937 CTS655373:CTY655473 CTS720909:CTY721009 CTS786445:CTY786545 CTS851981:CTY852081 CTS917517:CTY917617 CTS983053:CTY983153 DDP13:DDV63 DDD65549:DDH65649 DDD131085:DDH131185 DDD196621:DDH196721 DDD262157:DDH262257 DDD327693:DDH327793 DDD393229:DDH393329 DDD458765:DDH458865 DDD524301:DDH524401 DDD589837:DDH589937 DDD655373:DDH655473 DDD720909:DDH721009 DDD786445:DDH786545 DDD851981:DDH852081 DDD917517:DDH917617 DDD983053:DDH983153 DNA13:DNE63 DDO65549:DDU65649 DDO131085:DDU131185 DDO196621:DDU196721 DDO262157:DDU262257 DDO327693:DDU327793 DDO393229:DDU393329 DDO458765:DDU458865 DDO524301:DDU524401 DDO589837:DDU589937 DDO655373:DDU655473 DDO720909:DDU721009 DDO786445:DDU786545 DDO851981:DDU852081 DDO917517:DDU917617 DDO983053:DDU983153 DNL13:DNR63 DMZ65549:DND65649 DMZ131085:DND131185 DMZ196621:DND196721 DMZ262157:DND262257 DMZ327693:DND327793 DMZ393229:DND393329 DMZ458765:DND458865 DMZ524301:DND524401 DMZ589837:DND589937 DMZ655373:DND655473 DMZ720909:DND721009 DMZ786445:DND786545 DMZ851981:DND852081 DMZ917517:DND917617 DMZ983053:DND983153 DWW13:DXA63 DNK65549:DNQ65649 DNK131085:DNQ131185 DNK196621:DNQ196721 DNK262157:DNQ262257 DNK327693:DNQ327793 DNK393229:DNQ393329 DNK458765:DNQ458865 DNK524301:DNQ524401 DNK589837:DNQ589937 DNK655373:DNQ655473 DNK720909:DNQ721009 DNK786445:DNQ786545 DNK851981:DNQ852081 DNK917517:DNQ917617 DNK983053:DNQ983153 DXH13:DXN63 DWV65549:DWZ65649 DWV131085:DWZ131185 DWV196621:DWZ196721 DWV262157:DWZ262257 DWV327693:DWZ327793 DWV393229:DWZ393329 DWV458765:DWZ458865 DWV524301:DWZ524401 DWV589837:DWZ589937 DWV655373:DWZ655473 DWV720909:DWZ721009 DWV786445:DWZ786545 DWV851981:DWZ852081 DWV917517:DWZ917617 DWV983053:DWZ983153 EGS13:EGW63 DXG65549:DXM65649 DXG131085:DXM131185 DXG196621:DXM196721 DXG262157:DXM262257 DXG327693:DXM327793 DXG393229:DXM393329 DXG458765:DXM458865 DXG524301:DXM524401 DXG589837:DXM589937 DXG655373:DXM655473 DXG720909:DXM721009 DXG786445:DXM786545 DXG851981:DXM852081 DXG917517:DXM917617 DXG983053:DXM983153 EHD13:EHJ63 EGR65549:EGV65649 EGR131085:EGV131185 EGR196621:EGV196721 EGR262157:EGV262257 EGR327693:EGV327793 EGR393229:EGV393329 EGR458765:EGV458865 EGR524301:EGV524401 EGR589837:EGV589937 EGR655373:EGV655473 EGR720909:EGV721009 EGR786445:EGV786545 EGR851981:EGV852081 EGR917517:EGV917617 EGR983053:EGV983153 EQO13:EQS63 EHC65549:EHI65649 EHC131085:EHI131185 EHC196621:EHI196721 EHC262157:EHI262257 EHC327693:EHI327793 EHC393229:EHI393329 EHC458765:EHI458865 EHC524301:EHI524401 EHC589837:EHI589937 EHC655373:EHI655473 EHC720909:EHI721009 EHC786445:EHI786545 EHC851981:EHI852081 EHC917517:EHI917617 EHC983053:EHI983153 EQZ13:ERF63 EQN65549:EQR65649 EQN131085:EQR131185 EQN196621:EQR196721 EQN262157:EQR262257 EQN327693:EQR327793 EQN393229:EQR393329 EQN458765:EQR458865 EQN524301:EQR524401 EQN589837:EQR589937 EQN655373:EQR655473 EQN720909:EQR721009 EQN786445:EQR786545 EQN851981:EQR852081 EQN917517:EQR917617 EQN983053:EQR983153 FAK13:FAO63 EQY65549:ERE65649 EQY131085:ERE131185 EQY196621:ERE196721 EQY262157:ERE262257 EQY327693:ERE327793 EQY393229:ERE393329 EQY458765:ERE458865 EQY524301:ERE524401 EQY589837:ERE589937 EQY655373:ERE655473 EQY720909:ERE721009 EQY786445:ERE786545 EQY851981:ERE852081 EQY917517:ERE917617 EQY983053:ERE983153 FAV13:FBB63 FAJ65549:FAN65649 FAJ131085:FAN131185 FAJ196621:FAN196721 FAJ262157:FAN262257 FAJ327693:FAN327793 FAJ393229:FAN393329 FAJ458765:FAN458865 FAJ524301:FAN524401 FAJ589837:FAN589937 FAJ655373:FAN655473 FAJ720909:FAN721009 FAJ786445:FAN786545 FAJ851981:FAN852081 FAJ917517:FAN917617 FAJ983053:FAN983153 FKG13:FKK63 FAU65549:FBA65649 FAU131085:FBA131185 FAU196621:FBA196721 FAU262157:FBA262257 FAU327693:FBA327793 FAU393229:FBA393329 FAU458765:FBA458865 FAU524301:FBA524401 FAU589837:FBA589937 FAU655373:FBA655473 FAU720909:FBA721009 FAU786445:FBA786545 FAU851981:FBA852081 FAU917517:FBA917617 FAU983053:FBA983153 FKR13:FKX63 FKF65549:FKJ65649 FKF131085:FKJ131185 FKF196621:FKJ196721 FKF262157:FKJ262257 FKF327693:FKJ327793 FKF393229:FKJ393329 FKF458765:FKJ458865 FKF524301:FKJ524401 FKF589837:FKJ589937 FKF655373:FKJ655473 FKF720909:FKJ721009 FKF786445:FKJ786545 FKF851981:FKJ852081 FKF917517:FKJ917617 FKF983053:FKJ983153 FUC13:FUG63 FKQ65549:FKW65649 FKQ131085:FKW131185 FKQ196621:FKW196721 FKQ262157:FKW262257 FKQ327693:FKW327793 FKQ393229:FKW393329 FKQ458765:FKW458865 FKQ524301:FKW524401 FKQ589837:FKW589937 FKQ655373:FKW655473 FKQ720909:FKW721009 FKQ786445:FKW786545 FKQ851981:FKW852081 FKQ917517:FKW917617 FKQ983053:FKW983153 FUN13:FUT63 FUB65549:FUF65649 FUB131085:FUF131185 FUB196621:FUF196721 FUB262157:FUF262257 FUB327693:FUF327793 FUB393229:FUF393329 FUB458765:FUF458865 FUB524301:FUF524401 FUB589837:FUF589937 FUB655373:FUF655473 FUB720909:FUF721009 FUB786445:FUF786545 FUB851981:FUF852081 FUB917517:FUF917617 FUB983053:FUF983153 GDY13:GEC63 FUM65549:FUS65649 FUM131085:FUS131185 FUM196621:FUS196721 FUM262157:FUS262257 FUM327693:FUS327793 FUM393229:FUS393329 FUM458765:FUS458865 FUM524301:FUS524401 FUM589837:FUS589937 FUM655373:FUS655473 FUM720909:FUS721009 FUM786445:FUS786545 FUM851981:FUS852081 FUM917517:FUS917617 FUM983053:FUS983153 GEJ13:GEP63 GDX65549:GEB65649 GDX131085:GEB131185 GDX196621:GEB196721 GDX262157:GEB262257 GDX327693:GEB327793 GDX393229:GEB393329 GDX458765:GEB458865 GDX524301:GEB524401 GDX589837:GEB589937 GDX655373:GEB655473 GDX720909:GEB721009 GDX786445:GEB786545 GDX851981:GEB852081 GDX917517:GEB917617 GDX983053:GEB983153 GNU13:GNY63 GEI65549:GEO65649 GEI131085:GEO131185 GEI196621:GEO196721 GEI262157:GEO262257 GEI327693:GEO327793 GEI393229:GEO393329 GEI458765:GEO458865 GEI524301:GEO524401 GEI589837:GEO589937 GEI655373:GEO655473 GEI720909:GEO721009 GEI786445:GEO786545 GEI851981:GEO852081 GEI917517:GEO917617 GEI983053:GEO983153 GOF13:GOL63 GNT65549:GNX65649 GNT131085:GNX131185 GNT196621:GNX196721 GNT262157:GNX262257 GNT327693:GNX327793 GNT393229:GNX393329 GNT458765:GNX458865 GNT524301:GNX524401 GNT589837:GNX589937 GNT655373:GNX655473 GNT720909:GNX721009 GNT786445:GNX786545 GNT851981:GNX852081 GNT917517:GNX917617 GNT983053:GNX983153 GXQ13:GXU63 GOE65549:GOK65649 GOE131085:GOK131185 GOE196621:GOK196721 GOE262157:GOK262257 GOE327693:GOK327793 GOE393229:GOK393329 GOE458765:GOK458865 GOE524301:GOK524401 GOE589837:GOK589937 GOE655373:GOK655473 GOE720909:GOK721009 GOE786445:GOK786545 GOE851981:GOK852081 GOE917517:GOK917617 GOE983053:GOK983153 GYB13:GYH63 GXP65549:GXT65649 GXP131085:GXT131185 GXP196621:GXT196721 GXP262157:GXT262257 GXP327693:GXT327793 GXP393229:GXT393329 GXP458765:GXT458865 GXP524301:GXT524401 GXP589837:GXT589937 GXP655373:GXT655473 GXP720909:GXT721009 GXP786445:GXT786545 GXP851981:GXT852081 GXP917517:GXT917617 GXP983053:GXT983153 HHM13:HHQ63 GYA65549:GYG65649 GYA131085:GYG131185 GYA196621:GYG196721 GYA262157:GYG262257 GYA327693:GYG327793 GYA393229:GYG393329 GYA458765:GYG458865 GYA524301:GYG524401 GYA589837:GYG589937 GYA655373:GYG655473 GYA720909:GYG721009 GYA786445:GYG786545 GYA851981:GYG852081 GYA917517:GYG917617 GYA983053:GYG983153 HHX13:HID63 HHL65549:HHP65649 HHL131085:HHP131185 HHL196621:HHP196721 HHL262157:HHP262257 HHL327693:HHP327793 HHL393229:HHP393329 HHL458765:HHP458865 HHL524301:HHP524401 HHL589837:HHP589937 HHL655373:HHP655473 HHL720909:HHP721009 HHL786445:HHP786545 HHL851981:HHP852081 HHL917517:HHP917617 HHL983053:HHP983153 HRI13:HRM63 HHW65549:HIC65649 HHW131085:HIC131185 HHW196621:HIC196721 HHW262157:HIC262257 HHW327693:HIC327793 HHW393229:HIC393329 HHW458765:HIC458865 HHW524301:HIC524401 HHW589837:HIC589937 HHW655373:HIC655473 HHW720909:HIC721009 HHW786445:HIC786545 HHW851981:HIC852081 HHW917517:HIC917617 HHW983053:HIC983153 HRT13:HRZ63 HRH65549:HRL65649 HRH131085:HRL131185 HRH196621:HRL196721 HRH262157:HRL262257 HRH327693:HRL327793 HRH393229:HRL393329 HRH458765:HRL458865 HRH524301:HRL524401 HRH589837:HRL589937 HRH655373:HRL655473 HRH720909:HRL721009 HRH786445:HRL786545 HRH851981:HRL852081 HRH917517:HRL917617 HRH983053:HRL983153 IBE13:IBI63 HRS65549:HRY65649 HRS131085:HRY131185 HRS196621:HRY196721 HRS262157:HRY262257 HRS327693:HRY327793 HRS393229:HRY393329 HRS458765:HRY458865 HRS524301:HRY524401 HRS589837:HRY589937 HRS655373:HRY655473 HRS720909:HRY721009 HRS786445:HRY786545 HRS851981:HRY852081 HRS917517:HRY917617 HRS983053:HRY983153 IBP13:IBV63 IBD65549:IBH65649 IBD131085:IBH131185 IBD196621:IBH196721 IBD262157:IBH262257 IBD327693:IBH327793 IBD393229:IBH393329 IBD458765:IBH458865 IBD524301:IBH524401 IBD589837:IBH589937 IBD655373:IBH655473 IBD720909:IBH721009 IBD786445:IBH786545 IBD851981:IBH852081 IBD917517:IBH917617 IBD983053:IBH983153 ILA13:ILE63 IBO65549:IBU65649 IBO131085:IBU131185 IBO196621:IBU196721 IBO262157:IBU262257 IBO327693:IBU327793 IBO393229:IBU393329 IBO458765:IBU458865 IBO524301:IBU524401 IBO589837:IBU589937 IBO655373:IBU655473 IBO720909:IBU721009 IBO786445:IBU786545 IBO851981:IBU852081 IBO917517:IBU917617 IBO983053:IBU983153 ILL13:ILR63 IKZ65549:ILD65649 IKZ131085:ILD131185 IKZ196621:ILD196721 IKZ262157:ILD262257 IKZ327693:ILD327793 IKZ393229:ILD393329 IKZ458765:ILD458865 IKZ524301:ILD524401 IKZ589837:ILD589937 IKZ655373:ILD655473 IKZ720909:ILD721009 IKZ786445:ILD786545 IKZ851981:ILD852081 IKZ917517:ILD917617 IKZ983053:ILD983153 IUW13:IVA63 ILK65549:ILQ65649 ILK131085:ILQ131185 ILK196621:ILQ196721 ILK262157:ILQ262257 ILK327693:ILQ327793 ILK393229:ILQ393329 ILK458765:ILQ458865 ILK524301:ILQ524401 ILK589837:ILQ589937 ILK655373:ILQ655473 ILK720909:ILQ721009 ILK786445:ILQ786545 ILK851981:ILQ852081 ILK917517:ILQ917617 ILK983053:ILQ983153 IVH13:IVN63 IUV65549:IUZ65649 IUV131085:IUZ131185 IUV196621:IUZ196721 IUV262157:IUZ262257 IUV327693:IUZ327793 IUV393229:IUZ393329 IUV458765:IUZ458865 IUV524301:IUZ524401 IUV589837:IUZ589937 IUV655373:IUZ655473 IUV720909:IUZ721009 IUV786445:IUZ786545 IUV851981:IUZ852081 IUV917517:IUZ917617 IUV983053:IUZ983153 JES13:JEW63 IVG65549:IVM65649 IVG131085:IVM131185 IVG196621:IVM196721 IVG262157:IVM262257 IVG327693:IVM327793 IVG393229:IVM393329 IVG458765:IVM458865 IVG524301:IVM524401 IVG589837:IVM589937 IVG655373:IVM655473 IVG720909:IVM721009 IVG786445:IVM786545 IVG851981:IVM852081 IVG917517:IVM917617 IVG983053:IVM983153 JFD13:JFJ63 JER65549:JEV65649 JER131085:JEV131185 JER196621:JEV196721 JER262157:JEV262257 JER327693:JEV327793 JER393229:JEV393329 JER458765:JEV458865 JER524301:JEV524401 JER589837:JEV589937 JER655373:JEV655473 JER720909:JEV721009 JER786445:JEV786545 JER851981:JEV852081 JER917517:JEV917617 JER983053:JEV983153 JOO13:JOS63 JFC65549:JFI65649 JFC131085:JFI131185 JFC196621:JFI196721 JFC262157:JFI262257 JFC327693:JFI327793 JFC393229:JFI393329 JFC458765:JFI458865 JFC524301:JFI524401 JFC589837:JFI589937 JFC655373:JFI655473 JFC720909:JFI721009 JFC786445:JFI786545 JFC851981:JFI852081 JFC917517:JFI917617 JFC983053:JFI983153 JOZ13:JPF63 JON65549:JOR65649 JON131085:JOR131185 JON196621:JOR196721 JON262157:JOR262257 JON327693:JOR327793 JON393229:JOR393329 JON458765:JOR458865 JON524301:JOR524401 JON589837:JOR589937 JON655373:JOR655473 JON720909:JOR721009 JON786445:JOR786545 JON851981:JOR852081 JON917517:JOR917617 JON983053:JOR983153 JYK13:JYO63 JOY65549:JPE65649 JOY131085:JPE131185 JOY196621:JPE196721 JOY262157:JPE262257 JOY327693:JPE327793 JOY393229:JPE393329 JOY458765:JPE458865 JOY524301:JPE524401 JOY589837:JPE589937 JOY655373:JPE655473 JOY720909:JPE721009 JOY786445:JPE786545 JOY851981:JPE852081 JOY917517:JPE917617 JOY983053:JPE983153 JYV13:JZB63 JYJ65549:JYN65649 JYJ131085:JYN131185 JYJ196621:JYN196721 JYJ262157:JYN262257 JYJ327693:JYN327793 JYJ393229:JYN393329 JYJ458765:JYN458865 JYJ524301:JYN524401 JYJ589837:JYN589937 JYJ655373:JYN655473 JYJ720909:JYN721009 JYJ786445:JYN786545 JYJ851981:JYN852081 JYJ917517:JYN917617 JYJ983053:JYN983153 KIG13:KIK63 JYU65549:JZA65649 JYU131085:JZA131185 JYU196621:JZA196721 JYU262157:JZA262257 JYU327693:JZA327793 JYU393229:JZA393329 JYU458765:JZA458865 JYU524301:JZA524401 JYU589837:JZA589937 JYU655373:JZA655473 JYU720909:JZA721009 JYU786445:JZA786545 JYU851981:JZA852081 JYU917517:JZA917617 JYU983053:JZA983153 KIR13:KIX63 KIF65549:KIJ65649 KIF131085:KIJ131185 KIF196621:KIJ196721 KIF262157:KIJ262257 KIF327693:KIJ327793 KIF393229:KIJ393329 KIF458765:KIJ458865 KIF524301:KIJ524401 KIF589837:KIJ589937 KIF655373:KIJ655473 KIF720909:KIJ721009 KIF786445:KIJ786545 KIF851981:KIJ852081 KIF917517:KIJ917617 KIF983053:KIJ983153 KSC13:KSG63 KIQ65549:KIW65649 KIQ131085:KIW131185 KIQ196621:KIW196721 KIQ262157:KIW262257 KIQ327693:KIW327793 KIQ393229:KIW393329 KIQ458765:KIW458865 KIQ524301:KIW524401 KIQ589837:KIW589937 KIQ655373:KIW655473 KIQ720909:KIW721009 KIQ786445:KIW786545 KIQ851981:KIW852081 KIQ917517:KIW917617 KIQ983053:KIW983153 KSN13:KST63 KSB65549:KSF65649 KSB131085:KSF131185 KSB196621:KSF196721 KSB262157:KSF262257 KSB327693:KSF327793 KSB393229:KSF393329 KSB458765:KSF458865 KSB524301:KSF524401 KSB589837:KSF589937 KSB655373:KSF655473 KSB720909:KSF721009 KSB786445:KSF786545 KSB851981:KSF852081 KSB917517:KSF917617 KSB983053:KSF983153 LBY13:LCC63 KSM65549:KSS65649 KSM131085:KSS131185 KSM196621:KSS196721 KSM262157:KSS262257 KSM327693:KSS327793 KSM393229:KSS393329 KSM458765:KSS458865 KSM524301:KSS524401 KSM589837:KSS589937 KSM655373:KSS655473 KSM720909:KSS721009 KSM786445:KSS786545 KSM851981:KSS852081 KSM917517:KSS917617 KSM983053:KSS983153 LCJ13:LCP63 LBX65549:LCB65649 LBX131085:LCB131185 LBX196621:LCB196721 LBX262157:LCB262257 LBX327693:LCB327793 LBX393229:LCB393329 LBX458765:LCB458865 LBX524301:LCB524401 LBX589837:LCB589937 LBX655373:LCB655473 LBX720909:LCB721009 LBX786445:LCB786545 LBX851981:LCB852081 LBX917517:LCB917617 LBX983053:LCB983153 LLU13:LLY63 LCI65549:LCO65649 LCI131085:LCO131185 LCI196621:LCO196721 LCI262157:LCO262257 LCI327693:LCO327793 LCI393229:LCO393329 LCI458765:LCO458865 LCI524301:LCO524401 LCI589837:LCO589937 LCI655373:LCO655473 LCI720909:LCO721009 LCI786445:LCO786545 LCI851981:LCO852081 LCI917517:LCO917617 LCI983053:LCO983153 LMF13:LML63 LLT65549:LLX65649 LLT131085:LLX131185 LLT196621:LLX196721 LLT262157:LLX262257 LLT327693:LLX327793 LLT393229:LLX393329 LLT458765:LLX458865 LLT524301:LLX524401 LLT589837:LLX589937 LLT655373:LLX655473 LLT720909:LLX721009 LLT786445:LLX786545 LLT851981:LLX852081 LLT917517:LLX917617 LLT983053:LLX983153 LVQ13:LVU63 LME65549:LMK65649 LME131085:LMK131185 LME196621:LMK196721 LME262157:LMK262257 LME327693:LMK327793 LME393229:LMK393329 LME458765:LMK458865 LME524301:LMK524401 LME589837:LMK589937 LME655373:LMK655473 LME720909:LMK721009 LME786445:LMK786545 LME851981:LMK852081 LME917517:LMK917617 LME983053:LMK983153 LWB13:LWH63 LVP65549:LVT65649 LVP131085:LVT131185 LVP196621:LVT196721 LVP262157:LVT262257 LVP327693:LVT327793 LVP393229:LVT393329 LVP458765:LVT458865 LVP524301:LVT524401 LVP589837:LVT589937 LVP655373:LVT655473 LVP720909:LVT721009 LVP786445:LVT786545 LVP851981:LVT852081 LVP917517:LVT917617 LVP983053:LVT983153 MFM13:MFQ63 LWA65549:LWG65649 LWA131085:LWG131185 LWA196621:LWG196721 LWA262157:LWG262257 LWA327693:LWG327793 LWA393229:LWG393329 LWA458765:LWG458865 LWA524301:LWG524401 LWA589837:LWG589937 LWA655373:LWG655473 LWA720909:LWG721009 LWA786445:LWG786545 LWA851981:LWG852081 LWA917517:LWG917617 LWA983053:LWG983153 MFX13:MGD63 MFL65549:MFP65649 MFL131085:MFP131185 MFL196621:MFP196721 MFL262157:MFP262257 MFL327693:MFP327793 MFL393229:MFP393329 MFL458765:MFP458865 MFL524301:MFP524401 MFL589837:MFP589937 MFL655373:MFP655473 MFL720909:MFP721009 MFL786445:MFP786545 MFL851981:MFP852081 MFL917517:MFP917617 MFL983053:MFP983153 MPI13:MPM63 MFW65549:MGC65649 MFW131085:MGC131185 MFW196621:MGC196721 MFW262157:MGC262257 MFW327693:MGC327793 MFW393229:MGC393329 MFW458765:MGC458865 MFW524301:MGC524401 MFW589837:MGC589937 MFW655373:MGC655473 MFW720909:MGC721009 MFW786445:MGC786545 MFW851981:MGC852081 MFW917517:MGC917617 MFW983053:MGC983153 MPT13:MPZ63 MPH65549:MPL65649 MPH131085:MPL131185 MPH196621:MPL196721 MPH262157:MPL262257 MPH327693:MPL327793 MPH393229:MPL393329 MPH458765:MPL458865 MPH524301:MPL524401 MPH589837:MPL589937 MPH655373:MPL655473 MPH720909:MPL721009 MPH786445:MPL786545 MPH851981:MPL852081 MPH917517:MPL917617 MPH983053:MPL983153 MZE13:MZI63 MPS65549:MPY65649 MPS131085:MPY131185 MPS196621:MPY196721 MPS262157:MPY262257 MPS327693:MPY327793 MPS393229:MPY393329 MPS458765:MPY458865 MPS524301:MPY524401 MPS589837:MPY589937 MPS655373:MPY655473 MPS720909:MPY721009 MPS786445:MPY786545 MPS851981:MPY852081 MPS917517:MPY917617 MPS983053:MPY983153 MZP13:MZV63 MZD65549:MZH65649 MZD131085:MZH131185 MZD196621:MZH196721 MZD262157:MZH262257 MZD327693:MZH327793 MZD393229:MZH393329 MZD458765:MZH458865 MZD524301:MZH524401 MZD589837:MZH589937 MZD655373:MZH655473 MZD720909:MZH721009 MZD786445:MZH786545 MZD851981:MZH852081 MZD917517:MZH917617 MZD983053:MZH983153 NJA13:NJE63 MZO65549:MZU65649 MZO131085:MZU131185 MZO196621:MZU196721 MZO262157:MZU262257 MZO327693:MZU327793 MZO393229:MZU393329 MZO458765:MZU458865 MZO524301:MZU524401 MZO589837:MZU589937 MZO655373:MZU655473 MZO720909:MZU721009 MZO786445:MZU786545 MZO851981:MZU852081 MZO917517:MZU917617 MZO983053:MZU983153 NJL13:NJR63 NIZ65549:NJD65649 NIZ131085:NJD131185 NIZ196621:NJD196721 NIZ262157:NJD262257 NIZ327693:NJD327793 NIZ393229:NJD393329 NIZ458765:NJD458865 NIZ524301:NJD524401 NIZ589837:NJD589937 NIZ655373:NJD655473 NIZ720909:NJD721009 NIZ786445:NJD786545 NIZ851981:NJD852081 NIZ917517:NJD917617 NIZ983053:NJD983153 NSW13:NTA63 NJK65549:NJQ65649 NJK131085:NJQ131185 NJK196621:NJQ196721 NJK262157:NJQ262257 NJK327693:NJQ327793 NJK393229:NJQ393329 NJK458765:NJQ458865 NJK524301:NJQ524401 NJK589837:NJQ589937 NJK655373:NJQ655473 NJK720909:NJQ721009 NJK786445:NJQ786545 NJK851981:NJQ852081 NJK917517:NJQ917617 NJK983053:NJQ983153 NTH13:NTN63 NSV65549:NSZ65649 NSV131085:NSZ131185 NSV196621:NSZ196721 NSV262157:NSZ262257 NSV327693:NSZ327793 NSV393229:NSZ393329 NSV458765:NSZ458865 NSV524301:NSZ524401 NSV589837:NSZ589937 NSV655373:NSZ655473 NSV720909:NSZ721009 NSV786445:NSZ786545 NSV851981:NSZ852081 NSV917517:NSZ917617 NSV983053:NSZ983153 OCS13:OCW63 NTG65549:NTM65649 NTG131085:NTM131185 NTG196621:NTM196721 NTG262157:NTM262257 NTG327693:NTM327793 NTG393229:NTM393329 NTG458765:NTM458865 NTG524301:NTM524401 NTG589837:NTM589937 NTG655373:NTM655473 NTG720909:NTM721009 NTG786445:NTM786545 NTG851981:NTM852081 NTG917517:NTM917617 NTG983053:NTM983153 ODD13:ODJ63 OCR65549:OCV65649 OCR131085:OCV131185 OCR196621:OCV196721 OCR262157:OCV262257 OCR327693:OCV327793 OCR393229:OCV393329 OCR458765:OCV458865 OCR524301:OCV524401 OCR589837:OCV589937 OCR655373:OCV655473 OCR720909:OCV721009 OCR786445:OCV786545 OCR851981:OCV852081 OCR917517:OCV917617 OCR983053:OCV983153 OMO13:OMS63 ODC65549:ODI65649 ODC131085:ODI131185 ODC196621:ODI196721 ODC262157:ODI262257 ODC327693:ODI327793 ODC393229:ODI393329 ODC458765:ODI458865 ODC524301:ODI524401 ODC589837:ODI589937 ODC655373:ODI655473 ODC720909:ODI721009 ODC786445:ODI786545 ODC851981:ODI852081 ODC917517:ODI917617 ODC983053:ODI983153 OMZ13:ONF63 OMN65549:OMR65649 OMN131085:OMR131185 OMN196621:OMR196721 OMN262157:OMR262257 OMN327693:OMR327793 OMN393229:OMR393329 OMN458765:OMR458865 OMN524301:OMR524401 OMN589837:OMR589937 OMN655373:OMR655473 OMN720909:OMR721009 OMN786445:OMR786545 OMN851981:OMR852081 OMN917517:OMR917617 OMN983053:OMR983153 OWK13:OWO63 OMY65549:ONE65649 OMY131085:ONE131185 OMY196621:ONE196721 OMY262157:ONE262257 OMY327693:ONE327793 OMY393229:ONE393329 OMY458765:ONE458865 OMY524301:ONE524401 OMY589837:ONE589937 OMY655373:ONE655473 OMY720909:ONE721009 OMY786445:ONE786545 OMY851981:ONE852081 OMY917517:ONE917617 OMY983053:ONE983153 OWV13:OXB63 OWJ65549:OWN65649 OWJ131085:OWN131185 OWJ196621:OWN196721 OWJ262157:OWN262257 OWJ327693:OWN327793 OWJ393229:OWN393329 OWJ458765:OWN458865 OWJ524301:OWN524401 OWJ589837:OWN589937 OWJ655373:OWN655473 OWJ720909:OWN721009 OWJ786445:OWN786545 OWJ851981:OWN852081 OWJ917517:OWN917617 OWJ983053:OWN983153 PGG13:PGK63 OWU65549:OXA65649 OWU131085:OXA131185 OWU196621:OXA196721 OWU262157:OXA262257 OWU327693:OXA327793 OWU393229:OXA393329 OWU458765:OXA458865 OWU524301:OXA524401 OWU589837:OXA589937 OWU655373:OXA655473 OWU720909:OXA721009 OWU786445:OXA786545 OWU851981:OXA852081 OWU917517:OXA917617 OWU983053:OXA983153 PGR13:PGX63 PGF65549:PGJ65649 PGF131085:PGJ131185 PGF196621:PGJ196721 PGF262157:PGJ262257 PGF327693:PGJ327793 PGF393229:PGJ393329 PGF458765:PGJ458865 PGF524301:PGJ524401 PGF589837:PGJ589937 PGF655373:PGJ655473 PGF720909:PGJ721009 PGF786445:PGJ786545 PGF851981:PGJ852081 PGF917517:PGJ917617 PGF983053:PGJ983153 PQC13:PQG63 PGQ65549:PGW65649 PGQ131085:PGW131185 PGQ196621:PGW196721 PGQ262157:PGW262257 PGQ327693:PGW327793 PGQ393229:PGW393329 PGQ458765:PGW458865 PGQ524301:PGW524401 PGQ589837:PGW589937 PGQ655373:PGW655473 PGQ720909:PGW721009 PGQ786445:PGW786545 PGQ851981:PGW852081 PGQ917517:PGW917617 PGQ983053:PGW983153 PQN13:PQT63 PQB65549:PQF65649 PQB131085:PQF131185 PQB196621:PQF196721 PQB262157:PQF262257 PQB327693:PQF327793 PQB393229:PQF393329 PQB458765:PQF458865 PQB524301:PQF524401 PQB589837:PQF589937 PQB655373:PQF655473 PQB720909:PQF721009 PQB786445:PQF786545 PQB851981:PQF852081 PQB917517:PQF917617 PQB983053:PQF983153 PZY13:QAC63 PQM65549:PQS65649 PQM131085:PQS131185 PQM196621:PQS196721 PQM262157:PQS262257 PQM327693:PQS327793 PQM393229:PQS393329 PQM458765:PQS458865 PQM524301:PQS524401 PQM589837:PQS589937 PQM655373:PQS655473 PQM720909:PQS721009 PQM786445:PQS786545 PQM851981:PQS852081 PQM917517:PQS917617 PQM983053:PQS983153 QAJ13:QAP63 PZX65549:QAB65649 PZX131085:QAB131185 PZX196621:QAB196721 PZX262157:QAB262257 PZX327693:QAB327793 PZX393229:QAB393329 PZX458765:QAB458865 PZX524301:QAB524401 PZX589837:QAB589937 PZX655373:QAB655473 PZX720909:QAB721009 PZX786445:QAB786545 PZX851981:QAB852081 PZX917517:QAB917617 PZX983053:QAB983153 QJU13:QJY63 QAI65549:QAO65649 QAI131085:QAO131185 QAI196621:QAO196721 QAI262157:QAO262257 QAI327693:QAO327793 QAI393229:QAO393329 QAI458765:QAO458865 QAI524301:QAO524401 QAI589837:QAO589937 QAI655373:QAO655473 QAI720909:QAO721009 QAI786445:QAO786545 QAI851981:QAO852081 QAI917517:QAO917617 QAI983053:QAO983153 QKF13:QKL63 QJT65549:QJX65649 QJT131085:QJX131185 QJT196621:QJX196721 QJT262157:QJX262257 QJT327693:QJX327793 QJT393229:QJX393329 QJT458765:QJX458865 QJT524301:QJX524401 QJT589837:QJX589937 QJT655373:QJX655473 QJT720909:QJX721009 QJT786445:QJX786545 QJT851981:QJX852081 QJT917517:QJX917617 QJT983053:QJX983153 QTQ13:QTU63 QKE65549:QKK65649 QKE131085:QKK131185 QKE196621:QKK196721 QKE262157:QKK262257 QKE327693:QKK327793 QKE393229:QKK393329 QKE458765:QKK458865 QKE524301:QKK524401 QKE589837:QKK589937 QKE655373:QKK655473 QKE720909:QKK721009 QKE786445:QKK786545 QKE851981:QKK852081 QKE917517:QKK917617 QKE983053:QKK983153 QUB13:QUH63 QTP65549:QTT65649 QTP131085:QTT131185 QTP196621:QTT196721 QTP262157:QTT262257 QTP327693:QTT327793 QTP393229:QTT393329 QTP458765:QTT458865 QTP524301:QTT524401 QTP589837:QTT589937 QTP655373:QTT655473 QTP720909:QTT721009 QTP786445:QTT786545 QTP851981:QTT852081 QTP917517:QTT917617 QTP983053:QTT983153 RDM13:RDQ63 QUA65549:QUG65649 QUA131085:QUG131185 QUA196621:QUG196721 QUA262157:QUG262257 QUA327693:QUG327793 QUA393229:QUG393329 QUA458765:QUG458865 QUA524301:QUG524401 QUA589837:QUG589937 QUA655373:QUG655473 QUA720909:QUG721009 QUA786445:QUG786545 QUA851981:QUG852081 QUA917517:QUG917617 QUA983053:QUG983153 RDX13:RED63 RDL65549:RDP65649 RDL131085:RDP131185 RDL196621:RDP196721 RDL262157:RDP262257 RDL327693:RDP327793 RDL393229:RDP393329 RDL458765:RDP458865 RDL524301:RDP524401 RDL589837:RDP589937 RDL655373:RDP655473 RDL720909:RDP721009 RDL786445:RDP786545 RDL851981:RDP852081 RDL917517:RDP917617 RDL983053:RDP983153 RNI13:RNM63 RDW65549:REC65649 RDW131085:REC131185 RDW196621:REC196721 RDW262157:REC262257 RDW327693:REC327793 RDW393229:REC393329 RDW458765:REC458865 RDW524301:REC524401 RDW589837:REC589937 RDW655373:REC655473 RDW720909:REC721009 RDW786445:REC786545 RDW851981:REC852081 RDW917517:REC917617 RDW983053:REC983153 RNT13:RNZ63 RNH65549:RNL65649 RNH131085:RNL131185 RNH196621:RNL196721 RNH262157:RNL262257 RNH327693:RNL327793 RNH393229:RNL393329 RNH458765:RNL458865 RNH524301:RNL524401 RNH589837:RNL589937 RNH655373:RNL655473 RNH720909:RNL721009 RNH786445:RNL786545 RNH851981:RNL852081 RNH917517:RNL917617 RNH983053:RNL983153 RXE13:RXI63 RNS65549:RNY65649 RNS131085:RNY131185 RNS196621:RNY196721 RNS262157:RNY262257 RNS327693:RNY327793 RNS393229:RNY393329 RNS458765:RNY458865 RNS524301:RNY524401 RNS589837:RNY589937 RNS655373:RNY655473 RNS720909:RNY721009 RNS786445:RNY786545 RNS851981:RNY852081 RNS917517:RNY917617 RNS983053:RNY983153 RXP13:RXV63 RXD65549:RXH65649 RXD131085:RXH131185 RXD196621:RXH196721 RXD262157:RXH262257 RXD327693:RXH327793 RXD393229:RXH393329 RXD458765:RXH458865 RXD524301:RXH524401 RXD589837:RXH589937 RXD655373:RXH655473 RXD720909:RXH721009 RXD786445:RXH786545 RXD851981:RXH852081 RXD917517:RXH917617 RXD983053:RXH983153 SHA13:SHE63 RXO65549:RXU65649 RXO131085:RXU131185 RXO196621:RXU196721 RXO262157:RXU262257 RXO327693:RXU327793 RXO393229:RXU393329 RXO458765:RXU458865 RXO524301:RXU524401 RXO589837:RXU589937 RXO655373:RXU655473 RXO720909:RXU721009 RXO786445:RXU786545 RXO851981:RXU852081 RXO917517:RXU917617 RXO983053:RXU983153 SHL13:SHR63 SGZ65549:SHD65649 SGZ131085:SHD131185 SGZ196621:SHD196721 SGZ262157:SHD262257 SGZ327693:SHD327793 SGZ393229:SHD393329 SGZ458765:SHD458865 SGZ524301:SHD524401 SGZ589837:SHD589937 SGZ655373:SHD655473 SGZ720909:SHD721009 SGZ786445:SHD786545 SGZ851981:SHD852081 SGZ917517:SHD917617 SGZ983053:SHD983153 SQW13:SRA63 SHK65549:SHQ65649 SHK131085:SHQ131185 SHK196621:SHQ196721 SHK262157:SHQ262257 SHK327693:SHQ327793 SHK393229:SHQ393329 SHK458765:SHQ458865 SHK524301:SHQ524401 SHK589837:SHQ589937 SHK655373:SHQ655473 SHK720909:SHQ721009 SHK786445:SHQ786545 SHK851981:SHQ852081 SHK917517:SHQ917617 SHK983053:SHQ983153 SRH13:SRN63 SQV65549:SQZ65649 SQV131085:SQZ131185 SQV196621:SQZ196721 SQV262157:SQZ262257 SQV327693:SQZ327793 SQV393229:SQZ393329 SQV458765:SQZ458865 SQV524301:SQZ524401 SQV589837:SQZ589937 SQV655373:SQZ655473 SQV720909:SQZ721009 SQV786445:SQZ786545 SQV851981:SQZ852081 SQV917517:SQZ917617 SQV983053:SQZ983153 TAS13:TAW63 SRG65549:SRM65649 SRG131085:SRM131185 SRG196621:SRM196721 SRG262157:SRM262257 SRG327693:SRM327793 SRG393229:SRM393329 SRG458765:SRM458865 SRG524301:SRM524401 SRG589837:SRM589937 SRG655373:SRM655473 SRG720909:SRM721009 SRG786445:SRM786545 SRG851981:SRM852081 SRG917517:SRM917617 SRG983053:SRM983153 TBD13:TBJ63 TAR65549:TAV65649 TAR131085:TAV131185 TAR196621:TAV196721 TAR262157:TAV262257 TAR327693:TAV327793 TAR393229:TAV393329 TAR458765:TAV458865 TAR524301:TAV524401 TAR589837:TAV589937 TAR655373:TAV655473 TAR720909:TAV721009 TAR786445:TAV786545 TAR851981:TAV852081 TAR917517:TAV917617 TAR983053:TAV983153 TKO13:TKS63 TBC65549:TBI65649 TBC131085:TBI131185 TBC196621:TBI196721 TBC262157:TBI262257 TBC327693:TBI327793 TBC393229:TBI393329 TBC458765:TBI458865 TBC524301:TBI524401 TBC589837:TBI589937 TBC655373:TBI655473 TBC720909:TBI721009 TBC786445:TBI786545 TBC851981:TBI852081 TBC917517:TBI917617 TBC983053:TBI983153 TKZ13:TLF63 TKN65549:TKR65649 TKN131085:TKR131185 TKN196621:TKR196721 TKN262157:TKR262257 TKN327693:TKR327793 TKN393229:TKR393329 TKN458765:TKR458865 TKN524301:TKR524401 TKN589837:TKR589937 TKN655373:TKR655473 TKN720909:TKR721009 TKN786445:TKR786545 TKN851981:TKR852081 TKN917517:TKR917617 TKN983053:TKR983153 TUK13:TUO63 TKY65549:TLE65649 TKY131085:TLE131185 TKY196621:TLE196721 TKY262157:TLE262257 TKY327693:TLE327793 TKY393229:TLE393329 TKY458765:TLE458865 TKY524301:TLE524401 TKY589837:TLE589937 TKY655373:TLE655473 TKY720909:TLE721009 TKY786445:TLE786545 TKY851981:TLE852081 TKY917517:TLE917617 TKY983053:TLE983153 TUV13:TVB63 TUJ65549:TUN65649 TUJ131085:TUN131185 TUJ196621:TUN196721 TUJ262157:TUN262257 TUJ327693:TUN327793 TUJ393229:TUN393329 TUJ458765:TUN458865 TUJ524301:TUN524401 TUJ589837:TUN589937 TUJ655373:TUN655473 TUJ720909:TUN721009 TUJ786445:TUN786545 TUJ851981:TUN852081 TUJ917517:TUN917617 TUJ983053:TUN983153 UEG13:UEK63 TUU65549:TVA65649 TUU131085:TVA131185 TUU196621:TVA196721 TUU262157:TVA262257 TUU327693:TVA327793 TUU393229:TVA393329 TUU458765:TVA458865 TUU524301:TVA524401 TUU589837:TVA589937 TUU655373:TVA655473 TUU720909:TVA721009 TUU786445:TVA786545 TUU851981:TVA852081 TUU917517:TVA917617 TUU983053:TVA983153 UER13:UEX63 UEF65549:UEJ65649 UEF131085:UEJ131185 UEF196621:UEJ196721 UEF262157:UEJ262257 UEF327693:UEJ327793 UEF393229:UEJ393329 UEF458765:UEJ458865 UEF524301:UEJ524401 UEF589837:UEJ589937 UEF655373:UEJ655473 UEF720909:UEJ721009 UEF786445:UEJ786545 UEF851981:UEJ852081 UEF917517:UEJ917617 UEF983053:UEJ983153 UOC13:UOG63 UEQ65549:UEW65649 UEQ131085:UEW131185 UEQ196621:UEW196721 UEQ262157:UEW262257 UEQ327693:UEW327793 UEQ393229:UEW393329 UEQ458765:UEW458865 UEQ524301:UEW524401 UEQ589837:UEW589937 UEQ655373:UEW655473 UEQ720909:UEW721009 UEQ786445:UEW786545 UEQ851981:UEW852081 UEQ917517:UEW917617 UEQ983053:UEW983153 UON13:UOT63 UOB65549:UOF65649 UOB131085:UOF131185 UOB196621:UOF196721 UOB262157:UOF262257 UOB327693:UOF327793 UOB393229:UOF393329 UOB458765:UOF458865 UOB524301:UOF524401 UOB589837:UOF589937 UOB655373:UOF655473 UOB720909:UOF721009 UOB786445:UOF786545 UOB851981:UOF852081 UOB917517:UOF917617 UOB983053:UOF983153 UXY13:UYC63 UOM65549:UOS65649 UOM131085:UOS131185 UOM196621:UOS196721 UOM262157:UOS262257 UOM327693:UOS327793 UOM393229:UOS393329 UOM458765:UOS458865 UOM524301:UOS524401 UOM589837:UOS589937 UOM655373:UOS655473 UOM720909:UOS721009 UOM786445:UOS786545 UOM851981:UOS852081 UOM917517:UOS917617 UOM983053:UOS983153 UYJ13:UYP63 UXX65549:UYB65649 UXX131085:UYB131185 UXX196621:UYB196721 UXX262157:UYB262257 UXX327693:UYB327793 UXX393229:UYB393329 UXX458765:UYB458865 UXX524301:UYB524401 UXX589837:UYB589937 UXX655373:UYB655473 UXX720909:UYB721009 UXX786445:UYB786545 UXX851981:UYB852081 UXX917517:UYB917617 UXX983053:UYB983153 VHU13:VHY63 UYI65549:UYO65649 UYI131085:UYO131185 UYI196621:UYO196721 UYI262157:UYO262257 UYI327693:UYO327793 UYI393229:UYO393329 UYI458765:UYO458865 UYI524301:UYO524401 UYI589837:UYO589937 UYI655373:UYO655473 UYI720909:UYO721009 UYI786445:UYO786545 UYI851981:UYO852081 UYI917517:UYO917617 UYI983053:UYO983153 VIF13:VIL63 VHT65549:VHX65649 VHT131085:VHX131185 VHT196621:VHX196721 VHT262157:VHX262257 VHT327693:VHX327793 VHT393229:VHX393329 VHT458765:VHX458865 VHT524301:VHX524401 VHT589837:VHX589937 VHT655373:VHX655473 VHT720909:VHX721009 VHT786445:VHX786545 VHT851981:VHX852081 VHT917517:VHX917617 VHT983053:VHX983153 VRQ13:VRU63 VIE65549:VIK65649 VIE131085:VIK131185 VIE196621:VIK196721 VIE262157:VIK262257 VIE327693:VIK327793 VIE393229:VIK393329 VIE458765:VIK458865 VIE524301:VIK524401 VIE589837:VIK589937 VIE655373:VIK655473 VIE720909:VIK721009 VIE786445:VIK786545 VIE851981:VIK852081 VIE917517:VIK917617 VIE983053:VIK983153 VSB13:VSH63 VRP65549:VRT65649 VRP131085:VRT131185 VRP196621:VRT196721 VRP262157:VRT262257 VRP327693:VRT327793 VRP393229:VRT393329 VRP458765:VRT458865 VRP524301:VRT524401 VRP589837:VRT589937 VRP655373:VRT655473 VRP720909:VRT721009 VRP786445:VRT786545 VRP851981:VRT852081 VRP917517:VRT917617 VRP983053:VRT983153 WBM13:WBQ63 VSA65549:VSG65649 VSA131085:VSG131185 VSA196621:VSG196721 VSA262157:VSG262257 VSA327693:VSG327793 VSA393229:VSG393329 VSA458765:VSG458865 VSA524301:VSG524401 VSA589837:VSG589937 VSA655373:VSG655473 VSA720909:VSG721009 VSA786445:VSG786545 VSA851981:VSG852081 VSA917517:VSG917617 VSA983053:VSG983153 WBX13:WCD63 WBL65549:WBP65649 WBL131085:WBP131185 WBL196621:WBP196721 WBL262157:WBP262257 WBL327693:WBP327793 WBL393229:WBP393329 WBL458765:WBP458865 WBL524301:WBP524401 WBL589837:WBP589937 WBL655373:WBP655473 WBL720909:WBP721009 WBL786445:WBP786545 WBL851981:WBP852081 WBL917517:WBP917617 WBL983053:WBP983153 WLI13:WLM63 WBW65549:WCC65649 WBW131085:WCC131185 WBW196621:WCC196721 WBW262157:WCC262257 WBW327693:WCC327793 WBW393229:WCC393329 WBW458765:WCC458865 WBW524301:WCC524401 WBW589837:WCC589937 WBW655373:WCC655473 WBW720909:WCC721009 WBW786445:WCC786545 WBW851981:WCC852081 WBW917517:WCC917617 WBW983053:WCC983153 WLT13:WLZ63 WLH65549:WLL65649 WLH131085:WLL131185 WLH196621:WLL196721 WLH262157:WLL262257 WLH327693:WLL327793 WLH393229:WLL393329 WLH458765:WLL458865 WLH524301:WLL524401 WLH589837:WLL589937 WLH655373:WLL655473 WLH720909:WLL721009 WLH786445:WLL786545 WLH851981:WLL852081 WLH917517:WLL917617 WLH983053:WLL983153 WVE13:WVI63 WLS65549:WLY65649 WLS131085:WLY131185 WLS196621:WLY196721 WLS262157:WLY262257 WLS327693:WLY327793 WLS393229:WLY393329 WLS458765:WLY458865 WLS524301:WLY524401 WLS589837:WLY589937 WLS655373:WLY655473 WLS720909:WLY721009 WLS786445:WLY786545 WLS851981:WLY852081 WLS917517:WLY917617 WLS983053:WLY983153 WVP13:WVV63 WVD65549:WVH65649 WVD131085:WVH131185 WVD196621:WVH196721 WVD262157:WVH262257 WVD327693:WVH327793 WVD393229:WVH393329 WVD458765:WVH458865 WVD524301:WVH524401 WVD589837:WVH589937 WVD655373:WVH655473 WVD720909:WVH721009 WVD786445:WVH786545 WVD851981:WVH852081 WVD917517:WVH917617 WVD983053:WVH983153 WVO983053:WVU983153 WVO65549:WVU65649 WVO131085:WVU131185 WVO196621:WVU196721 WVO262157:WVU262257 WVO327693:WVU327793 WVO393229:WVU393329 WVO458765:WVU458865 WVO524301:WVU524401 WVO589837:WVU589937 WVO655373:WVU655473 WVO720909:WVU721009 WVO786445:WVU786545 WVO851981:WVU852081 WVO917517:WVU917617 IS13:IW63 WVP66:WVV114 WVE66:WVI114 WLT66:WLZ114 WLI66:WLM114 WBX66:WCD114 WBM66:WBQ114 VSB66:VSH114 VRQ66:VRU114 VIF66:VIL114 VHU66:VHY114 UYJ66:UYP114 UXY66:UYC114 UON66:UOT114 UOC66:UOG114 UER66:UEX114 UEG66:UEK114 TUV66:TVB114 TUK66:TUO114 TKZ66:TLF114 TKO66:TKS114 TBD66:TBJ114 TAS66:TAW114 SRH66:SRN114 SQW66:SRA114 SHL66:SHR114 SHA66:SHE114 RXP66:RXV114 RXE66:RXI114 RNT66:RNZ114 RNI66:RNM114 RDX66:RED114 RDM66:RDQ114 QUB66:QUH114 QTQ66:QTU114 QKF66:QKL114 QJU66:QJY114 QAJ66:QAP114 PZY66:QAC114 PQN66:PQT114 PQC66:PQG114 PGR66:PGX114 PGG66:PGK114 OWV66:OXB114 OWK66:OWO114 OMZ66:ONF114 OMO66:OMS114 ODD66:ODJ114 OCS66:OCW114 NTH66:NTN114 NSW66:NTA114 NJL66:NJR114 NJA66:NJE114 MZP66:MZV114 MZE66:MZI114 MPT66:MPZ114 MPI66:MPM114 MFX66:MGD114 MFM66:MFQ114 LWB66:LWH114 LVQ66:LVU114 LMF66:LML114 LLU66:LLY114 LCJ66:LCP114 LBY66:LCC114 KSN66:KST114 KSC66:KSG114 KIR66:KIX114 KIG66:KIK114 JYV66:JZB114 JYK66:JYO114 JOZ66:JPF114 JOO66:JOS114 JFD66:JFJ114 JES66:JEW114 IVH66:IVN114 IUW66:IVA114 ILL66:ILR114 ILA66:ILE114 IBP66:IBV114 IBE66:IBI114 HRT66:HRZ114 HRI66:HRM114 HHX66:HID114 HHM66:HHQ114 GYB66:GYH114 GXQ66:GXU114 GOF66:GOL114 GNU66:GNY114 GEJ66:GEP114 GDY66:GEC114 FUN66:FUT114 FUC66:FUG114 FKR66:FKX114 FKG66:FKK114 FAV66:FBB114 FAK66:FAO114 EQZ66:ERF114 EQO66:EQS114 EHD66:EHJ114 EGS66:EGW114 DXH66:DXN114 DWW66:DXA114 DNL66:DNR114 DNA66:DNE114 DDP66:DDV114 DDE66:DDI114 CTT66:CTZ114 CTI66:CTM114 CJX66:CKD114 CJM66:CJQ114 CAB66:CAH114 BZQ66:BZU114 BQF66:BQL114 BPU66:BPY114 BGJ66:BGP114 BFY66:BGC114 AWN66:AWT114 AWC66:AWG114 AMR66:AMX114 AMG66:AMK114 ACV66:ADB114 ACK66:ACO114 SZ66:TF114 SO66:SS114 JD66:JJ114 IS66:IW114" xr:uid="{E95943E9-8CA1-4807-93F5-E2788E7566E4}">
      <formula1>#REF!</formula1>
    </dataValidation>
    <dataValidation type="whole" operator="lessThanOrEqual" allowBlank="1" showInputMessage="1" showErrorMessage="1" error="INPUT NUMBER LESS THAN OR EQUAL THE HPS" prompt="Encode learner's raw score." sqref="L13:N63 D13:H63 L66:N114 D66:H114" xr:uid="{2A37A907-0A1E-46BD-B4CB-6B8F236F7332}">
      <formula1>D$10</formula1>
    </dataValidation>
    <dataValidation type="whole" operator="lessThanOrEqual" allowBlank="1" showInputMessage="1" showErrorMessage="1" error="INPUT NUMBER LESS THAN OR EQUAL THE HPS" prompt="Encode Learners' Raw Score" sqref="S13:S63 S66:S114" xr:uid="{242F0DAF-37E6-43ED-A51A-5FAE167D42F3}">
      <formula1>$S$10</formula1>
    </dataValidation>
    <dataValidation type="whole" operator="lessThanOrEqual" allowBlank="1" showInputMessage="1" showErrorMessage="1" error="INPUT NUMBER LESS THAN OR EQUAL THE HPS" prompt="Encode Learners' Raw Score" sqref="R13:R63 R66:R114" xr:uid="{02994DF0-CEF0-47DF-8EFB-AD12E278EAA2}">
      <formula1>$R$10</formula1>
    </dataValidation>
    <dataValidation type="whole" operator="lessThanOrEqual" allowBlank="1" showInputMessage="1" showErrorMessage="1" error="INPUT NUMBER LESS THAN OR EQUAL THE HPS" prompt="Encode learner's raw score" sqref="T13:T63 T66:T114" xr:uid="{4C4D9456-B303-461A-B48F-E0E04B166864}">
      <formula1>$T$10</formula1>
    </dataValidation>
    <dataValidation allowBlank="1" showInputMessage="1" showErrorMessage="1" prompt="Written Works' Total Highest Possible Score" sqref="I10 I12" xr:uid="{E4809D77-551C-4D45-9F52-CAD96F554CE3}"/>
    <dataValidation allowBlank="1" showInputMessage="1" prompt="Written Works' Total Highest Possible Score" sqref="I10 I12" xr:uid="{96E16BF4-380B-43D8-AA49-A249657F44E7}"/>
    <dataValidation allowBlank="1" showInputMessage="1" showErrorMessage="1" prompt="Performance Tasks' Total Highest Possible Score" sqref="O10 O12" xr:uid="{22F2EBD1-A6ED-4B24-8061-B481F06932C3}"/>
    <dataValidation allowBlank="1" showInputMessage="1" prompt="Performance Tasks' Highest Possible Score" sqref="O10 O12" xr:uid="{20E396D0-3490-4B12-BF11-2EEBF74C8C37}"/>
    <dataValidation allowBlank="1" showInputMessage="1" showErrorMessage="1" prompt="Written Works' Percentage Score" sqref="J10 J12" xr:uid="{46860475-EB19-467F-9E43-E5C0E823B7B7}"/>
    <dataValidation allowBlank="1" showInputMessage="1" showErrorMessage="1" prompt="Performance Tasks' Percentage Score" sqref="P10 P12" xr:uid="{297A521F-1B9B-4828-B58A-AD4070C62606}"/>
    <dataValidation allowBlank="1" showInputMessage="1" showErrorMessage="1" prompt="Written Works' Weighted Score" sqref="K10 K12" xr:uid="{F31535DC-76F9-44CF-AE63-C6708E7F908A}"/>
    <dataValidation allowBlank="1" showInputMessage="1" showErrorMessage="1" prompt="Performance Tasks' Weighted Score" sqref="Q10:S10 Q12:S12" xr:uid="{4A352594-A740-4948-BD41-DD09EBB07695}"/>
    <dataValidation allowBlank="1" showInputMessage="1" showErrorMessage="1" prompt="Either encode Highest Possible Score or Empty" sqref="D10:H10 L12:N12 L10:N10 D12:H12" xr:uid="{DB961A5B-3945-476A-9152-7ABDBF32F197}"/>
    <dataValidation allowBlank="1" showInputMessage="1" prompt="Either encode Highest Possible Score or Empty" sqref="D10:H10 L12:N12 L10:N10 D12:H12" xr:uid="{3ED02899-0772-48A7-A979-5AA2A081F8FC}"/>
    <dataValidation allowBlank="1" showInputMessage="1" showErrorMessage="1" prompt="Quarterly Assessment's Percentage Score" sqref="V10 V12" xr:uid="{7240CE86-9E2C-453F-9BC8-C3E3FF0A848A}"/>
    <dataValidation allowBlank="1" showInputMessage="1" prompt="Quarterly Assessment's Percentage Score" sqref="V10 V12" xr:uid="{39619D16-A9AF-4759-AF59-21DABBC3EAAA}"/>
    <dataValidation allowBlank="1" showInputMessage="1" showErrorMessage="1" prompt="Quarterly Assessment's Weighted Score" sqref="W10 W12" xr:uid="{3E91C6E3-F9B5-4B23-80A9-3FEDFF5ADA07}"/>
    <dataValidation allowBlank="1" showInputMessage="1" prompt="Quarterly Assessment's Weighted Score" sqref="W10 W12" xr:uid="{9DFCC724-C9A1-43C5-8478-4C322D30F348}"/>
  </dataValidations>
  <printOptions horizontalCentered="1"/>
  <pageMargins left="0.7" right="0.7" top="0.75" bottom="0.75" header="0.3" footer="0.3"/>
  <rowBreaks count="1" manualBreakCount="1">
    <brk id="63" max="2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sheetPr>
  <dimension ref="A1:BH123"/>
  <sheetViews>
    <sheetView showGridLines="0" topLeftCell="A80" zoomScale="68" zoomScaleNormal="85" workbookViewId="0">
      <selection activeCell="F15" sqref="F15:I15"/>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48" customWidth="1"/>
    <col min="56" max="60" width="4.7109375" style="1" customWidth="1"/>
  </cols>
  <sheetData>
    <row r="1" spans="1:57" ht="15" customHeight="1">
      <c r="A1" s="240"/>
      <c r="B1" s="354" t="e" vm="3">
        <f>INPUT!AC2</f>
        <v>#VALUE!</v>
      </c>
      <c r="C1" s="186"/>
      <c r="D1" s="186"/>
      <c r="E1" s="186"/>
      <c r="F1" s="436" t="s">
        <v>39</v>
      </c>
      <c r="G1" s="436"/>
      <c r="H1" s="436"/>
      <c r="I1" s="436"/>
      <c r="J1" s="436"/>
      <c r="K1" s="436"/>
      <c r="L1" s="436"/>
      <c r="M1" s="436"/>
      <c r="N1" s="436"/>
      <c r="O1" s="436"/>
      <c r="P1" s="436"/>
      <c r="Q1" s="436"/>
      <c r="R1" s="436"/>
      <c r="S1" s="186"/>
      <c r="T1" s="437" t="e" vm="3">
        <f>INPUT!AH2</f>
        <v>#VALUE!</v>
      </c>
      <c r="U1" s="437"/>
      <c r="V1" s="437"/>
      <c r="W1" s="437"/>
      <c r="X1" s="437"/>
      <c r="Y1" s="437"/>
      <c r="Z1" s="186"/>
      <c r="AA1" s="186"/>
      <c r="AB1" s="186"/>
      <c r="AC1" s="123"/>
      <c r="AD1" s="123"/>
      <c r="AE1" s="123"/>
      <c r="AF1" s="123"/>
      <c r="AG1" s="123"/>
      <c r="AH1" s="123"/>
      <c r="AI1" s="123"/>
    </row>
    <row r="2" spans="1:57" ht="15" customHeight="1">
      <c r="A2" s="240"/>
      <c r="B2" s="354"/>
      <c r="C2" s="186"/>
      <c r="D2" s="186"/>
      <c r="E2" s="186"/>
      <c r="F2" s="436"/>
      <c r="G2" s="436"/>
      <c r="H2" s="436"/>
      <c r="I2" s="436"/>
      <c r="J2" s="436"/>
      <c r="K2" s="436"/>
      <c r="L2" s="436"/>
      <c r="M2" s="436"/>
      <c r="N2" s="436"/>
      <c r="O2" s="436"/>
      <c r="P2" s="436"/>
      <c r="Q2" s="436"/>
      <c r="R2" s="436"/>
      <c r="S2" s="186"/>
      <c r="T2" s="437"/>
      <c r="U2" s="437"/>
      <c r="V2" s="437"/>
      <c r="W2" s="437"/>
      <c r="X2" s="437"/>
      <c r="Y2" s="437"/>
      <c r="Z2" s="186"/>
      <c r="AA2" s="186"/>
      <c r="AB2" s="186"/>
      <c r="AC2" s="123"/>
      <c r="AD2" s="123"/>
      <c r="AE2" s="123"/>
      <c r="AF2" s="123"/>
      <c r="AG2" s="123"/>
      <c r="AH2" s="123"/>
      <c r="AI2" s="123"/>
    </row>
    <row r="3" spans="1:57" ht="15" customHeight="1">
      <c r="A3" s="49"/>
      <c r="B3" s="354"/>
      <c r="C3" s="49"/>
      <c r="D3" s="49"/>
      <c r="E3" s="49"/>
      <c r="F3" s="49"/>
      <c r="G3" s="49"/>
      <c r="H3" s="49"/>
      <c r="I3" s="49"/>
      <c r="J3" s="49"/>
      <c r="K3" s="49"/>
      <c r="L3" s="49"/>
      <c r="M3" s="49"/>
      <c r="N3" s="49"/>
      <c r="O3" s="49"/>
      <c r="P3" s="49"/>
      <c r="Q3" s="49"/>
      <c r="R3" s="49"/>
      <c r="S3" s="49"/>
      <c r="T3" s="437"/>
      <c r="U3" s="437"/>
      <c r="V3" s="437"/>
      <c r="W3" s="437"/>
      <c r="X3" s="437"/>
      <c r="Y3" s="437"/>
      <c r="Z3" s="49"/>
      <c r="AA3" s="49"/>
      <c r="AB3" s="49"/>
      <c r="AC3" s="123"/>
      <c r="AD3" s="123"/>
      <c r="AE3" s="123"/>
      <c r="AF3" s="123"/>
      <c r="AG3" s="123"/>
      <c r="AH3" s="123"/>
      <c r="AI3" s="123"/>
    </row>
    <row r="4" spans="1:57" ht="14.45" customHeight="1">
      <c r="A4" s="124"/>
      <c r="B4" s="354"/>
      <c r="C4" s="124"/>
      <c r="D4" s="124"/>
      <c r="E4" s="124"/>
      <c r="F4" s="124"/>
      <c r="G4" s="124"/>
      <c r="H4" s="124"/>
      <c r="I4" s="124"/>
      <c r="J4" s="124"/>
      <c r="K4" s="124"/>
      <c r="L4" s="124"/>
      <c r="M4" s="124"/>
      <c r="N4" s="124"/>
      <c r="O4" s="124"/>
      <c r="P4" s="124"/>
      <c r="Q4" s="124"/>
      <c r="R4" s="124"/>
      <c r="S4" s="124"/>
      <c r="T4" s="437"/>
      <c r="U4" s="437"/>
      <c r="V4" s="437"/>
      <c r="W4" s="437"/>
      <c r="X4" s="437"/>
      <c r="Y4" s="437"/>
      <c r="Z4" s="124"/>
      <c r="AA4" s="124"/>
      <c r="AB4" s="124"/>
      <c r="AC4" s="125"/>
      <c r="AD4" s="125"/>
      <c r="AE4" s="125"/>
      <c r="AF4" s="125"/>
      <c r="AG4" s="125"/>
      <c r="AH4" s="125"/>
      <c r="AI4" s="125"/>
    </row>
    <row r="5" spans="1:57" ht="21" customHeight="1">
      <c r="A5" s="47"/>
      <c r="C5" s="186"/>
      <c r="D5" s="186"/>
      <c r="E5" s="186"/>
      <c r="F5" s="238" t="s">
        <v>2</v>
      </c>
      <c r="G5" s="430">
        <f>INPUT!H4</f>
        <v>10</v>
      </c>
      <c r="H5" s="272"/>
      <c r="I5" s="272"/>
      <c r="J5" s="273"/>
      <c r="K5" s="126"/>
      <c r="L5" s="431" t="s">
        <v>3</v>
      </c>
      <c r="M5" s="432"/>
      <c r="N5" s="433"/>
      <c r="O5" s="430" t="str">
        <f>INPUT!M4</f>
        <v>CDO</v>
      </c>
      <c r="P5" s="272"/>
      <c r="Q5" s="272"/>
      <c r="R5" s="273"/>
      <c r="S5" s="434"/>
      <c r="T5" s="315"/>
      <c r="U5" s="315"/>
      <c r="V5" s="315"/>
      <c r="W5" s="435"/>
      <c r="X5" s="315"/>
      <c r="Y5" s="315"/>
      <c r="Z5" s="315"/>
      <c r="AA5" s="315"/>
      <c r="AB5" s="315"/>
      <c r="AD5" s="1"/>
      <c r="AE5" s="12"/>
      <c r="AF5" s="12"/>
      <c r="AG5" s="12"/>
      <c r="AH5" s="12"/>
      <c r="AI5" s="12"/>
      <c r="AJ5" s="12"/>
      <c r="AK5" s="12"/>
      <c r="AL5" s="12"/>
      <c r="AM5" s="12"/>
    </row>
    <row r="6" spans="1:57" ht="21" customHeight="1">
      <c r="A6" s="47"/>
      <c r="C6" s="186"/>
      <c r="D6" s="186"/>
      <c r="E6" s="186"/>
      <c r="F6" s="239" t="s">
        <v>5</v>
      </c>
      <c r="G6" s="385" t="str">
        <f>INPUT!H5</f>
        <v>{school_name}</v>
      </c>
      <c r="H6" s="272"/>
      <c r="I6" s="272"/>
      <c r="J6" s="272"/>
      <c r="K6" s="272"/>
      <c r="L6" s="272"/>
      <c r="M6" s="272"/>
      <c r="N6" s="272"/>
      <c r="O6" s="272"/>
      <c r="P6" s="272"/>
      <c r="Q6" s="272"/>
      <c r="R6" s="273"/>
      <c r="S6" s="434" t="s">
        <v>6</v>
      </c>
      <c r="T6" s="315"/>
      <c r="U6" s="315"/>
      <c r="V6" s="315"/>
      <c r="W6" s="385">
        <f>INPUT!T5</f>
        <v>405198</v>
      </c>
      <c r="X6" s="272"/>
      <c r="Y6" s="272"/>
      <c r="Z6" s="272"/>
      <c r="AA6" s="272"/>
      <c r="AB6" s="273"/>
      <c r="AC6" s="127"/>
      <c r="AD6" s="127"/>
      <c r="AE6" s="127"/>
      <c r="AF6" s="128"/>
      <c r="AG6" s="128"/>
      <c r="AH6" s="128"/>
      <c r="AI6" s="129"/>
      <c r="AJ6" s="12"/>
      <c r="AK6" s="12"/>
      <c r="AL6" s="12"/>
      <c r="AM6" s="12"/>
    </row>
    <row r="7" spans="1:57" ht="14.65" customHeight="1" thickBot="1">
      <c r="A7" s="47"/>
      <c r="B7" s="47"/>
      <c r="C7" s="47"/>
      <c r="D7" s="47"/>
      <c r="E7" s="47"/>
      <c r="F7" s="47"/>
      <c r="G7" s="47"/>
      <c r="H7" s="47"/>
      <c r="I7" s="47"/>
      <c r="J7" s="47"/>
      <c r="K7" s="47"/>
      <c r="L7" s="47"/>
      <c r="M7" s="47"/>
      <c r="N7" s="47"/>
      <c r="O7" s="47"/>
      <c r="P7" s="47"/>
      <c r="Q7" s="130"/>
      <c r="R7" s="130"/>
      <c r="S7" s="47"/>
      <c r="T7" s="47"/>
      <c r="U7" s="47"/>
      <c r="V7" s="47"/>
      <c r="W7" s="47"/>
      <c r="X7" s="47"/>
      <c r="Y7" s="47"/>
      <c r="Z7" s="47"/>
      <c r="AA7" s="47"/>
      <c r="AB7" s="47"/>
    </row>
    <row r="8" spans="1:57" ht="21.75" customHeight="1" thickBot="1">
      <c r="A8" s="438"/>
      <c r="B8" s="441" t="s">
        <v>11</v>
      </c>
      <c r="C8" s="442"/>
      <c r="D8" s="442"/>
      <c r="E8" s="443"/>
      <c r="F8" s="444" t="s">
        <v>8</v>
      </c>
      <c r="G8" s="445"/>
      <c r="H8" s="445"/>
      <c r="I8" s="445"/>
      <c r="J8" s="445"/>
      <c r="K8" s="446" t="str">
        <f>INPUT!K7</f>
        <v>{class}</v>
      </c>
      <c r="L8" s="445"/>
      <c r="M8" s="445"/>
      <c r="N8" s="445"/>
      <c r="O8" s="445"/>
      <c r="P8" s="445"/>
      <c r="Q8" s="445"/>
      <c r="R8" s="282"/>
      <c r="S8" s="447" t="s">
        <v>40</v>
      </c>
      <c r="T8" s="445"/>
      <c r="U8" s="445"/>
      <c r="V8" s="445"/>
      <c r="W8" s="446" t="str">
        <f>INPUT!Z5</f>
        <v>{school_year}</v>
      </c>
      <c r="X8" s="445"/>
      <c r="Y8" s="445"/>
      <c r="Z8" s="445"/>
      <c r="AA8" s="445"/>
      <c r="AB8" s="282"/>
      <c r="AC8" s="59"/>
      <c r="AD8" s="59"/>
      <c r="AE8" s="59"/>
      <c r="AF8" s="20"/>
      <c r="AG8" s="20"/>
      <c r="AH8" s="20"/>
      <c r="AI8" s="20"/>
    </row>
    <row r="9" spans="1:57" s="4" customFormat="1" ht="21" customHeight="1" thickBot="1">
      <c r="A9" s="439"/>
      <c r="B9" s="315"/>
      <c r="C9" s="315"/>
      <c r="D9" s="315"/>
      <c r="E9" s="423"/>
      <c r="F9" s="447" t="s">
        <v>9</v>
      </c>
      <c r="G9" s="445"/>
      <c r="H9" s="445"/>
      <c r="I9" s="445"/>
      <c r="J9" s="445"/>
      <c r="K9" s="448" t="str">
        <f>INPUT!R7</f>
        <v>{subject_teacher}</v>
      </c>
      <c r="L9" s="442"/>
      <c r="M9" s="442"/>
      <c r="N9" s="442"/>
      <c r="O9" s="442"/>
      <c r="P9" s="442"/>
      <c r="Q9" s="442"/>
      <c r="R9" s="443"/>
      <c r="S9" s="447" t="s">
        <v>10</v>
      </c>
      <c r="T9" s="445"/>
      <c r="U9" s="445"/>
      <c r="V9" s="445"/>
      <c r="W9" s="449" t="str">
        <f>INPUT!Z7</f>
        <v>{subject_name}</v>
      </c>
      <c r="X9" s="450"/>
      <c r="Y9" s="450"/>
      <c r="Z9" s="450"/>
      <c r="AA9" s="450"/>
      <c r="AB9" s="451"/>
      <c r="AC9" s="21"/>
      <c r="AD9" s="21"/>
      <c r="AE9" s="131"/>
      <c r="AF9" s="21"/>
      <c r="AG9" s="21"/>
      <c r="AH9" s="132"/>
      <c r="AI9" s="133"/>
    </row>
    <row r="10" spans="1:57" s="4" customFormat="1" ht="15.6" customHeight="1" thickBot="1">
      <c r="A10" s="439"/>
      <c r="B10" s="315"/>
      <c r="C10" s="315"/>
      <c r="D10" s="315"/>
      <c r="E10" s="423"/>
      <c r="F10" s="452" t="s">
        <v>15</v>
      </c>
      <c r="G10" s="442"/>
      <c r="H10" s="442"/>
      <c r="I10" s="443"/>
      <c r="J10" s="452" t="s">
        <v>36</v>
      </c>
      <c r="K10" s="442"/>
      <c r="L10" s="442"/>
      <c r="M10" s="443"/>
      <c r="N10" s="452" t="s">
        <v>38</v>
      </c>
      <c r="O10" s="442"/>
      <c r="P10" s="442"/>
      <c r="Q10" s="443"/>
      <c r="R10" s="452" t="s">
        <v>41</v>
      </c>
      <c r="S10" s="442"/>
      <c r="T10" s="442"/>
      <c r="U10" s="443"/>
      <c r="V10" s="452" t="s">
        <v>17</v>
      </c>
      <c r="W10" s="442"/>
      <c r="X10" s="442"/>
      <c r="Y10" s="443"/>
      <c r="Z10" s="454" t="s">
        <v>42</v>
      </c>
      <c r="AA10" s="442"/>
      <c r="AB10" s="443"/>
      <c r="AC10" s="3"/>
      <c r="AD10" s="134"/>
      <c r="AF10" s="3"/>
      <c r="AG10" s="134"/>
      <c r="AH10" s="135"/>
      <c r="AI10" s="135"/>
      <c r="AM10" s="48"/>
      <c r="AN10" s="48"/>
      <c r="AO10" s="48"/>
      <c r="AP10" s="48"/>
      <c r="AQ10" s="48"/>
      <c r="AR10" s="48"/>
      <c r="AS10" s="48"/>
      <c r="AT10" s="48"/>
      <c r="AU10" s="48"/>
      <c r="AV10" s="48"/>
      <c r="AW10" s="48"/>
      <c r="AX10" s="48"/>
      <c r="AY10" s="48"/>
      <c r="AZ10" s="48"/>
      <c r="BA10" s="48"/>
      <c r="BB10" s="48"/>
      <c r="BC10" s="48"/>
      <c r="BD10" s="48"/>
      <c r="BE10" s="48"/>
    </row>
    <row r="11" spans="1:57" s="23" customFormat="1" ht="15" customHeight="1" thickBot="1">
      <c r="A11" s="440"/>
      <c r="B11" s="394"/>
      <c r="C11" s="394"/>
      <c r="D11" s="394"/>
      <c r="E11" s="397"/>
      <c r="F11" s="453"/>
      <c r="G11" s="394"/>
      <c r="H11" s="394"/>
      <c r="I11" s="397"/>
      <c r="J11" s="453"/>
      <c r="K11" s="394"/>
      <c r="L11" s="394"/>
      <c r="M11" s="397"/>
      <c r="N11" s="453"/>
      <c r="O11" s="394"/>
      <c r="P11" s="394"/>
      <c r="Q11" s="397"/>
      <c r="R11" s="453"/>
      <c r="S11" s="394"/>
      <c r="T11" s="394"/>
      <c r="U11" s="397"/>
      <c r="V11" s="453"/>
      <c r="W11" s="394"/>
      <c r="X11" s="394"/>
      <c r="Y11" s="397"/>
      <c r="Z11" s="453"/>
      <c r="AA11" s="394"/>
      <c r="AB11" s="397"/>
      <c r="AC11" s="3"/>
      <c r="AD11" s="3"/>
      <c r="AE11" s="136"/>
      <c r="AF11" s="3"/>
      <c r="AG11" s="3"/>
      <c r="AH11" s="3"/>
      <c r="AI11" s="137"/>
      <c r="AM11" s="48"/>
      <c r="AN11" s="48"/>
      <c r="AO11" s="48"/>
      <c r="AP11" s="48"/>
      <c r="AQ11" s="48"/>
      <c r="AR11" s="48"/>
      <c r="AS11" s="48"/>
      <c r="AT11" s="48"/>
      <c r="AU11" s="48"/>
      <c r="AV11" s="48"/>
      <c r="AW11" s="48"/>
      <c r="AX11" s="48"/>
      <c r="AY11" s="48"/>
      <c r="AZ11" s="48"/>
      <c r="BA11" s="48"/>
      <c r="BB11" s="48"/>
      <c r="BC11" s="48"/>
      <c r="BD11" s="48"/>
      <c r="BE11" s="48"/>
    </row>
    <row r="12" spans="1:57" s="23" customFormat="1" ht="18" customHeight="1" thickBot="1">
      <c r="A12" s="138"/>
      <c r="B12" s="143" t="s">
        <v>13</v>
      </c>
      <c r="C12" s="139"/>
      <c r="D12" s="139"/>
      <c r="E12" s="139"/>
      <c r="F12" s="422"/>
      <c r="G12" s="315"/>
      <c r="H12" s="315"/>
      <c r="I12" s="423"/>
      <c r="J12" s="422"/>
      <c r="K12" s="315"/>
      <c r="L12" s="315"/>
      <c r="M12" s="423"/>
      <c r="N12" s="422"/>
      <c r="O12" s="315"/>
      <c r="P12" s="315"/>
      <c r="Q12" s="423"/>
      <c r="R12" s="422"/>
      <c r="S12" s="315"/>
      <c r="T12" s="315"/>
      <c r="U12" s="423"/>
      <c r="V12" s="422"/>
      <c r="W12" s="315"/>
      <c r="X12" s="315"/>
      <c r="Y12" s="423"/>
      <c r="Z12" s="422"/>
      <c r="AA12" s="315"/>
      <c r="AB12" s="423"/>
      <c r="AC12" s="3"/>
      <c r="AD12" s="3"/>
      <c r="AE12" s="136"/>
      <c r="AF12" s="3"/>
      <c r="AG12" s="3"/>
      <c r="AH12" s="3"/>
      <c r="AI12" s="137"/>
      <c r="AM12" s="48"/>
      <c r="AN12" s="48"/>
      <c r="AO12" s="48"/>
      <c r="AP12" s="48"/>
      <c r="AQ12" s="48"/>
      <c r="AR12" s="48"/>
      <c r="AS12" s="48"/>
      <c r="AT12" s="48"/>
      <c r="AU12" s="48"/>
      <c r="AV12" s="48"/>
      <c r="AW12" s="48"/>
      <c r="AX12" s="48"/>
      <c r="AY12" s="48"/>
      <c r="AZ12" s="48"/>
      <c r="BA12" s="48"/>
      <c r="BB12" s="48"/>
      <c r="BC12" s="48"/>
      <c r="BD12" s="48"/>
      <c r="BE12" s="48"/>
    </row>
    <row r="13" spans="1:57" s="23" customFormat="1" ht="18" hidden="1" customHeight="1" thickBot="1">
      <c r="A13" s="194" t="s">
        <v>71</v>
      </c>
      <c r="B13" s="467" t="s">
        <v>73</v>
      </c>
      <c r="C13" s="468"/>
      <c r="D13" s="469"/>
      <c r="E13" s="191"/>
      <c r="F13" s="471"/>
      <c r="G13" s="472"/>
      <c r="H13" s="472"/>
      <c r="I13" s="473"/>
      <c r="J13" s="474"/>
      <c r="K13" s="475"/>
      <c r="L13" s="475"/>
      <c r="M13" s="476"/>
      <c r="N13" s="474"/>
      <c r="O13" s="475"/>
      <c r="P13" s="475"/>
      <c r="Q13" s="476"/>
      <c r="R13" s="471" t="s">
        <v>86</v>
      </c>
      <c r="S13" s="472"/>
      <c r="T13" s="472"/>
      <c r="U13" s="473"/>
      <c r="V13" s="471"/>
      <c r="W13" s="472"/>
      <c r="X13" s="472"/>
      <c r="Y13" s="473"/>
      <c r="Z13" s="471"/>
      <c r="AA13" s="472"/>
      <c r="AB13" s="472"/>
      <c r="AC13" s="3"/>
      <c r="AD13" s="3"/>
      <c r="AE13" s="136"/>
      <c r="AF13" s="3"/>
      <c r="AG13" s="3"/>
      <c r="AH13" s="3"/>
      <c r="AI13" s="137"/>
      <c r="AM13" s="48"/>
      <c r="AN13" s="48"/>
      <c r="AO13" s="48"/>
      <c r="AP13" s="48"/>
      <c r="AQ13" s="48"/>
      <c r="AR13" s="48"/>
      <c r="AS13" s="48"/>
      <c r="AT13" s="48"/>
      <c r="AU13" s="48"/>
      <c r="AV13" s="48"/>
      <c r="AW13" s="48"/>
      <c r="AX13" s="48"/>
      <c r="AY13" s="48"/>
      <c r="AZ13" s="48"/>
      <c r="BA13" s="48"/>
      <c r="BB13" s="48"/>
      <c r="BC13" s="48"/>
      <c r="BD13" s="48"/>
      <c r="BE13" s="48"/>
    </row>
    <row r="14" spans="1:57" ht="18" customHeight="1">
      <c r="A14" s="195">
        <f>INPUT!A12</f>
        <v>0</v>
      </c>
      <c r="B14" s="195">
        <f>INPUT!C12</f>
        <v>0</v>
      </c>
      <c r="C14" s="140"/>
      <c r="D14" s="140"/>
      <c r="E14" s="140"/>
      <c r="F14" s="410" t="str">
        <f>TERM1!Y13</f>
        <v/>
      </c>
      <c r="G14" s="261"/>
      <c r="H14" s="261"/>
      <c r="I14" s="424"/>
      <c r="J14" s="410" t="str">
        <f>TERM2!Y13</f>
        <v/>
      </c>
      <c r="K14" s="261"/>
      <c r="L14" s="261"/>
      <c r="M14" s="424"/>
      <c r="N14" s="410" t="str">
        <f>TERM3!Y13</f>
        <v/>
      </c>
      <c r="O14" s="261"/>
      <c r="P14" s="261"/>
      <c r="Q14" s="263"/>
      <c r="R14" s="425" t="str">
        <f t="shared" ref="R14:R79" si="0">IF(OR(F14="",J14="",N14=""),"",IF(ISERROR(ROUND(AVERAGE(F14,J14,N14),0)),"",ROUND(AVERAGE(F14,J14,N14),0)))</f>
        <v/>
      </c>
      <c r="S14" s="426"/>
      <c r="T14" s="426"/>
      <c r="U14" s="427"/>
      <c r="V14" s="410" t="str">
        <f t="shared" ref="V14:V63" si="1">IF(ISERROR(IF(R14="","",VLOOKUP(R14,DESCRIPTORS,4,TRUE))),"",IF(R14="","",VLOOKUP(R14,DESCRIPTORS,4,TRUE)))</f>
        <v/>
      </c>
      <c r="W14" s="426"/>
      <c r="X14" s="426"/>
      <c r="Y14" s="427"/>
      <c r="Z14" s="428" t="str">
        <f t="shared" ref="Z14:Z63" si="2">IF(OR($F14="",$J14="",$N14="",$R14=""),"",IF($R14&gt;=75,"PASSED","FAILED"))</f>
        <v/>
      </c>
      <c r="AA14" s="426"/>
      <c r="AB14" s="429"/>
      <c r="AI14" s="137"/>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195">
        <f>INPUT!A13</f>
        <v>0</v>
      </c>
      <c r="B15" s="195">
        <f>INPUT!C13</f>
        <v>0</v>
      </c>
      <c r="C15" s="141"/>
      <c r="D15" s="141"/>
      <c r="E15" s="141"/>
      <c r="F15" s="383"/>
      <c r="G15" s="267"/>
      <c r="H15" s="267"/>
      <c r="I15" s="384"/>
      <c r="J15" s="383" t="str">
        <f>TERM2!Y14</f>
        <v/>
      </c>
      <c r="K15" s="267"/>
      <c r="L15" s="267"/>
      <c r="M15" s="384"/>
      <c r="N15" s="383" t="str">
        <f>TERM3!Y14</f>
        <v/>
      </c>
      <c r="O15" s="267"/>
      <c r="P15" s="267"/>
      <c r="Q15" s="268"/>
      <c r="R15" s="387" t="str">
        <f t="shared" si="0"/>
        <v/>
      </c>
      <c r="S15" s="272"/>
      <c r="T15" s="272"/>
      <c r="U15" s="273"/>
      <c r="V15" s="383" t="str">
        <f t="shared" si="1"/>
        <v/>
      </c>
      <c r="W15" s="272"/>
      <c r="X15" s="272"/>
      <c r="Y15" s="273"/>
      <c r="Z15" s="388" t="str">
        <f t="shared" si="2"/>
        <v/>
      </c>
      <c r="AA15" s="272"/>
      <c r="AB15" s="389"/>
      <c r="AI15" s="137"/>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195">
        <f>INPUT!A14</f>
        <v>0</v>
      </c>
      <c r="B16" s="195">
        <f>INPUT!C14</f>
        <v>0</v>
      </c>
      <c r="C16" s="141"/>
      <c r="D16" s="141"/>
      <c r="E16" s="141"/>
      <c r="F16" s="383" t="str">
        <f>TERM1!Y15</f>
        <v/>
      </c>
      <c r="G16" s="267"/>
      <c r="H16" s="267"/>
      <c r="I16" s="384"/>
      <c r="J16" s="383" t="str">
        <f>TERM2!Y15</f>
        <v/>
      </c>
      <c r="K16" s="267"/>
      <c r="L16" s="267"/>
      <c r="M16" s="384"/>
      <c r="N16" s="383" t="str">
        <f>TERM3!Y15</f>
        <v/>
      </c>
      <c r="O16" s="267"/>
      <c r="P16" s="267"/>
      <c r="Q16" s="268"/>
      <c r="R16" s="387" t="str">
        <f t="shared" si="0"/>
        <v/>
      </c>
      <c r="S16" s="272"/>
      <c r="T16" s="272"/>
      <c r="U16" s="273"/>
      <c r="V16" s="383" t="str">
        <f t="shared" si="1"/>
        <v/>
      </c>
      <c r="W16" s="272"/>
      <c r="X16" s="272"/>
      <c r="Y16" s="273"/>
      <c r="Z16" s="388" t="str">
        <f t="shared" si="2"/>
        <v/>
      </c>
      <c r="AA16" s="272"/>
      <c r="AB16" s="389"/>
      <c r="AI16" s="137"/>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195">
        <f>INPUT!A15</f>
        <v>0</v>
      </c>
      <c r="B17" s="195">
        <f>INPUT!C15</f>
        <v>0</v>
      </c>
      <c r="C17" s="141"/>
      <c r="D17" s="141"/>
      <c r="E17" s="141"/>
      <c r="F17" s="383" t="str">
        <f>TERM1!Y16</f>
        <v/>
      </c>
      <c r="G17" s="267"/>
      <c r="H17" s="267"/>
      <c r="I17" s="384"/>
      <c r="J17" s="383" t="str">
        <f>TERM2!Y16</f>
        <v/>
      </c>
      <c r="K17" s="267"/>
      <c r="L17" s="267"/>
      <c r="M17" s="384"/>
      <c r="N17" s="383" t="str">
        <f>TERM3!Y16</f>
        <v/>
      </c>
      <c r="O17" s="267"/>
      <c r="P17" s="267"/>
      <c r="Q17" s="268"/>
      <c r="R17" s="387" t="str">
        <f t="shared" si="0"/>
        <v/>
      </c>
      <c r="S17" s="272"/>
      <c r="T17" s="272"/>
      <c r="U17" s="273"/>
      <c r="V17" s="383" t="str">
        <f t="shared" si="1"/>
        <v/>
      </c>
      <c r="W17" s="272"/>
      <c r="X17" s="272"/>
      <c r="Y17" s="273"/>
      <c r="Z17" s="388" t="str">
        <f t="shared" si="2"/>
        <v/>
      </c>
      <c r="AA17" s="272"/>
      <c r="AB17" s="389"/>
      <c r="AI17" s="137"/>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195">
        <f>INPUT!A16</f>
        <v>0</v>
      </c>
      <c r="B18" s="195">
        <f>INPUT!C16</f>
        <v>0</v>
      </c>
      <c r="C18" s="141"/>
      <c r="D18" s="141"/>
      <c r="E18" s="141"/>
      <c r="F18" s="383" t="str">
        <f>TERM1!Y17</f>
        <v/>
      </c>
      <c r="G18" s="267"/>
      <c r="H18" s="267"/>
      <c r="I18" s="384"/>
      <c r="J18" s="383" t="str">
        <f>TERM2!Y17</f>
        <v/>
      </c>
      <c r="K18" s="267"/>
      <c r="L18" s="267"/>
      <c r="M18" s="384"/>
      <c r="N18" s="383" t="str">
        <f>TERM3!Y17</f>
        <v/>
      </c>
      <c r="O18" s="267"/>
      <c r="P18" s="267"/>
      <c r="Q18" s="268"/>
      <c r="R18" s="387" t="str">
        <f t="shared" si="0"/>
        <v/>
      </c>
      <c r="S18" s="272"/>
      <c r="T18" s="272"/>
      <c r="U18" s="273"/>
      <c r="V18" s="383" t="str">
        <f t="shared" si="1"/>
        <v/>
      </c>
      <c r="W18" s="272"/>
      <c r="X18" s="272"/>
      <c r="Y18" s="273"/>
      <c r="Z18" s="388" t="str">
        <f t="shared" si="2"/>
        <v/>
      </c>
      <c r="AA18" s="272"/>
      <c r="AB18" s="389"/>
      <c r="AI18" s="137"/>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195">
        <f>INPUT!A17</f>
        <v>0</v>
      </c>
      <c r="B19" s="195">
        <f>INPUT!C17</f>
        <v>0</v>
      </c>
      <c r="C19" s="141"/>
      <c r="D19" s="141"/>
      <c r="E19" s="141"/>
      <c r="F19" s="383" t="str">
        <f>TERM1!Y18</f>
        <v/>
      </c>
      <c r="G19" s="267"/>
      <c r="H19" s="267"/>
      <c r="I19" s="384"/>
      <c r="J19" s="383" t="str">
        <f>TERM2!Y18</f>
        <v/>
      </c>
      <c r="K19" s="267"/>
      <c r="L19" s="267"/>
      <c r="M19" s="384"/>
      <c r="N19" s="383" t="str">
        <f>TERM3!Y18</f>
        <v/>
      </c>
      <c r="O19" s="267"/>
      <c r="P19" s="267"/>
      <c r="Q19" s="268"/>
      <c r="R19" s="387" t="str">
        <f t="shared" si="0"/>
        <v/>
      </c>
      <c r="S19" s="272"/>
      <c r="T19" s="272"/>
      <c r="U19" s="273"/>
      <c r="V19" s="383" t="str">
        <f t="shared" si="1"/>
        <v/>
      </c>
      <c r="W19" s="272"/>
      <c r="X19" s="272"/>
      <c r="Y19" s="273"/>
      <c r="Z19" s="388" t="str">
        <f t="shared" si="2"/>
        <v/>
      </c>
      <c r="AA19" s="272"/>
      <c r="AB19" s="389"/>
      <c r="AI19" s="137"/>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195">
        <f>INPUT!A18</f>
        <v>0</v>
      </c>
      <c r="B20" s="195">
        <f>INPUT!C18</f>
        <v>0</v>
      </c>
      <c r="C20" s="141"/>
      <c r="D20" s="141"/>
      <c r="E20" s="141"/>
      <c r="F20" s="383" t="str">
        <f>TERM1!Y19</f>
        <v/>
      </c>
      <c r="G20" s="267"/>
      <c r="H20" s="267"/>
      <c r="I20" s="384"/>
      <c r="J20" s="383" t="str">
        <f>TERM2!Y19</f>
        <v/>
      </c>
      <c r="K20" s="267"/>
      <c r="L20" s="267"/>
      <c r="M20" s="384"/>
      <c r="N20" s="383" t="str">
        <f>TERM3!Y19</f>
        <v/>
      </c>
      <c r="O20" s="267"/>
      <c r="P20" s="267"/>
      <c r="Q20" s="268"/>
      <c r="R20" s="387" t="str">
        <f t="shared" si="0"/>
        <v/>
      </c>
      <c r="S20" s="272"/>
      <c r="T20" s="272"/>
      <c r="U20" s="273"/>
      <c r="V20" s="383" t="str">
        <f t="shared" si="1"/>
        <v/>
      </c>
      <c r="W20" s="272"/>
      <c r="X20" s="272"/>
      <c r="Y20" s="273"/>
      <c r="Z20" s="388" t="str">
        <f t="shared" si="2"/>
        <v/>
      </c>
      <c r="AA20" s="272"/>
      <c r="AB20" s="389"/>
      <c r="AI20" s="137"/>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195">
        <f>INPUT!A19</f>
        <v>0</v>
      </c>
      <c r="B21" s="195">
        <f>INPUT!C19</f>
        <v>0</v>
      </c>
      <c r="C21" s="141"/>
      <c r="D21" s="141">
        <v>0</v>
      </c>
      <c r="E21" s="141"/>
      <c r="F21" s="383" t="str">
        <f>TERM1!Y20</f>
        <v/>
      </c>
      <c r="G21" s="267"/>
      <c r="H21" s="267"/>
      <c r="I21" s="384"/>
      <c r="J21" s="383" t="str">
        <f>TERM2!Y20</f>
        <v/>
      </c>
      <c r="K21" s="267"/>
      <c r="L21" s="267"/>
      <c r="M21" s="384"/>
      <c r="N21" s="383" t="str">
        <f>TERM3!Y20</f>
        <v/>
      </c>
      <c r="O21" s="267"/>
      <c r="P21" s="267"/>
      <c r="Q21" s="268"/>
      <c r="R21" s="387" t="str">
        <f t="shared" si="0"/>
        <v/>
      </c>
      <c r="S21" s="272"/>
      <c r="T21" s="272"/>
      <c r="U21" s="273"/>
      <c r="V21" s="383" t="str">
        <f t="shared" si="1"/>
        <v/>
      </c>
      <c r="W21" s="272"/>
      <c r="X21" s="272"/>
      <c r="Y21" s="273"/>
      <c r="Z21" s="388" t="str">
        <f t="shared" si="2"/>
        <v/>
      </c>
      <c r="AA21" s="272"/>
      <c r="AB21" s="389"/>
      <c r="AI21" s="137"/>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195">
        <f>INPUT!A20</f>
        <v>0</v>
      </c>
      <c r="B22" s="195">
        <f>INPUT!C20</f>
        <v>0</v>
      </c>
      <c r="C22" s="141"/>
      <c r="D22" s="141"/>
      <c r="E22" s="141"/>
      <c r="F22" s="383" t="str">
        <f>TERM1!Y21</f>
        <v/>
      </c>
      <c r="G22" s="267"/>
      <c r="H22" s="267"/>
      <c r="I22" s="384"/>
      <c r="J22" s="383" t="str">
        <f>TERM2!Y21</f>
        <v/>
      </c>
      <c r="K22" s="267"/>
      <c r="L22" s="267"/>
      <c r="M22" s="384"/>
      <c r="N22" s="383" t="str">
        <f>TERM3!Y21</f>
        <v/>
      </c>
      <c r="O22" s="267"/>
      <c r="P22" s="267"/>
      <c r="Q22" s="268"/>
      <c r="R22" s="387" t="str">
        <f t="shared" si="0"/>
        <v/>
      </c>
      <c r="S22" s="272"/>
      <c r="T22" s="272"/>
      <c r="U22" s="273"/>
      <c r="V22" s="383" t="str">
        <f t="shared" si="1"/>
        <v/>
      </c>
      <c r="W22" s="272"/>
      <c r="X22" s="272"/>
      <c r="Y22" s="273"/>
      <c r="Z22" s="388" t="str">
        <f t="shared" si="2"/>
        <v/>
      </c>
      <c r="AA22" s="272"/>
      <c r="AB22" s="389"/>
      <c r="AI22" s="137"/>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195">
        <f>INPUT!A21</f>
        <v>0</v>
      </c>
      <c r="B23" s="195">
        <f>INPUT!C21</f>
        <v>0</v>
      </c>
      <c r="C23" s="141"/>
      <c r="D23" s="141"/>
      <c r="E23" s="141"/>
      <c r="F23" s="383" t="str">
        <f>TERM1!Y22</f>
        <v/>
      </c>
      <c r="G23" s="267"/>
      <c r="H23" s="267"/>
      <c r="I23" s="384"/>
      <c r="J23" s="383" t="str">
        <f>TERM2!Y22</f>
        <v/>
      </c>
      <c r="K23" s="267"/>
      <c r="L23" s="267"/>
      <c r="M23" s="384"/>
      <c r="N23" s="383" t="str">
        <f>TERM3!Y22</f>
        <v/>
      </c>
      <c r="O23" s="267"/>
      <c r="P23" s="267"/>
      <c r="Q23" s="268"/>
      <c r="R23" s="387" t="str">
        <f t="shared" si="0"/>
        <v/>
      </c>
      <c r="S23" s="272"/>
      <c r="T23" s="272"/>
      <c r="U23" s="273"/>
      <c r="V23" s="383" t="str">
        <f t="shared" si="1"/>
        <v/>
      </c>
      <c r="W23" s="272"/>
      <c r="X23" s="272"/>
      <c r="Y23" s="273"/>
      <c r="Z23" s="388" t="str">
        <f t="shared" si="2"/>
        <v/>
      </c>
      <c r="AA23" s="272"/>
      <c r="AB23" s="389"/>
      <c r="AI23" s="137"/>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195">
        <f>INPUT!A22</f>
        <v>0</v>
      </c>
      <c r="B24" s="195">
        <f>INPUT!C22</f>
        <v>0</v>
      </c>
      <c r="C24" s="141"/>
      <c r="D24" s="141">
        <v>0</v>
      </c>
      <c r="E24" s="141"/>
      <c r="F24" s="383" t="str">
        <f>TERM1!Y23</f>
        <v/>
      </c>
      <c r="G24" s="267"/>
      <c r="H24" s="267"/>
      <c r="I24" s="384"/>
      <c r="J24" s="383" t="str">
        <f>TERM2!Y23</f>
        <v/>
      </c>
      <c r="K24" s="267"/>
      <c r="L24" s="267"/>
      <c r="M24" s="384"/>
      <c r="N24" s="383" t="str">
        <f>TERM3!Y23</f>
        <v/>
      </c>
      <c r="O24" s="267"/>
      <c r="P24" s="267"/>
      <c r="Q24" s="268"/>
      <c r="R24" s="387" t="str">
        <f t="shared" si="0"/>
        <v/>
      </c>
      <c r="S24" s="272"/>
      <c r="T24" s="272"/>
      <c r="U24" s="273"/>
      <c r="V24" s="383" t="str">
        <f t="shared" si="1"/>
        <v/>
      </c>
      <c r="W24" s="272"/>
      <c r="X24" s="272"/>
      <c r="Y24" s="273"/>
      <c r="Z24" s="388" t="str">
        <f t="shared" si="2"/>
        <v/>
      </c>
      <c r="AA24" s="272"/>
      <c r="AB24" s="389"/>
      <c r="AI24" s="137"/>
      <c r="AK24" s="2"/>
      <c r="BD24" s="48"/>
      <c r="BE24" s="48"/>
    </row>
    <row r="25" spans="1:57" ht="18" customHeight="1">
      <c r="A25" s="195">
        <f>INPUT!A23</f>
        <v>0</v>
      </c>
      <c r="B25" s="195">
        <f>INPUT!C23</f>
        <v>0</v>
      </c>
      <c r="C25" s="141"/>
      <c r="D25" s="141"/>
      <c r="E25" s="141"/>
      <c r="F25" s="383" t="str">
        <f>TERM1!Y24</f>
        <v/>
      </c>
      <c r="G25" s="267"/>
      <c r="H25" s="267"/>
      <c r="I25" s="384"/>
      <c r="J25" s="383" t="str">
        <f>TERM2!Y24</f>
        <v/>
      </c>
      <c r="K25" s="267"/>
      <c r="L25" s="267"/>
      <c r="M25" s="384"/>
      <c r="N25" s="383" t="str">
        <f>TERM3!Y24</f>
        <v/>
      </c>
      <c r="O25" s="267"/>
      <c r="P25" s="267"/>
      <c r="Q25" s="268"/>
      <c r="R25" s="387" t="str">
        <f t="shared" si="0"/>
        <v/>
      </c>
      <c r="S25" s="272"/>
      <c r="T25" s="272"/>
      <c r="U25" s="273"/>
      <c r="V25" s="383" t="str">
        <f t="shared" si="1"/>
        <v/>
      </c>
      <c r="W25" s="272"/>
      <c r="X25" s="272"/>
      <c r="Y25" s="273"/>
      <c r="Z25" s="388" t="str">
        <f t="shared" si="2"/>
        <v/>
      </c>
      <c r="AA25" s="272"/>
      <c r="AB25" s="389"/>
      <c r="AI25" s="137"/>
      <c r="AK25" s="2"/>
      <c r="AM25" s="101"/>
      <c r="AN25" s="101"/>
      <c r="AO25" s="101"/>
      <c r="AP25" s="101"/>
      <c r="AQ25" s="101"/>
      <c r="AR25" s="101"/>
      <c r="AS25" s="101"/>
      <c r="AT25" s="101"/>
      <c r="AU25" s="101"/>
      <c r="AV25" s="101"/>
      <c r="AW25" s="101"/>
      <c r="AX25" s="101"/>
      <c r="AY25" s="101"/>
      <c r="AZ25" s="101"/>
      <c r="BA25" s="101"/>
      <c r="BB25" s="101"/>
      <c r="BC25" s="101"/>
      <c r="BD25" s="101"/>
      <c r="BE25" s="101"/>
    </row>
    <row r="26" spans="1:57" ht="18" customHeight="1">
      <c r="A26" s="195">
        <f>INPUT!A24</f>
        <v>0</v>
      </c>
      <c r="B26" s="195">
        <f>INPUT!C24</f>
        <v>0</v>
      </c>
      <c r="C26" s="141"/>
      <c r="D26" s="141"/>
      <c r="E26" s="141"/>
      <c r="F26" s="383" t="str">
        <f>TERM1!Y25</f>
        <v/>
      </c>
      <c r="G26" s="267"/>
      <c r="H26" s="267"/>
      <c r="I26" s="384"/>
      <c r="J26" s="383" t="str">
        <f>TERM2!Y25</f>
        <v/>
      </c>
      <c r="K26" s="267"/>
      <c r="L26" s="267"/>
      <c r="M26" s="384"/>
      <c r="N26" s="383" t="str">
        <f>TERM3!Y25</f>
        <v/>
      </c>
      <c r="O26" s="267"/>
      <c r="P26" s="267"/>
      <c r="Q26" s="268"/>
      <c r="R26" s="387" t="str">
        <f t="shared" si="0"/>
        <v/>
      </c>
      <c r="S26" s="272"/>
      <c r="T26" s="272"/>
      <c r="U26" s="273"/>
      <c r="V26" s="383" t="str">
        <f t="shared" si="1"/>
        <v/>
      </c>
      <c r="W26" s="272"/>
      <c r="X26" s="272"/>
      <c r="Y26" s="273"/>
      <c r="Z26" s="388" t="str">
        <f t="shared" si="2"/>
        <v/>
      </c>
      <c r="AA26" s="272"/>
      <c r="AB26" s="389"/>
      <c r="AI26" s="137"/>
      <c r="AK26" s="2"/>
      <c r="AM26" s="101"/>
      <c r="AN26" s="101"/>
      <c r="AO26" s="101"/>
      <c r="AP26" s="101"/>
      <c r="AQ26" s="101"/>
      <c r="AR26" s="101"/>
      <c r="AS26" s="101"/>
      <c r="AT26" s="101"/>
      <c r="AU26" s="101"/>
      <c r="AV26" s="101"/>
      <c r="AW26" s="101"/>
      <c r="AX26" s="101"/>
      <c r="AY26" s="101"/>
      <c r="AZ26" s="101"/>
      <c r="BA26" s="101"/>
      <c r="BB26" s="101"/>
      <c r="BC26" s="101"/>
      <c r="BD26" s="101"/>
      <c r="BE26" s="101"/>
    </row>
    <row r="27" spans="1:57" ht="18" customHeight="1">
      <c r="A27" s="195">
        <f>INPUT!A25</f>
        <v>0</v>
      </c>
      <c r="B27" s="195">
        <f>INPUT!C25</f>
        <v>0</v>
      </c>
      <c r="C27" s="141"/>
      <c r="D27" s="141"/>
      <c r="E27" s="141"/>
      <c r="F27" s="383" t="str">
        <f>TERM1!Y26</f>
        <v/>
      </c>
      <c r="G27" s="267"/>
      <c r="H27" s="267"/>
      <c r="I27" s="384"/>
      <c r="J27" s="383" t="str">
        <f>TERM2!Y26</f>
        <v/>
      </c>
      <c r="K27" s="267"/>
      <c r="L27" s="267"/>
      <c r="M27" s="384"/>
      <c r="N27" s="383" t="str">
        <f>TERM3!Y26</f>
        <v/>
      </c>
      <c r="O27" s="267"/>
      <c r="P27" s="267"/>
      <c r="Q27" s="268"/>
      <c r="R27" s="387" t="str">
        <f t="shared" si="0"/>
        <v/>
      </c>
      <c r="S27" s="272"/>
      <c r="T27" s="272"/>
      <c r="U27" s="273"/>
      <c r="V27" s="383" t="str">
        <f t="shared" si="1"/>
        <v/>
      </c>
      <c r="W27" s="272"/>
      <c r="X27" s="272"/>
      <c r="Y27" s="273"/>
      <c r="Z27" s="388" t="str">
        <f t="shared" si="2"/>
        <v/>
      </c>
      <c r="AA27" s="272"/>
      <c r="AB27" s="389"/>
      <c r="AI27" s="137"/>
      <c r="AK27" s="2"/>
      <c r="AM27" s="101"/>
      <c r="AN27" s="101"/>
      <c r="AO27" s="101"/>
      <c r="AP27" s="101"/>
      <c r="AQ27" s="101"/>
      <c r="AR27" s="101"/>
      <c r="AS27" s="101"/>
      <c r="AT27" s="101"/>
      <c r="AU27" s="101"/>
      <c r="AV27" s="101"/>
      <c r="AW27" s="101"/>
      <c r="AX27" s="101"/>
      <c r="AY27" s="101"/>
      <c r="AZ27" s="101"/>
      <c r="BA27" s="101"/>
      <c r="BB27" s="101"/>
      <c r="BC27" s="101"/>
      <c r="BD27" s="101"/>
      <c r="BE27" s="101"/>
    </row>
    <row r="28" spans="1:57" ht="18" customHeight="1">
      <c r="A28" s="195">
        <f>INPUT!A26</f>
        <v>0</v>
      </c>
      <c r="B28" s="195">
        <f>INPUT!C26</f>
        <v>0</v>
      </c>
      <c r="C28" s="141"/>
      <c r="D28" s="141"/>
      <c r="E28" s="141"/>
      <c r="F28" s="383" t="str">
        <f>TERM1!Y27</f>
        <v/>
      </c>
      <c r="G28" s="267"/>
      <c r="H28" s="267"/>
      <c r="I28" s="384"/>
      <c r="J28" s="383" t="str">
        <f>TERM2!Y27</f>
        <v/>
      </c>
      <c r="K28" s="267"/>
      <c r="L28" s="267"/>
      <c r="M28" s="384"/>
      <c r="N28" s="383" t="str">
        <f>TERM3!Y27</f>
        <v/>
      </c>
      <c r="O28" s="267"/>
      <c r="P28" s="267"/>
      <c r="Q28" s="268"/>
      <c r="R28" s="387" t="str">
        <f t="shared" si="0"/>
        <v/>
      </c>
      <c r="S28" s="272"/>
      <c r="T28" s="272"/>
      <c r="U28" s="273"/>
      <c r="V28" s="383" t="str">
        <f t="shared" si="1"/>
        <v/>
      </c>
      <c r="W28" s="272"/>
      <c r="X28" s="272"/>
      <c r="Y28" s="273"/>
      <c r="Z28" s="388" t="str">
        <f t="shared" si="2"/>
        <v/>
      </c>
      <c r="AA28" s="272"/>
      <c r="AB28" s="389"/>
      <c r="AI28" s="137"/>
      <c r="AK28" s="2"/>
    </row>
    <row r="29" spans="1:57" ht="18" customHeight="1">
      <c r="A29" s="195">
        <f>INPUT!A27</f>
        <v>0</v>
      </c>
      <c r="B29" s="195">
        <f>INPUT!C27</f>
        <v>0</v>
      </c>
      <c r="C29" s="141"/>
      <c r="D29" s="141"/>
      <c r="E29" s="141"/>
      <c r="F29" s="383" t="str">
        <f>TERM1!Y28</f>
        <v/>
      </c>
      <c r="G29" s="267"/>
      <c r="H29" s="267"/>
      <c r="I29" s="384"/>
      <c r="J29" s="383" t="str">
        <f>TERM2!Y28</f>
        <v/>
      </c>
      <c r="K29" s="267"/>
      <c r="L29" s="267"/>
      <c r="M29" s="384"/>
      <c r="N29" s="383" t="str">
        <f>TERM3!Y28</f>
        <v/>
      </c>
      <c r="O29" s="267"/>
      <c r="P29" s="267"/>
      <c r="Q29" s="268"/>
      <c r="R29" s="387" t="str">
        <f t="shared" si="0"/>
        <v/>
      </c>
      <c r="S29" s="272"/>
      <c r="T29" s="272"/>
      <c r="U29" s="273"/>
      <c r="V29" s="383" t="str">
        <f t="shared" si="1"/>
        <v/>
      </c>
      <c r="W29" s="272"/>
      <c r="X29" s="272"/>
      <c r="Y29" s="273"/>
      <c r="Z29" s="388" t="str">
        <f t="shared" si="2"/>
        <v/>
      </c>
      <c r="AA29" s="272"/>
      <c r="AB29" s="389"/>
      <c r="AI29" s="137"/>
      <c r="AK29" s="2"/>
    </row>
    <row r="30" spans="1:57" ht="18" customHeight="1">
      <c r="A30" s="195">
        <f>INPUT!A28</f>
        <v>0</v>
      </c>
      <c r="B30" s="195">
        <f>INPUT!C28</f>
        <v>0</v>
      </c>
      <c r="C30" s="141"/>
      <c r="D30" s="141"/>
      <c r="E30" s="141"/>
      <c r="F30" s="383" t="str">
        <f>TERM1!Y29</f>
        <v/>
      </c>
      <c r="G30" s="267"/>
      <c r="H30" s="267"/>
      <c r="I30" s="384"/>
      <c r="J30" s="383" t="str">
        <f>TERM2!Y29</f>
        <v/>
      </c>
      <c r="K30" s="267"/>
      <c r="L30" s="267"/>
      <c r="M30" s="384"/>
      <c r="N30" s="383" t="str">
        <f>TERM3!Y29</f>
        <v/>
      </c>
      <c r="O30" s="267"/>
      <c r="P30" s="267"/>
      <c r="Q30" s="268"/>
      <c r="R30" s="387" t="str">
        <f t="shared" si="0"/>
        <v/>
      </c>
      <c r="S30" s="272"/>
      <c r="T30" s="272"/>
      <c r="U30" s="273"/>
      <c r="V30" s="383" t="str">
        <f t="shared" si="1"/>
        <v/>
      </c>
      <c r="W30" s="272"/>
      <c r="X30" s="272"/>
      <c r="Y30" s="273"/>
      <c r="Z30" s="388" t="str">
        <f t="shared" si="2"/>
        <v/>
      </c>
      <c r="AA30" s="272"/>
      <c r="AB30" s="389"/>
      <c r="AI30" s="137"/>
      <c r="AK30" s="2"/>
    </row>
    <row r="31" spans="1:57" ht="18" customHeight="1">
      <c r="A31" s="195">
        <f>INPUT!A29</f>
        <v>0</v>
      </c>
      <c r="B31" s="195">
        <f>INPUT!C29</f>
        <v>0</v>
      </c>
      <c r="C31" s="141"/>
      <c r="D31" s="141"/>
      <c r="E31" s="141"/>
      <c r="F31" s="383" t="str">
        <f>TERM1!Y30</f>
        <v/>
      </c>
      <c r="G31" s="267"/>
      <c r="H31" s="267"/>
      <c r="I31" s="384"/>
      <c r="J31" s="383" t="str">
        <f>TERM2!Y30</f>
        <v/>
      </c>
      <c r="K31" s="267"/>
      <c r="L31" s="267"/>
      <c r="M31" s="384"/>
      <c r="N31" s="383" t="str">
        <f>TERM3!Y30</f>
        <v/>
      </c>
      <c r="O31" s="267"/>
      <c r="P31" s="267"/>
      <c r="Q31" s="268"/>
      <c r="R31" s="387" t="str">
        <f t="shared" si="0"/>
        <v/>
      </c>
      <c r="S31" s="272"/>
      <c r="T31" s="272"/>
      <c r="U31" s="273"/>
      <c r="V31" s="383" t="str">
        <f t="shared" si="1"/>
        <v/>
      </c>
      <c r="W31" s="272"/>
      <c r="X31" s="272"/>
      <c r="Y31" s="273"/>
      <c r="Z31" s="388" t="str">
        <f t="shared" si="2"/>
        <v/>
      </c>
      <c r="AA31" s="272"/>
      <c r="AB31" s="389"/>
      <c r="AI31" s="137"/>
      <c r="AK31" s="2"/>
    </row>
    <row r="32" spans="1:57" ht="18" customHeight="1">
      <c r="A32" s="195">
        <f>INPUT!A30</f>
        <v>0</v>
      </c>
      <c r="B32" s="195">
        <f>INPUT!C30</f>
        <v>0</v>
      </c>
      <c r="C32" s="141"/>
      <c r="D32" s="141"/>
      <c r="E32" s="141"/>
      <c r="F32" s="383" t="str">
        <f>TERM1!Y31</f>
        <v/>
      </c>
      <c r="G32" s="267"/>
      <c r="H32" s="267"/>
      <c r="I32" s="384"/>
      <c r="J32" s="383" t="str">
        <f>TERM2!Y31</f>
        <v/>
      </c>
      <c r="K32" s="267"/>
      <c r="L32" s="267"/>
      <c r="M32" s="384"/>
      <c r="N32" s="383" t="str">
        <f>TERM3!Y31</f>
        <v/>
      </c>
      <c r="O32" s="267"/>
      <c r="P32" s="267"/>
      <c r="Q32" s="268"/>
      <c r="R32" s="387" t="str">
        <f t="shared" si="0"/>
        <v/>
      </c>
      <c r="S32" s="272"/>
      <c r="T32" s="272"/>
      <c r="U32" s="273"/>
      <c r="V32" s="383" t="str">
        <f t="shared" si="1"/>
        <v/>
      </c>
      <c r="W32" s="272"/>
      <c r="X32" s="272"/>
      <c r="Y32" s="273"/>
      <c r="Z32" s="388" t="str">
        <f t="shared" si="2"/>
        <v/>
      </c>
      <c r="AA32" s="272"/>
      <c r="AB32" s="389"/>
      <c r="AI32" s="137"/>
      <c r="AK32" s="2"/>
    </row>
    <row r="33" spans="1:55" ht="18" customHeight="1">
      <c r="A33" s="195">
        <f>INPUT!A31</f>
        <v>0</v>
      </c>
      <c r="B33" s="195">
        <f>INPUT!C31</f>
        <v>0</v>
      </c>
      <c r="C33" s="141"/>
      <c r="D33" s="141"/>
      <c r="E33" s="141"/>
      <c r="F33" s="383" t="str">
        <f>TERM1!Y32</f>
        <v/>
      </c>
      <c r="G33" s="267"/>
      <c r="H33" s="267"/>
      <c r="I33" s="384"/>
      <c r="J33" s="383" t="str">
        <f>TERM2!Y32</f>
        <v/>
      </c>
      <c r="K33" s="267"/>
      <c r="L33" s="267"/>
      <c r="M33" s="384"/>
      <c r="N33" s="383" t="str">
        <f>TERM3!Y32</f>
        <v/>
      </c>
      <c r="O33" s="267"/>
      <c r="P33" s="267"/>
      <c r="Q33" s="268"/>
      <c r="R33" s="387" t="str">
        <f t="shared" si="0"/>
        <v/>
      </c>
      <c r="S33" s="272"/>
      <c r="T33" s="272"/>
      <c r="U33" s="273"/>
      <c r="V33" s="383" t="str">
        <f t="shared" si="1"/>
        <v/>
      </c>
      <c r="W33" s="272"/>
      <c r="X33" s="272"/>
      <c r="Y33" s="273"/>
      <c r="Z33" s="388" t="str">
        <f t="shared" si="2"/>
        <v/>
      </c>
      <c r="AA33" s="272"/>
      <c r="AB33" s="389"/>
      <c r="AI33" s="137"/>
      <c r="AK33" s="2"/>
    </row>
    <row r="34" spans="1:55" ht="18" customHeight="1">
      <c r="A34" s="195">
        <f>INPUT!A32</f>
        <v>0</v>
      </c>
      <c r="B34" s="195">
        <f>INPUT!C32</f>
        <v>0</v>
      </c>
      <c r="C34" s="141"/>
      <c r="D34" s="141"/>
      <c r="E34" s="141"/>
      <c r="F34" s="383" t="str">
        <f>TERM1!Y33</f>
        <v/>
      </c>
      <c r="G34" s="267"/>
      <c r="H34" s="267"/>
      <c r="I34" s="384"/>
      <c r="J34" s="383" t="str">
        <f>TERM2!Y33</f>
        <v/>
      </c>
      <c r="K34" s="267"/>
      <c r="L34" s="267"/>
      <c r="M34" s="384"/>
      <c r="N34" s="383" t="str">
        <f>TERM3!Y33</f>
        <v/>
      </c>
      <c r="O34" s="267"/>
      <c r="P34" s="267"/>
      <c r="Q34" s="268"/>
      <c r="R34" s="387" t="str">
        <f t="shared" si="0"/>
        <v/>
      </c>
      <c r="S34" s="272"/>
      <c r="T34" s="272"/>
      <c r="U34" s="273"/>
      <c r="V34" s="383" t="str">
        <f t="shared" si="1"/>
        <v/>
      </c>
      <c r="W34" s="272"/>
      <c r="X34" s="272"/>
      <c r="Y34" s="273"/>
      <c r="Z34" s="388" t="str">
        <f t="shared" si="2"/>
        <v/>
      </c>
      <c r="AA34" s="272"/>
      <c r="AB34" s="389"/>
      <c r="AI34" s="137"/>
      <c r="AK34" s="2"/>
    </row>
    <row r="35" spans="1:55" ht="18" customHeight="1">
      <c r="A35" s="195">
        <f>INPUT!A33</f>
        <v>0</v>
      </c>
      <c r="B35" s="195">
        <f>INPUT!C33</f>
        <v>0</v>
      </c>
      <c r="C35" s="141"/>
      <c r="D35" s="141"/>
      <c r="E35" s="141"/>
      <c r="F35" s="383" t="str">
        <f>TERM1!Y34</f>
        <v/>
      </c>
      <c r="G35" s="267"/>
      <c r="H35" s="267"/>
      <c r="I35" s="384"/>
      <c r="J35" s="383" t="str">
        <f>TERM2!Y34</f>
        <v/>
      </c>
      <c r="K35" s="267"/>
      <c r="L35" s="267"/>
      <c r="M35" s="384"/>
      <c r="N35" s="383" t="str">
        <f>TERM3!Y34</f>
        <v/>
      </c>
      <c r="O35" s="267"/>
      <c r="P35" s="267"/>
      <c r="Q35" s="268"/>
      <c r="R35" s="387" t="str">
        <f t="shared" si="0"/>
        <v/>
      </c>
      <c r="S35" s="272"/>
      <c r="T35" s="272"/>
      <c r="U35" s="273"/>
      <c r="V35" s="383" t="str">
        <f t="shared" si="1"/>
        <v/>
      </c>
      <c r="W35" s="272"/>
      <c r="X35" s="272"/>
      <c r="Y35" s="273"/>
      <c r="Z35" s="388" t="str">
        <f t="shared" si="2"/>
        <v/>
      </c>
      <c r="AA35" s="272"/>
      <c r="AB35" s="389"/>
      <c r="AI35" s="137"/>
      <c r="AK35" s="2"/>
      <c r="AN35" s="1"/>
      <c r="AO35" s="1"/>
      <c r="AP35" s="1"/>
      <c r="AQ35" s="1"/>
      <c r="AR35" s="1"/>
      <c r="AS35" s="1"/>
      <c r="AT35" s="1"/>
      <c r="AU35" s="1"/>
      <c r="AV35" s="1"/>
      <c r="AW35" s="1"/>
      <c r="AX35" s="1"/>
      <c r="AY35" s="1"/>
      <c r="AZ35" s="1"/>
      <c r="BA35" s="1"/>
      <c r="BB35" s="1"/>
      <c r="BC35" s="1"/>
    </row>
    <row r="36" spans="1:55" ht="18" customHeight="1">
      <c r="A36" s="195">
        <f>INPUT!A34</f>
        <v>0</v>
      </c>
      <c r="B36" s="195">
        <f>INPUT!C34</f>
        <v>0</v>
      </c>
      <c r="C36" s="141"/>
      <c r="D36" s="141"/>
      <c r="E36" s="141"/>
      <c r="F36" s="383" t="str">
        <f>TERM1!Y35</f>
        <v/>
      </c>
      <c r="G36" s="267"/>
      <c r="H36" s="267"/>
      <c r="I36" s="384"/>
      <c r="J36" s="383" t="str">
        <f>TERM2!Y35</f>
        <v/>
      </c>
      <c r="K36" s="267"/>
      <c r="L36" s="267"/>
      <c r="M36" s="384"/>
      <c r="N36" s="383" t="str">
        <f>TERM3!Y35</f>
        <v/>
      </c>
      <c r="O36" s="267"/>
      <c r="P36" s="267"/>
      <c r="Q36" s="268"/>
      <c r="R36" s="387" t="str">
        <f t="shared" si="0"/>
        <v/>
      </c>
      <c r="S36" s="272"/>
      <c r="T36" s="272"/>
      <c r="U36" s="273"/>
      <c r="V36" s="383" t="str">
        <f t="shared" si="1"/>
        <v/>
      </c>
      <c r="W36" s="272"/>
      <c r="X36" s="272"/>
      <c r="Y36" s="273"/>
      <c r="Z36" s="388" t="str">
        <f t="shared" si="2"/>
        <v/>
      </c>
      <c r="AA36" s="272"/>
      <c r="AB36" s="389"/>
      <c r="AI36" s="137"/>
      <c r="AK36" s="2"/>
      <c r="AN36" s="1"/>
      <c r="AO36" s="1"/>
      <c r="AP36" s="1"/>
      <c r="AQ36" s="1"/>
      <c r="AR36" s="1"/>
      <c r="AS36" s="1"/>
      <c r="AT36" s="1"/>
      <c r="AU36" s="1"/>
      <c r="AV36" s="1"/>
      <c r="AW36" s="1"/>
      <c r="AX36" s="1"/>
      <c r="AY36" s="1"/>
      <c r="AZ36" s="1"/>
      <c r="BA36" s="1"/>
      <c r="BB36" s="1"/>
      <c r="BC36" s="1"/>
    </row>
    <row r="37" spans="1:55" ht="18" customHeight="1">
      <c r="A37" s="195">
        <f>INPUT!A35</f>
        <v>0</v>
      </c>
      <c r="B37" s="195">
        <f>INPUT!C35</f>
        <v>0</v>
      </c>
      <c r="C37" s="141"/>
      <c r="D37" s="141"/>
      <c r="E37" s="141"/>
      <c r="F37" s="383" t="str">
        <f>TERM1!Y36</f>
        <v/>
      </c>
      <c r="G37" s="267"/>
      <c r="H37" s="267"/>
      <c r="I37" s="384"/>
      <c r="J37" s="383" t="str">
        <f>TERM2!Y36</f>
        <v/>
      </c>
      <c r="K37" s="267"/>
      <c r="L37" s="267"/>
      <c r="M37" s="384"/>
      <c r="N37" s="383" t="str">
        <f>TERM3!Y36</f>
        <v/>
      </c>
      <c r="O37" s="267"/>
      <c r="P37" s="267"/>
      <c r="Q37" s="268"/>
      <c r="R37" s="387" t="str">
        <f t="shared" si="0"/>
        <v/>
      </c>
      <c r="S37" s="272"/>
      <c r="T37" s="272"/>
      <c r="U37" s="273"/>
      <c r="V37" s="383" t="str">
        <f t="shared" si="1"/>
        <v/>
      </c>
      <c r="W37" s="272"/>
      <c r="X37" s="272"/>
      <c r="Y37" s="273"/>
      <c r="Z37" s="388" t="str">
        <f t="shared" si="2"/>
        <v/>
      </c>
      <c r="AA37" s="272"/>
      <c r="AB37" s="389"/>
      <c r="AI37" s="137"/>
      <c r="AK37" s="2"/>
      <c r="AN37" s="1"/>
      <c r="AO37" s="1"/>
      <c r="AP37" s="1"/>
      <c r="AQ37" s="1"/>
      <c r="AR37" s="1"/>
      <c r="AS37" s="1"/>
      <c r="AT37" s="1"/>
      <c r="AU37" s="1"/>
      <c r="AV37" s="1"/>
      <c r="AW37" s="1"/>
      <c r="AX37" s="1"/>
      <c r="AY37" s="1"/>
      <c r="AZ37" s="1"/>
      <c r="BA37" s="1"/>
      <c r="BB37" s="1"/>
      <c r="BC37" s="1"/>
    </row>
    <row r="38" spans="1:55" ht="18" customHeight="1">
      <c r="A38" s="195">
        <f>INPUT!A36</f>
        <v>0</v>
      </c>
      <c r="B38" s="195">
        <f>INPUT!C36</f>
        <v>0</v>
      </c>
      <c r="C38" s="141"/>
      <c r="D38" s="141"/>
      <c r="E38" s="141"/>
      <c r="F38" s="383" t="str">
        <f>TERM1!Y37</f>
        <v/>
      </c>
      <c r="G38" s="267"/>
      <c r="H38" s="267"/>
      <c r="I38" s="384"/>
      <c r="J38" s="383" t="str">
        <f>TERM2!Y37</f>
        <v/>
      </c>
      <c r="K38" s="267"/>
      <c r="L38" s="267"/>
      <c r="M38" s="384"/>
      <c r="N38" s="383" t="str">
        <f>TERM3!Y37</f>
        <v/>
      </c>
      <c r="O38" s="267"/>
      <c r="P38" s="267"/>
      <c r="Q38" s="268"/>
      <c r="R38" s="387" t="str">
        <f t="shared" si="0"/>
        <v/>
      </c>
      <c r="S38" s="272"/>
      <c r="T38" s="272"/>
      <c r="U38" s="273"/>
      <c r="V38" s="383" t="str">
        <f t="shared" si="1"/>
        <v/>
      </c>
      <c r="W38" s="272"/>
      <c r="X38" s="272"/>
      <c r="Y38" s="273"/>
      <c r="Z38" s="388" t="str">
        <f t="shared" si="2"/>
        <v/>
      </c>
      <c r="AA38" s="272"/>
      <c r="AB38" s="389"/>
      <c r="AI38" s="137"/>
      <c r="AK38" s="2"/>
      <c r="AN38" s="1"/>
      <c r="AO38" s="1"/>
      <c r="AP38" s="1"/>
      <c r="AQ38" s="1"/>
      <c r="AR38" s="1"/>
      <c r="AS38" s="1"/>
      <c r="AT38" s="1"/>
      <c r="AU38" s="1"/>
      <c r="AV38" s="1"/>
      <c r="AW38" s="1"/>
      <c r="AX38" s="1"/>
      <c r="AY38" s="1"/>
      <c r="AZ38" s="1"/>
      <c r="BA38" s="1"/>
      <c r="BB38" s="1"/>
      <c r="BC38" s="1"/>
    </row>
    <row r="39" spans="1:55" ht="18" customHeight="1">
      <c r="A39" s="195">
        <f>INPUT!A37</f>
        <v>0</v>
      </c>
      <c r="B39" s="195">
        <f>INPUT!C37</f>
        <v>0</v>
      </c>
      <c r="C39" s="141"/>
      <c r="D39" s="141"/>
      <c r="E39" s="141"/>
      <c r="F39" s="383" t="str">
        <f>TERM1!Y38</f>
        <v/>
      </c>
      <c r="G39" s="267"/>
      <c r="H39" s="267"/>
      <c r="I39" s="384"/>
      <c r="J39" s="383" t="str">
        <f>TERM2!Y38</f>
        <v/>
      </c>
      <c r="K39" s="267"/>
      <c r="L39" s="267"/>
      <c r="M39" s="384"/>
      <c r="N39" s="383" t="str">
        <f>TERM3!Y38</f>
        <v/>
      </c>
      <c r="O39" s="267"/>
      <c r="P39" s="267"/>
      <c r="Q39" s="268"/>
      <c r="R39" s="387" t="str">
        <f t="shared" si="0"/>
        <v/>
      </c>
      <c r="S39" s="272"/>
      <c r="T39" s="272"/>
      <c r="U39" s="273"/>
      <c r="V39" s="383" t="str">
        <f t="shared" si="1"/>
        <v/>
      </c>
      <c r="W39" s="272"/>
      <c r="X39" s="272"/>
      <c r="Y39" s="273"/>
      <c r="Z39" s="388" t="str">
        <f t="shared" si="2"/>
        <v/>
      </c>
      <c r="AA39" s="272"/>
      <c r="AB39" s="389"/>
      <c r="AI39" s="137"/>
      <c r="AK39" s="2"/>
      <c r="AN39" s="1"/>
      <c r="AO39" s="1"/>
      <c r="AP39" s="1"/>
      <c r="AQ39" s="1"/>
      <c r="AR39" s="1"/>
      <c r="AS39" s="1"/>
      <c r="AT39" s="1"/>
      <c r="AU39" s="1"/>
      <c r="AV39" s="1"/>
      <c r="AW39" s="1"/>
      <c r="AX39" s="1"/>
      <c r="AY39" s="1"/>
      <c r="AZ39" s="1"/>
      <c r="BA39" s="1"/>
      <c r="BB39" s="1"/>
      <c r="BC39" s="1"/>
    </row>
    <row r="40" spans="1:55" ht="18" customHeight="1">
      <c r="A40" s="195">
        <f>INPUT!A38</f>
        <v>0</v>
      </c>
      <c r="B40" s="195">
        <f>INPUT!C38</f>
        <v>0</v>
      </c>
      <c r="C40" s="141"/>
      <c r="D40" s="141"/>
      <c r="E40" s="141"/>
      <c r="F40" s="383" t="str">
        <f>TERM1!Y39</f>
        <v/>
      </c>
      <c r="G40" s="267"/>
      <c r="H40" s="267"/>
      <c r="I40" s="384"/>
      <c r="J40" s="383" t="str">
        <f>TERM2!Y39</f>
        <v/>
      </c>
      <c r="K40" s="267"/>
      <c r="L40" s="267"/>
      <c r="M40" s="384"/>
      <c r="N40" s="383" t="str">
        <f>TERM3!Y39</f>
        <v/>
      </c>
      <c r="O40" s="267"/>
      <c r="P40" s="267"/>
      <c r="Q40" s="268"/>
      <c r="R40" s="387" t="str">
        <f t="shared" si="0"/>
        <v/>
      </c>
      <c r="S40" s="272"/>
      <c r="T40" s="272"/>
      <c r="U40" s="273"/>
      <c r="V40" s="383" t="str">
        <f t="shared" si="1"/>
        <v/>
      </c>
      <c r="W40" s="272"/>
      <c r="X40" s="272"/>
      <c r="Y40" s="273"/>
      <c r="Z40" s="388" t="str">
        <f t="shared" si="2"/>
        <v/>
      </c>
      <c r="AA40" s="272"/>
      <c r="AB40" s="389"/>
      <c r="AI40" s="137"/>
      <c r="AK40" s="2"/>
      <c r="AN40" s="1"/>
      <c r="AO40" s="1"/>
      <c r="AP40" s="1"/>
      <c r="AQ40" s="1"/>
      <c r="AR40" s="1"/>
      <c r="AS40" s="1"/>
      <c r="AT40" s="1"/>
      <c r="AU40" s="1"/>
      <c r="AV40" s="1"/>
      <c r="AW40" s="1"/>
      <c r="AX40" s="1"/>
      <c r="AY40" s="1"/>
      <c r="AZ40" s="1"/>
      <c r="BA40" s="1"/>
      <c r="BB40" s="1"/>
      <c r="BC40" s="1"/>
    </row>
    <row r="41" spans="1:55" ht="18" customHeight="1">
      <c r="A41" s="195">
        <f>INPUT!A39</f>
        <v>0</v>
      </c>
      <c r="B41" s="195">
        <f>INPUT!C39</f>
        <v>0</v>
      </c>
      <c r="C41" s="141"/>
      <c r="D41" s="141"/>
      <c r="E41" s="141"/>
      <c r="F41" s="383" t="str">
        <f>TERM1!Y40</f>
        <v/>
      </c>
      <c r="G41" s="267"/>
      <c r="H41" s="267"/>
      <c r="I41" s="384"/>
      <c r="J41" s="383" t="str">
        <f>TERM2!Y40</f>
        <v/>
      </c>
      <c r="K41" s="267"/>
      <c r="L41" s="267"/>
      <c r="M41" s="384"/>
      <c r="N41" s="383" t="str">
        <f>TERM3!Y40</f>
        <v/>
      </c>
      <c r="O41" s="267"/>
      <c r="P41" s="267"/>
      <c r="Q41" s="268"/>
      <c r="R41" s="387" t="str">
        <f t="shared" si="0"/>
        <v/>
      </c>
      <c r="S41" s="272"/>
      <c r="T41" s="272"/>
      <c r="U41" s="273"/>
      <c r="V41" s="383" t="str">
        <f t="shared" si="1"/>
        <v/>
      </c>
      <c r="W41" s="272"/>
      <c r="X41" s="272"/>
      <c r="Y41" s="273"/>
      <c r="Z41" s="388" t="str">
        <f t="shared" si="2"/>
        <v/>
      </c>
      <c r="AA41" s="272"/>
      <c r="AB41" s="389"/>
      <c r="AI41" s="137"/>
      <c r="AK41" s="2"/>
      <c r="AN41" s="1"/>
      <c r="AO41" s="1"/>
      <c r="AP41" s="1"/>
      <c r="AQ41" s="1"/>
      <c r="AR41" s="1"/>
      <c r="AS41" s="1"/>
      <c r="AT41" s="1"/>
      <c r="AU41" s="1"/>
      <c r="AV41" s="1"/>
      <c r="AW41" s="1"/>
      <c r="AX41" s="1"/>
      <c r="AY41" s="1"/>
      <c r="AZ41" s="1"/>
      <c r="BA41" s="1"/>
      <c r="BB41" s="1"/>
      <c r="BC41" s="1"/>
    </row>
    <row r="42" spans="1:55" ht="18" customHeight="1">
      <c r="A42" s="195">
        <f>INPUT!A40</f>
        <v>0</v>
      </c>
      <c r="B42" s="195">
        <f>INPUT!C40</f>
        <v>0</v>
      </c>
      <c r="C42" s="141"/>
      <c r="D42" s="141"/>
      <c r="E42" s="141"/>
      <c r="F42" s="383" t="str">
        <f>TERM1!Y41</f>
        <v/>
      </c>
      <c r="G42" s="267"/>
      <c r="H42" s="267"/>
      <c r="I42" s="384"/>
      <c r="J42" s="383" t="str">
        <f>TERM2!Y41</f>
        <v/>
      </c>
      <c r="K42" s="267"/>
      <c r="L42" s="267"/>
      <c r="M42" s="384"/>
      <c r="N42" s="383" t="str">
        <f>TERM3!Y41</f>
        <v/>
      </c>
      <c r="O42" s="267"/>
      <c r="P42" s="267"/>
      <c r="Q42" s="268"/>
      <c r="R42" s="387" t="str">
        <f t="shared" si="0"/>
        <v/>
      </c>
      <c r="S42" s="272"/>
      <c r="T42" s="272"/>
      <c r="U42" s="273"/>
      <c r="V42" s="383" t="str">
        <f t="shared" si="1"/>
        <v/>
      </c>
      <c r="W42" s="272"/>
      <c r="X42" s="272"/>
      <c r="Y42" s="273"/>
      <c r="Z42" s="388" t="str">
        <f t="shared" si="2"/>
        <v/>
      </c>
      <c r="AA42" s="272"/>
      <c r="AB42" s="389"/>
      <c r="AI42" s="137"/>
      <c r="AK42" s="2"/>
      <c r="AN42" s="1"/>
      <c r="AO42" s="1"/>
      <c r="AP42" s="1"/>
      <c r="AQ42" s="1"/>
      <c r="AR42" s="1"/>
      <c r="AS42" s="1"/>
      <c r="AT42" s="1"/>
      <c r="AU42" s="1"/>
      <c r="AV42" s="1"/>
      <c r="AW42" s="1"/>
      <c r="AX42" s="1"/>
      <c r="AY42" s="1"/>
      <c r="AZ42" s="1"/>
      <c r="BA42" s="1"/>
      <c r="BB42" s="1"/>
      <c r="BC42" s="1"/>
    </row>
    <row r="43" spans="1:55" ht="18" customHeight="1">
      <c r="A43" s="195">
        <f>INPUT!A41</f>
        <v>0</v>
      </c>
      <c r="B43" s="195">
        <f>INPUT!C41</f>
        <v>0</v>
      </c>
      <c r="C43" s="141"/>
      <c r="D43" s="141"/>
      <c r="E43" s="141"/>
      <c r="F43" s="383" t="str">
        <f>TERM1!Y42</f>
        <v/>
      </c>
      <c r="G43" s="267"/>
      <c r="H43" s="267"/>
      <c r="I43" s="384"/>
      <c r="J43" s="383" t="str">
        <f>TERM2!Y42</f>
        <v/>
      </c>
      <c r="K43" s="267"/>
      <c r="L43" s="267"/>
      <c r="M43" s="384"/>
      <c r="N43" s="383" t="str">
        <f>TERM3!Y42</f>
        <v/>
      </c>
      <c r="O43" s="267"/>
      <c r="P43" s="267"/>
      <c r="Q43" s="268"/>
      <c r="R43" s="387" t="str">
        <f t="shared" si="0"/>
        <v/>
      </c>
      <c r="S43" s="272"/>
      <c r="T43" s="272"/>
      <c r="U43" s="273"/>
      <c r="V43" s="383" t="str">
        <f t="shared" si="1"/>
        <v/>
      </c>
      <c r="W43" s="272"/>
      <c r="X43" s="272"/>
      <c r="Y43" s="273"/>
      <c r="Z43" s="388" t="str">
        <f t="shared" si="2"/>
        <v/>
      </c>
      <c r="AA43" s="272"/>
      <c r="AB43" s="389"/>
      <c r="AI43" s="137"/>
      <c r="AK43" s="2"/>
      <c r="AN43" s="1"/>
      <c r="AO43" s="1"/>
      <c r="AP43" s="1"/>
      <c r="AQ43" s="1"/>
      <c r="AR43" s="1"/>
      <c r="AS43" s="1"/>
      <c r="AT43" s="1"/>
      <c r="AU43" s="1"/>
      <c r="AV43" s="1"/>
      <c r="AW43" s="1"/>
      <c r="AX43" s="1"/>
      <c r="AY43" s="1"/>
      <c r="AZ43" s="1"/>
      <c r="BA43" s="1"/>
      <c r="BB43" s="1"/>
      <c r="BC43" s="1"/>
    </row>
    <row r="44" spans="1:55" ht="18" customHeight="1">
      <c r="A44" s="195">
        <f>INPUT!A42</f>
        <v>0</v>
      </c>
      <c r="B44" s="195">
        <f>INPUT!C42</f>
        <v>0</v>
      </c>
      <c r="C44" s="141"/>
      <c r="D44" s="141"/>
      <c r="E44" s="141"/>
      <c r="F44" s="383" t="str">
        <f>TERM1!Y43</f>
        <v/>
      </c>
      <c r="G44" s="267"/>
      <c r="H44" s="267"/>
      <c r="I44" s="384"/>
      <c r="J44" s="383" t="str">
        <f>TERM2!Y43</f>
        <v/>
      </c>
      <c r="K44" s="267"/>
      <c r="L44" s="267"/>
      <c r="M44" s="384"/>
      <c r="N44" s="383" t="str">
        <f>TERM3!Y43</f>
        <v/>
      </c>
      <c r="O44" s="267"/>
      <c r="P44" s="267"/>
      <c r="Q44" s="268"/>
      <c r="R44" s="387" t="str">
        <f t="shared" si="0"/>
        <v/>
      </c>
      <c r="S44" s="272"/>
      <c r="T44" s="272"/>
      <c r="U44" s="273"/>
      <c r="V44" s="383" t="str">
        <f t="shared" si="1"/>
        <v/>
      </c>
      <c r="W44" s="272"/>
      <c r="X44" s="272"/>
      <c r="Y44" s="273"/>
      <c r="Z44" s="388" t="str">
        <f t="shared" si="2"/>
        <v/>
      </c>
      <c r="AA44" s="272"/>
      <c r="AB44" s="389"/>
      <c r="AI44" s="137"/>
      <c r="AK44" s="2"/>
      <c r="AN44" s="1"/>
      <c r="AO44" s="1"/>
      <c r="AP44" s="1"/>
      <c r="AQ44" s="1"/>
      <c r="AR44" s="1"/>
      <c r="AS44" s="1"/>
      <c r="AT44" s="1"/>
      <c r="AU44" s="1"/>
      <c r="AV44" s="1"/>
      <c r="AW44" s="1"/>
      <c r="AX44" s="1"/>
      <c r="AY44" s="1"/>
      <c r="AZ44" s="1"/>
      <c r="BA44" s="1"/>
      <c r="BB44" s="1"/>
      <c r="BC44" s="1"/>
    </row>
    <row r="45" spans="1:55" ht="18" customHeight="1">
      <c r="A45" s="195">
        <f>INPUT!A43</f>
        <v>0</v>
      </c>
      <c r="B45" s="195">
        <f>INPUT!C43</f>
        <v>0</v>
      </c>
      <c r="C45" s="141"/>
      <c r="D45" s="141"/>
      <c r="E45" s="141"/>
      <c r="F45" s="383" t="str">
        <f>TERM1!Y44</f>
        <v/>
      </c>
      <c r="G45" s="267"/>
      <c r="H45" s="267"/>
      <c r="I45" s="384"/>
      <c r="J45" s="383" t="str">
        <f>TERM2!Y44</f>
        <v/>
      </c>
      <c r="K45" s="267"/>
      <c r="L45" s="267"/>
      <c r="M45" s="384"/>
      <c r="N45" s="383" t="str">
        <f>TERM3!Y44</f>
        <v/>
      </c>
      <c r="O45" s="267"/>
      <c r="P45" s="267"/>
      <c r="Q45" s="268"/>
      <c r="R45" s="387" t="str">
        <f t="shared" si="0"/>
        <v/>
      </c>
      <c r="S45" s="272"/>
      <c r="T45" s="272"/>
      <c r="U45" s="273"/>
      <c r="V45" s="383" t="str">
        <f t="shared" si="1"/>
        <v/>
      </c>
      <c r="W45" s="272"/>
      <c r="X45" s="272"/>
      <c r="Y45" s="273"/>
      <c r="Z45" s="388" t="str">
        <f t="shared" si="2"/>
        <v/>
      </c>
      <c r="AA45" s="272"/>
      <c r="AB45" s="389"/>
      <c r="AI45" s="137"/>
      <c r="AK45" s="2"/>
      <c r="AN45" s="1"/>
      <c r="AO45" s="1"/>
      <c r="AP45" s="1"/>
      <c r="AQ45" s="1"/>
      <c r="AR45" s="1"/>
      <c r="AS45" s="1"/>
      <c r="AT45" s="1"/>
      <c r="AU45" s="1"/>
      <c r="AV45" s="1"/>
      <c r="AW45" s="1"/>
      <c r="AX45" s="1"/>
      <c r="AY45" s="1"/>
      <c r="AZ45" s="1"/>
      <c r="BA45" s="1"/>
      <c r="BB45" s="1"/>
      <c r="BC45" s="1"/>
    </row>
    <row r="46" spans="1:55" ht="18" customHeight="1">
      <c r="A46" s="195">
        <f>INPUT!A44</f>
        <v>0</v>
      </c>
      <c r="B46" s="195">
        <f>INPUT!C44</f>
        <v>0</v>
      </c>
      <c r="C46" s="141"/>
      <c r="D46" s="141"/>
      <c r="E46" s="141"/>
      <c r="F46" s="383" t="str">
        <f>TERM1!Y45</f>
        <v/>
      </c>
      <c r="G46" s="267"/>
      <c r="H46" s="267"/>
      <c r="I46" s="384"/>
      <c r="J46" s="383" t="str">
        <f>TERM2!Y45</f>
        <v/>
      </c>
      <c r="K46" s="267"/>
      <c r="L46" s="267"/>
      <c r="M46" s="384"/>
      <c r="N46" s="383" t="str">
        <f>TERM3!Y45</f>
        <v/>
      </c>
      <c r="O46" s="267"/>
      <c r="P46" s="267"/>
      <c r="Q46" s="268"/>
      <c r="R46" s="387" t="str">
        <f t="shared" si="0"/>
        <v/>
      </c>
      <c r="S46" s="272"/>
      <c r="T46" s="272"/>
      <c r="U46" s="273"/>
      <c r="V46" s="383" t="str">
        <f t="shared" si="1"/>
        <v/>
      </c>
      <c r="W46" s="272"/>
      <c r="X46" s="272"/>
      <c r="Y46" s="273"/>
      <c r="Z46" s="388" t="str">
        <f t="shared" si="2"/>
        <v/>
      </c>
      <c r="AA46" s="272"/>
      <c r="AB46" s="389"/>
      <c r="AI46" s="137"/>
      <c r="AK46" s="2"/>
      <c r="AN46" s="1"/>
      <c r="AO46" s="1"/>
      <c r="AP46" s="1"/>
      <c r="AQ46" s="1"/>
      <c r="AR46" s="1"/>
      <c r="AS46" s="1"/>
      <c r="AT46" s="1"/>
      <c r="AU46" s="1"/>
      <c r="AV46" s="1"/>
      <c r="AW46" s="1"/>
      <c r="AX46" s="1"/>
      <c r="AY46" s="1"/>
      <c r="AZ46" s="1"/>
      <c r="BA46" s="1"/>
      <c r="BB46" s="1"/>
      <c r="BC46" s="1"/>
    </row>
    <row r="47" spans="1:55" ht="18" customHeight="1">
      <c r="A47" s="195">
        <f>INPUT!A45</f>
        <v>0</v>
      </c>
      <c r="B47" s="195">
        <f>INPUT!C45</f>
        <v>0</v>
      </c>
      <c r="C47" s="141"/>
      <c r="D47" s="141"/>
      <c r="E47" s="141"/>
      <c r="F47" s="383" t="str">
        <f>TERM1!Y46</f>
        <v/>
      </c>
      <c r="G47" s="267"/>
      <c r="H47" s="267"/>
      <c r="I47" s="384"/>
      <c r="J47" s="383" t="str">
        <f>TERM2!Y46</f>
        <v/>
      </c>
      <c r="K47" s="267"/>
      <c r="L47" s="267"/>
      <c r="M47" s="384"/>
      <c r="N47" s="383" t="str">
        <f>TERM3!Y46</f>
        <v/>
      </c>
      <c r="O47" s="267"/>
      <c r="P47" s="267"/>
      <c r="Q47" s="268"/>
      <c r="R47" s="387" t="str">
        <f t="shared" si="0"/>
        <v/>
      </c>
      <c r="S47" s="272"/>
      <c r="T47" s="272"/>
      <c r="U47" s="273"/>
      <c r="V47" s="383" t="str">
        <f t="shared" si="1"/>
        <v/>
      </c>
      <c r="W47" s="272"/>
      <c r="X47" s="272"/>
      <c r="Y47" s="273"/>
      <c r="Z47" s="388" t="str">
        <f t="shared" si="2"/>
        <v/>
      </c>
      <c r="AA47" s="272"/>
      <c r="AB47" s="389"/>
      <c r="AI47" s="137"/>
      <c r="AK47" s="2"/>
      <c r="AN47" s="1"/>
      <c r="AO47" s="1"/>
      <c r="AP47" s="1"/>
      <c r="AQ47" s="1"/>
      <c r="AR47" s="1"/>
      <c r="AS47" s="1"/>
      <c r="AT47" s="1"/>
      <c r="AU47" s="1"/>
      <c r="AV47" s="1"/>
      <c r="AW47" s="1"/>
      <c r="AX47" s="1"/>
      <c r="AY47" s="1"/>
      <c r="AZ47" s="1"/>
      <c r="BA47" s="1"/>
      <c r="BB47" s="1"/>
      <c r="BC47" s="1"/>
    </row>
    <row r="48" spans="1:55" ht="18" customHeight="1">
      <c r="A48" s="195">
        <f>INPUT!A46</f>
        <v>0</v>
      </c>
      <c r="B48" s="195">
        <f>INPUT!C46</f>
        <v>0</v>
      </c>
      <c r="C48" s="141"/>
      <c r="D48" s="141"/>
      <c r="E48" s="141"/>
      <c r="F48" s="383" t="str">
        <f>TERM1!Y47</f>
        <v/>
      </c>
      <c r="G48" s="267"/>
      <c r="H48" s="267"/>
      <c r="I48" s="384"/>
      <c r="J48" s="383" t="str">
        <f>TERM2!Y47</f>
        <v/>
      </c>
      <c r="K48" s="267"/>
      <c r="L48" s="267"/>
      <c r="M48" s="384"/>
      <c r="N48" s="383" t="str">
        <f>TERM3!Y47</f>
        <v/>
      </c>
      <c r="O48" s="267"/>
      <c r="P48" s="267"/>
      <c r="Q48" s="268"/>
      <c r="R48" s="387" t="str">
        <f t="shared" si="0"/>
        <v/>
      </c>
      <c r="S48" s="272"/>
      <c r="T48" s="272"/>
      <c r="U48" s="273"/>
      <c r="V48" s="383" t="str">
        <f t="shared" si="1"/>
        <v/>
      </c>
      <c r="W48" s="272"/>
      <c r="X48" s="272"/>
      <c r="Y48" s="273"/>
      <c r="Z48" s="388" t="str">
        <f t="shared" si="2"/>
        <v/>
      </c>
      <c r="AA48" s="272"/>
      <c r="AB48" s="389"/>
      <c r="AI48" s="137"/>
      <c r="AK48" s="2"/>
      <c r="AN48" s="1"/>
      <c r="AO48" s="1"/>
      <c r="AP48" s="1"/>
      <c r="AQ48" s="1"/>
      <c r="AR48" s="1"/>
      <c r="AS48" s="1"/>
      <c r="AT48" s="1"/>
      <c r="AU48" s="1"/>
      <c r="AV48" s="1"/>
      <c r="AW48" s="1"/>
      <c r="AX48" s="1"/>
      <c r="AY48" s="1"/>
      <c r="AZ48" s="1"/>
      <c r="BA48" s="1"/>
      <c r="BB48" s="1"/>
      <c r="BC48" s="1"/>
    </row>
    <row r="49" spans="1:60" ht="18" customHeight="1">
      <c r="A49" s="195">
        <f>INPUT!A47</f>
        <v>0</v>
      </c>
      <c r="B49" s="195">
        <f>INPUT!C47</f>
        <v>0</v>
      </c>
      <c r="C49" s="141"/>
      <c r="D49" s="141"/>
      <c r="E49" s="141"/>
      <c r="F49" s="383" t="str">
        <f>TERM1!Y48</f>
        <v/>
      </c>
      <c r="G49" s="267"/>
      <c r="H49" s="267"/>
      <c r="I49" s="384"/>
      <c r="J49" s="383" t="str">
        <f>TERM2!Y48</f>
        <v/>
      </c>
      <c r="K49" s="267"/>
      <c r="L49" s="267"/>
      <c r="M49" s="384"/>
      <c r="N49" s="383" t="str">
        <f>TERM3!Y48</f>
        <v/>
      </c>
      <c r="O49" s="267"/>
      <c r="P49" s="267"/>
      <c r="Q49" s="268"/>
      <c r="R49" s="387" t="str">
        <f t="shared" si="0"/>
        <v/>
      </c>
      <c r="S49" s="272"/>
      <c r="T49" s="272"/>
      <c r="U49" s="273"/>
      <c r="V49" s="383" t="str">
        <f t="shared" si="1"/>
        <v/>
      </c>
      <c r="W49" s="272"/>
      <c r="X49" s="272"/>
      <c r="Y49" s="273"/>
      <c r="Z49" s="388" t="str">
        <f t="shared" si="2"/>
        <v/>
      </c>
      <c r="AA49" s="272"/>
      <c r="AB49" s="389"/>
      <c r="AI49" s="137"/>
      <c r="AK49" s="2"/>
      <c r="AN49" s="1"/>
      <c r="AO49" s="1"/>
      <c r="AP49" s="1"/>
      <c r="AQ49" s="1"/>
      <c r="AR49" s="1"/>
      <c r="AS49" s="1"/>
      <c r="AT49" s="1"/>
      <c r="AU49" s="1"/>
      <c r="AV49" s="1"/>
      <c r="AW49" s="1"/>
      <c r="AX49" s="1"/>
      <c r="AY49" s="1"/>
      <c r="AZ49" s="1"/>
      <c r="BA49" s="1"/>
      <c r="BB49" s="1"/>
      <c r="BC49" s="1"/>
    </row>
    <row r="50" spans="1:60" ht="18" customHeight="1">
      <c r="A50" s="195">
        <f>INPUT!A48</f>
        <v>0</v>
      </c>
      <c r="B50" s="195">
        <f>INPUT!C48</f>
        <v>0</v>
      </c>
      <c r="C50" s="141"/>
      <c r="D50" s="141"/>
      <c r="E50" s="141"/>
      <c r="F50" s="383" t="str">
        <f>TERM1!Y49</f>
        <v/>
      </c>
      <c r="G50" s="267"/>
      <c r="H50" s="267"/>
      <c r="I50" s="384"/>
      <c r="J50" s="383" t="str">
        <f>TERM2!Y49</f>
        <v/>
      </c>
      <c r="K50" s="267"/>
      <c r="L50" s="267"/>
      <c r="M50" s="384"/>
      <c r="N50" s="383" t="str">
        <f>TERM3!Y49</f>
        <v/>
      </c>
      <c r="O50" s="267"/>
      <c r="P50" s="267"/>
      <c r="Q50" s="268"/>
      <c r="R50" s="387" t="str">
        <f t="shared" si="0"/>
        <v/>
      </c>
      <c r="S50" s="272"/>
      <c r="T50" s="272"/>
      <c r="U50" s="273"/>
      <c r="V50" s="383" t="str">
        <f t="shared" si="1"/>
        <v/>
      </c>
      <c r="W50" s="272"/>
      <c r="X50" s="272"/>
      <c r="Y50" s="273"/>
      <c r="Z50" s="388" t="str">
        <f t="shared" si="2"/>
        <v/>
      </c>
      <c r="AA50" s="272"/>
      <c r="AB50" s="389"/>
      <c r="AI50" s="137"/>
      <c r="AK50" s="2"/>
      <c r="AN50" s="1"/>
      <c r="AO50" s="1"/>
      <c r="AP50" s="1"/>
      <c r="AQ50" s="1"/>
      <c r="AR50" s="1"/>
      <c r="AS50" s="1"/>
      <c r="AT50" s="1"/>
      <c r="AU50" s="1"/>
      <c r="AV50" s="1"/>
      <c r="AW50" s="1"/>
      <c r="AX50" s="1"/>
      <c r="AY50" s="1"/>
      <c r="AZ50" s="1"/>
      <c r="BA50" s="1"/>
      <c r="BB50" s="1"/>
      <c r="BC50" s="1"/>
    </row>
    <row r="51" spans="1:60" ht="18" customHeight="1">
      <c r="A51" s="195">
        <f>INPUT!A49</f>
        <v>0</v>
      </c>
      <c r="B51" s="195">
        <f>INPUT!C49</f>
        <v>0</v>
      </c>
      <c r="C51" s="141"/>
      <c r="D51" s="141"/>
      <c r="E51" s="141"/>
      <c r="F51" s="383" t="str">
        <f>TERM1!Y50</f>
        <v/>
      </c>
      <c r="G51" s="267"/>
      <c r="H51" s="267"/>
      <c r="I51" s="384"/>
      <c r="J51" s="383" t="str">
        <f>TERM2!Y50</f>
        <v/>
      </c>
      <c r="K51" s="267"/>
      <c r="L51" s="267"/>
      <c r="M51" s="384"/>
      <c r="N51" s="383" t="str">
        <f>TERM3!Y50</f>
        <v/>
      </c>
      <c r="O51" s="267"/>
      <c r="P51" s="267"/>
      <c r="Q51" s="268"/>
      <c r="R51" s="387" t="str">
        <f t="shared" si="0"/>
        <v/>
      </c>
      <c r="S51" s="272"/>
      <c r="T51" s="272"/>
      <c r="U51" s="273"/>
      <c r="V51" s="383" t="str">
        <f t="shared" si="1"/>
        <v/>
      </c>
      <c r="W51" s="272"/>
      <c r="X51" s="272"/>
      <c r="Y51" s="273"/>
      <c r="Z51" s="388" t="str">
        <f t="shared" si="2"/>
        <v/>
      </c>
      <c r="AA51" s="272"/>
      <c r="AB51" s="389"/>
      <c r="AI51" s="137"/>
      <c r="AK51" s="2"/>
      <c r="AN51" s="1"/>
      <c r="AO51" s="1"/>
      <c r="AP51" s="1"/>
      <c r="AQ51" s="1"/>
      <c r="AR51" s="1"/>
      <c r="AS51" s="1"/>
      <c r="AT51" s="1"/>
      <c r="AU51" s="1"/>
      <c r="AV51" s="1"/>
      <c r="AW51" s="1"/>
      <c r="AX51" s="1"/>
      <c r="AY51" s="1"/>
      <c r="AZ51" s="1"/>
      <c r="BA51" s="1"/>
      <c r="BB51" s="1"/>
      <c r="BC51" s="1"/>
    </row>
    <row r="52" spans="1:60" ht="18" customHeight="1">
      <c r="A52" s="195">
        <f>INPUT!A50</f>
        <v>0</v>
      </c>
      <c r="B52" s="195">
        <f>INPUT!C50</f>
        <v>0</v>
      </c>
      <c r="C52" s="141"/>
      <c r="D52" s="141"/>
      <c r="E52" s="141"/>
      <c r="F52" s="383" t="str">
        <f>TERM1!Y51</f>
        <v/>
      </c>
      <c r="G52" s="267"/>
      <c r="H52" s="267"/>
      <c r="I52" s="384"/>
      <c r="J52" s="383" t="str">
        <f>TERM2!Y51</f>
        <v/>
      </c>
      <c r="K52" s="267"/>
      <c r="L52" s="267"/>
      <c r="M52" s="384"/>
      <c r="N52" s="383" t="str">
        <f>TERM3!Y51</f>
        <v/>
      </c>
      <c r="O52" s="267"/>
      <c r="P52" s="267"/>
      <c r="Q52" s="268"/>
      <c r="R52" s="387" t="str">
        <f t="shared" si="0"/>
        <v/>
      </c>
      <c r="S52" s="272"/>
      <c r="T52" s="272"/>
      <c r="U52" s="273"/>
      <c r="V52" s="383" t="str">
        <f t="shared" si="1"/>
        <v/>
      </c>
      <c r="W52" s="272"/>
      <c r="X52" s="272"/>
      <c r="Y52" s="273"/>
      <c r="Z52" s="388" t="str">
        <f t="shared" si="2"/>
        <v/>
      </c>
      <c r="AA52" s="272"/>
      <c r="AB52" s="389"/>
      <c r="AI52" s="137"/>
      <c r="AK52" s="2"/>
      <c r="AN52" s="1"/>
      <c r="AO52" s="1"/>
      <c r="AP52" s="1"/>
      <c r="AQ52" s="1"/>
      <c r="AR52" s="1"/>
      <c r="AS52" s="1"/>
      <c r="AT52" s="1"/>
      <c r="AU52" s="1"/>
      <c r="AV52" s="1"/>
      <c r="AW52" s="1"/>
      <c r="AX52" s="1"/>
      <c r="AY52" s="1"/>
      <c r="AZ52" s="1"/>
      <c r="BA52" s="1"/>
      <c r="BB52" s="1"/>
      <c r="BC52" s="1"/>
    </row>
    <row r="53" spans="1:60" ht="18" customHeight="1">
      <c r="A53" s="195">
        <f>INPUT!A51</f>
        <v>0</v>
      </c>
      <c r="B53" s="195">
        <f>INPUT!C51</f>
        <v>0</v>
      </c>
      <c r="C53" s="141"/>
      <c r="D53" s="141"/>
      <c r="E53" s="141"/>
      <c r="F53" s="383" t="str">
        <f>TERM1!Y52</f>
        <v/>
      </c>
      <c r="G53" s="267"/>
      <c r="H53" s="267"/>
      <c r="I53" s="384"/>
      <c r="J53" s="383" t="str">
        <f>TERM2!Y52</f>
        <v/>
      </c>
      <c r="K53" s="267"/>
      <c r="L53" s="267"/>
      <c r="M53" s="384"/>
      <c r="N53" s="383" t="str">
        <f>TERM3!Y52</f>
        <v/>
      </c>
      <c r="O53" s="267"/>
      <c r="P53" s="267"/>
      <c r="Q53" s="268"/>
      <c r="R53" s="387" t="str">
        <f t="shared" si="0"/>
        <v/>
      </c>
      <c r="S53" s="272"/>
      <c r="T53" s="272"/>
      <c r="U53" s="273"/>
      <c r="V53" s="383" t="str">
        <f t="shared" si="1"/>
        <v/>
      </c>
      <c r="W53" s="272"/>
      <c r="X53" s="272"/>
      <c r="Y53" s="273"/>
      <c r="Z53" s="388" t="str">
        <f t="shared" si="2"/>
        <v/>
      </c>
      <c r="AA53" s="272"/>
      <c r="AB53" s="389"/>
      <c r="AI53" s="137"/>
      <c r="AK53" s="2"/>
      <c r="AN53" s="1"/>
      <c r="AO53" s="1"/>
      <c r="AP53" s="1"/>
      <c r="AQ53" s="1"/>
      <c r="AR53" s="1"/>
      <c r="AS53" s="1"/>
      <c r="AT53" s="1"/>
      <c r="AU53" s="1"/>
      <c r="AV53" s="1"/>
      <c r="AW53" s="1"/>
      <c r="AX53" s="1"/>
      <c r="AY53" s="1"/>
      <c r="AZ53" s="1"/>
      <c r="BA53" s="1"/>
      <c r="BB53" s="1"/>
      <c r="BC53" s="1"/>
    </row>
    <row r="54" spans="1:60" ht="18" customHeight="1">
      <c r="A54" s="195">
        <f>INPUT!A52</f>
        <v>0</v>
      </c>
      <c r="B54" s="195">
        <f>INPUT!C52</f>
        <v>0</v>
      </c>
      <c r="C54" s="141"/>
      <c r="D54" s="141"/>
      <c r="E54" s="141"/>
      <c r="F54" s="383" t="str">
        <f>TERM1!Y53</f>
        <v/>
      </c>
      <c r="G54" s="267"/>
      <c r="H54" s="267"/>
      <c r="I54" s="384"/>
      <c r="J54" s="383" t="str">
        <f>TERM2!Y53</f>
        <v/>
      </c>
      <c r="K54" s="267"/>
      <c r="L54" s="267"/>
      <c r="M54" s="384"/>
      <c r="N54" s="383" t="str">
        <f>TERM3!Y53</f>
        <v/>
      </c>
      <c r="O54" s="267"/>
      <c r="P54" s="267"/>
      <c r="Q54" s="268"/>
      <c r="R54" s="387" t="str">
        <f t="shared" si="0"/>
        <v/>
      </c>
      <c r="S54" s="272"/>
      <c r="T54" s="272"/>
      <c r="U54" s="273"/>
      <c r="V54" s="383" t="str">
        <f t="shared" si="1"/>
        <v/>
      </c>
      <c r="W54" s="272"/>
      <c r="X54" s="272"/>
      <c r="Y54" s="273"/>
      <c r="Z54" s="388" t="str">
        <f t="shared" si="2"/>
        <v/>
      </c>
      <c r="AA54" s="272"/>
      <c r="AB54" s="389"/>
      <c r="AI54" s="137"/>
      <c r="AK54" s="2"/>
      <c r="AN54" s="1"/>
      <c r="AO54" s="1"/>
      <c r="AP54" s="1"/>
      <c r="AQ54" s="1"/>
      <c r="AR54" s="1"/>
      <c r="AS54" s="1"/>
      <c r="AT54" s="1"/>
      <c r="AU54" s="1"/>
      <c r="AV54" s="1"/>
      <c r="AW54" s="1"/>
      <c r="AX54" s="1"/>
      <c r="AY54" s="1"/>
      <c r="AZ54" s="1"/>
      <c r="BA54" s="1"/>
      <c r="BB54" s="1"/>
      <c r="BC54" s="1"/>
    </row>
    <row r="55" spans="1:60" ht="18" customHeight="1">
      <c r="A55" s="195">
        <f>INPUT!A53</f>
        <v>0</v>
      </c>
      <c r="B55" s="195">
        <f>INPUT!C53</f>
        <v>0</v>
      </c>
      <c r="C55" s="141"/>
      <c r="D55" s="141"/>
      <c r="E55" s="141"/>
      <c r="F55" s="383" t="str">
        <f>TERM1!Y54</f>
        <v/>
      </c>
      <c r="G55" s="267"/>
      <c r="H55" s="267"/>
      <c r="I55" s="384"/>
      <c r="J55" s="383" t="str">
        <f>TERM2!Y54</f>
        <v/>
      </c>
      <c r="K55" s="267"/>
      <c r="L55" s="267"/>
      <c r="M55" s="384"/>
      <c r="N55" s="383" t="str">
        <f>TERM3!Y54</f>
        <v/>
      </c>
      <c r="O55" s="267"/>
      <c r="P55" s="267"/>
      <c r="Q55" s="268"/>
      <c r="R55" s="387" t="str">
        <f t="shared" si="0"/>
        <v/>
      </c>
      <c r="S55" s="272"/>
      <c r="T55" s="272"/>
      <c r="U55" s="273"/>
      <c r="V55" s="383" t="str">
        <f t="shared" si="1"/>
        <v/>
      </c>
      <c r="W55" s="272"/>
      <c r="X55" s="272"/>
      <c r="Y55" s="273"/>
      <c r="Z55" s="388" t="str">
        <f t="shared" si="2"/>
        <v/>
      </c>
      <c r="AA55" s="272"/>
      <c r="AB55" s="389"/>
      <c r="AI55" s="137"/>
      <c r="AK55" s="2"/>
      <c r="AN55" s="1"/>
      <c r="AO55" s="1"/>
      <c r="AP55" s="1"/>
      <c r="AQ55" s="1"/>
      <c r="AR55" s="1"/>
      <c r="AS55" s="1"/>
      <c r="AT55" s="1"/>
      <c r="AU55" s="1"/>
      <c r="AV55" s="1"/>
      <c r="AW55" s="1"/>
      <c r="AX55" s="1"/>
      <c r="AY55" s="1"/>
      <c r="AZ55" s="1"/>
      <c r="BA55" s="1"/>
      <c r="BB55" s="1"/>
      <c r="BC55" s="1"/>
    </row>
    <row r="56" spans="1:60" ht="18" customHeight="1">
      <c r="A56" s="195">
        <f>INPUT!A54</f>
        <v>0</v>
      </c>
      <c r="B56" s="195">
        <f>INPUT!C54</f>
        <v>0</v>
      </c>
      <c r="C56" s="141"/>
      <c r="D56" s="141"/>
      <c r="E56" s="141"/>
      <c r="F56" s="383" t="str">
        <f>TERM1!Y55</f>
        <v/>
      </c>
      <c r="G56" s="267"/>
      <c r="H56" s="267"/>
      <c r="I56" s="384"/>
      <c r="J56" s="383" t="str">
        <f>TERM2!Y55</f>
        <v/>
      </c>
      <c r="K56" s="267"/>
      <c r="L56" s="267"/>
      <c r="M56" s="384"/>
      <c r="N56" s="383" t="str">
        <f>TERM3!Y55</f>
        <v/>
      </c>
      <c r="O56" s="267"/>
      <c r="P56" s="267"/>
      <c r="Q56" s="268"/>
      <c r="R56" s="387" t="str">
        <f t="shared" si="0"/>
        <v/>
      </c>
      <c r="S56" s="272"/>
      <c r="T56" s="272"/>
      <c r="U56" s="273"/>
      <c r="V56" s="383" t="str">
        <f t="shared" si="1"/>
        <v/>
      </c>
      <c r="W56" s="272"/>
      <c r="X56" s="272"/>
      <c r="Y56" s="273"/>
      <c r="Z56" s="388" t="str">
        <f t="shared" si="2"/>
        <v/>
      </c>
      <c r="AA56" s="272"/>
      <c r="AB56" s="389"/>
      <c r="AI56" s="137"/>
      <c r="AK56" s="2"/>
      <c r="AN56" s="1"/>
      <c r="AO56" s="1"/>
      <c r="AP56" s="1"/>
      <c r="AQ56" s="1"/>
      <c r="AR56" s="1"/>
      <c r="AS56" s="1"/>
      <c r="AT56" s="1"/>
      <c r="AU56" s="1"/>
      <c r="AV56" s="1"/>
      <c r="AW56" s="1"/>
      <c r="AX56" s="1"/>
      <c r="AY56" s="1"/>
      <c r="AZ56" s="1"/>
      <c r="BA56" s="1"/>
      <c r="BB56" s="1"/>
      <c r="BC56" s="1"/>
    </row>
    <row r="57" spans="1:60" ht="18" customHeight="1">
      <c r="A57" s="195">
        <f>INPUT!A55</f>
        <v>0</v>
      </c>
      <c r="B57" s="195">
        <f>INPUT!C55</f>
        <v>0</v>
      </c>
      <c r="C57" s="141"/>
      <c r="D57" s="141"/>
      <c r="E57" s="141"/>
      <c r="F57" s="383" t="str">
        <f>TERM1!Y56</f>
        <v/>
      </c>
      <c r="G57" s="267"/>
      <c r="H57" s="267"/>
      <c r="I57" s="384"/>
      <c r="J57" s="383" t="str">
        <f>TERM2!Y56</f>
        <v/>
      </c>
      <c r="K57" s="267"/>
      <c r="L57" s="267"/>
      <c r="M57" s="384"/>
      <c r="N57" s="383" t="str">
        <f>TERM3!Y56</f>
        <v/>
      </c>
      <c r="O57" s="267"/>
      <c r="P57" s="267"/>
      <c r="Q57" s="268"/>
      <c r="R57" s="387" t="str">
        <f t="shared" si="0"/>
        <v/>
      </c>
      <c r="S57" s="272"/>
      <c r="T57" s="272"/>
      <c r="U57" s="273"/>
      <c r="V57" s="383" t="str">
        <f t="shared" si="1"/>
        <v/>
      </c>
      <c r="W57" s="272"/>
      <c r="X57" s="272"/>
      <c r="Y57" s="273"/>
      <c r="Z57" s="388" t="str">
        <f t="shared" si="2"/>
        <v/>
      </c>
      <c r="AA57" s="272"/>
      <c r="AB57" s="389"/>
      <c r="AI57" s="137"/>
      <c r="AK57" s="2"/>
      <c r="AN57" s="1"/>
      <c r="AO57" s="1"/>
      <c r="AP57" s="1"/>
      <c r="AQ57" s="1"/>
      <c r="AR57" s="1"/>
      <c r="AS57" s="1"/>
      <c r="AT57" s="1"/>
      <c r="AU57" s="1"/>
      <c r="AV57" s="1"/>
      <c r="AW57" s="1"/>
      <c r="AX57" s="1"/>
      <c r="AY57" s="1"/>
      <c r="AZ57" s="1"/>
      <c r="BA57" s="1"/>
      <c r="BB57" s="1"/>
      <c r="BC57" s="1"/>
    </row>
    <row r="58" spans="1:60" ht="18" customHeight="1">
      <c r="A58" s="195">
        <f>INPUT!A56</f>
        <v>0</v>
      </c>
      <c r="B58" s="195">
        <f>INPUT!C56</f>
        <v>0</v>
      </c>
      <c r="C58" s="141"/>
      <c r="D58" s="141"/>
      <c r="E58" s="141"/>
      <c r="F58" s="383" t="str">
        <f>TERM1!Y57</f>
        <v/>
      </c>
      <c r="G58" s="267"/>
      <c r="H58" s="267"/>
      <c r="I58" s="384"/>
      <c r="J58" s="383" t="str">
        <f>TERM2!Y57</f>
        <v/>
      </c>
      <c r="K58" s="267"/>
      <c r="L58" s="267"/>
      <c r="M58" s="384"/>
      <c r="N58" s="383" t="str">
        <f>TERM3!Y57</f>
        <v/>
      </c>
      <c r="O58" s="267"/>
      <c r="P58" s="267"/>
      <c r="Q58" s="268"/>
      <c r="R58" s="387" t="str">
        <f t="shared" si="0"/>
        <v/>
      </c>
      <c r="S58" s="272"/>
      <c r="T58" s="272"/>
      <c r="U58" s="273"/>
      <c r="V58" s="383" t="str">
        <f t="shared" si="1"/>
        <v/>
      </c>
      <c r="W58" s="272"/>
      <c r="X58" s="272"/>
      <c r="Y58" s="273"/>
      <c r="Z58" s="388" t="str">
        <f t="shared" si="2"/>
        <v/>
      </c>
      <c r="AA58" s="272"/>
      <c r="AB58" s="389"/>
      <c r="AI58" s="137"/>
      <c r="AK58" s="2"/>
      <c r="AN58" s="1"/>
      <c r="AO58" s="1"/>
      <c r="AP58" s="1"/>
      <c r="AQ58" s="1"/>
      <c r="AR58" s="1"/>
      <c r="AS58" s="1"/>
      <c r="AT58" s="1"/>
      <c r="AU58" s="1"/>
      <c r="AV58" s="1"/>
      <c r="AW58" s="1"/>
      <c r="AX58" s="1"/>
      <c r="AY58" s="1"/>
      <c r="AZ58" s="1"/>
      <c r="BA58" s="1"/>
      <c r="BB58" s="1"/>
      <c r="BC58" s="1"/>
    </row>
    <row r="59" spans="1:60" ht="18" customHeight="1">
      <c r="A59" s="195">
        <f>INPUT!A57</f>
        <v>0</v>
      </c>
      <c r="B59" s="195">
        <f>INPUT!C57</f>
        <v>0</v>
      </c>
      <c r="C59" s="141"/>
      <c r="D59" s="141"/>
      <c r="E59" s="141"/>
      <c r="F59" s="383" t="str">
        <f>TERM1!Y58</f>
        <v/>
      </c>
      <c r="G59" s="267"/>
      <c r="H59" s="267"/>
      <c r="I59" s="384"/>
      <c r="J59" s="383" t="str">
        <f>TERM2!Y58</f>
        <v/>
      </c>
      <c r="K59" s="267"/>
      <c r="L59" s="267"/>
      <c r="M59" s="384"/>
      <c r="N59" s="383" t="str">
        <f>TERM3!Y58</f>
        <v/>
      </c>
      <c r="O59" s="267"/>
      <c r="P59" s="267"/>
      <c r="Q59" s="268"/>
      <c r="R59" s="387" t="str">
        <f t="shared" si="0"/>
        <v/>
      </c>
      <c r="S59" s="272"/>
      <c r="T59" s="272"/>
      <c r="U59" s="273"/>
      <c r="V59" s="383" t="str">
        <f t="shared" si="1"/>
        <v/>
      </c>
      <c r="W59" s="272"/>
      <c r="X59" s="272"/>
      <c r="Y59" s="273"/>
      <c r="Z59" s="388" t="str">
        <f t="shared" si="2"/>
        <v/>
      </c>
      <c r="AA59" s="272"/>
      <c r="AB59" s="389"/>
      <c r="AI59" s="137"/>
      <c r="AK59" s="2"/>
      <c r="AN59" s="1"/>
      <c r="AO59" s="1"/>
      <c r="AP59" s="1"/>
      <c r="AQ59" s="1"/>
      <c r="AR59" s="1"/>
      <c r="AS59" s="1"/>
      <c r="AT59" s="1"/>
      <c r="AU59" s="1"/>
      <c r="AV59" s="1"/>
      <c r="AW59" s="1"/>
      <c r="AX59" s="1"/>
      <c r="AY59" s="1"/>
      <c r="AZ59" s="1"/>
      <c r="BA59" s="1"/>
      <c r="BB59" s="1"/>
      <c r="BC59" s="1"/>
    </row>
    <row r="60" spans="1:60" ht="18" customHeight="1">
      <c r="A60" s="195">
        <f>INPUT!A58</f>
        <v>0</v>
      </c>
      <c r="B60" s="195">
        <f>INPUT!C58</f>
        <v>0</v>
      </c>
      <c r="C60" s="141"/>
      <c r="D60" s="141"/>
      <c r="E60" s="141"/>
      <c r="F60" s="383" t="str">
        <f>TERM1!Y59</f>
        <v/>
      </c>
      <c r="G60" s="267"/>
      <c r="H60" s="267"/>
      <c r="I60" s="384"/>
      <c r="J60" s="383" t="str">
        <f>TERM2!Y59</f>
        <v/>
      </c>
      <c r="K60" s="267"/>
      <c r="L60" s="267"/>
      <c r="M60" s="384"/>
      <c r="N60" s="383" t="str">
        <f>TERM3!Y59</f>
        <v/>
      </c>
      <c r="O60" s="267"/>
      <c r="P60" s="267"/>
      <c r="Q60" s="268"/>
      <c r="R60" s="387" t="str">
        <f t="shared" si="0"/>
        <v/>
      </c>
      <c r="S60" s="272"/>
      <c r="T60" s="272"/>
      <c r="U60" s="273"/>
      <c r="V60" s="383" t="str">
        <f t="shared" si="1"/>
        <v/>
      </c>
      <c r="W60" s="272"/>
      <c r="X60" s="272"/>
      <c r="Y60" s="273"/>
      <c r="Z60" s="388" t="str">
        <f t="shared" si="2"/>
        <v/>
      </c>
      <c r="AA60" s="272"/>
      <c r="AB60" s="389"/>
      <c r="AI60" s="137"/>
      <c r="AK60" s="2"/>
      <c r="AN60" s="1"/>
      <c r="AO60" s="1"/>
      <c r="AP60" s="1"/>
      <c r="AQ60" s="1"/>
      <c r="AR60" s="1"/>
      <c r="AS60" s="1"/>
      <c r="AT60" s="1"/>
      <c r="AU60" s="1"/>
      <c r="AV60" s="1"/>
      <c r="AW60" s="1"/>
      <c r="AX60" s="1"/>
      <c r="AY60" s="1"/>
      <c r="AZ60" s="1"/>
      <c r="BA60" s="1"/>
      <c r="BB60" s="1"/>
      <c r="BC60" s="1"/>
    </row>
    <row r="61" spans="1:60" ht="18" customHeight="1">
      <c r="A61" s="195">
        <f>INPUT!A59</f>
        <v>0</v>
      </c>
      <c r="B61" s="195">
        <f>INPUT!C59</f>
        <v>0</v>
      </c>
      <c r="C61" s="141"/>
      <c r="D61" s="141"/>
      <c r="E61" s="141"/>
      <c r="F61" s="383" t="str">
        <f>TERM1!Y60</f>
        <v/>
      </c>
      <c r="G61" s="267"/>
      <c r="H61" s="267"/>
      <c r="I61" s="384"/>
      <c r="J61" s="383" t="str">
        <f>TERM2!Y60</f>
        <v/>
      </c>
      <c r="K61" s="267"/>
      <c r="L61" s="267"/>
      <c r="M61" s="384"/>
      <c r="N61" s="383" t="str">
        <f>TERM3!Y60</f>
        <v/>
      </c>
      <c r="O61" s="267"/>
      <c r="P61" s="267"/>
      <c r="Q61" s="268"/>
      <c r="R61" s="387" t="str">
        <f t="shared" si="0"/>
        <v/>
      </c>
      <c r="S61" s="272"/>
      <c r="T61" s="272"/>
      <c r="U61" s="273"/>
      <c r="V61" s="383" t="str">
        <f t="shared" si="1"/>
        <v/>
      </c>
      <c r="W61" s="272"/>
      <c r="X61" s="272"/>
      <c r="Y61" s="273"/>
      <c r="Z61" s="388" t="str">
        <f t="shared" si="2"/>
        <v/>
      </c>
      <c r="AA61" s="272"/>
      <c r="AB61" s="389"/>
      <c r="AI61" s="137"/>
      <c r="AK61" s="2"/>
      <c r="AN61" s="1"/>
      <c r="AO61" s="1"/>
      <c r="AP61" s="1"/>
      <c r="AQ61" s="1"/>
      <c r="AR61" s="1"/>
      <c r="AS61" s="1"/>
      <c r="AT61" s="1"/>
      <c r="AU61" s="1"/>
      <c r="AV61" s="1"/>
      <c r="AW61" s="1"/>
      <c r="AX61" s="1"/>
      <c r="AY61" s="1"/>
      <c r="AZ61" s="1"/>
      <c r="BA61" s="1"/>
      <c r="BB61" s="1"/>
      <c r="BC61" s="1"/>
    </row>
    <row r="62" spans="1:60" ht="18" customHeight="1">
      <c r="A62" s="195">
        <f>INPUT!A60</f>
        <v>0</v>
      </c>
      <c r="B62" s="195">
        <f>INPUT!C60</f>
        <v>0</v>
      </c>
      <c r="C62" s="141"/>
      <c r="D62" s="141"/>
      <c r="E62" s="141"/>
      <c r="F62" s="383" t="str">
        <f>TERM1!Y61</f>
        <v/>
      </c>
      <c r="G62" s="267"/>
      <c r="H62" s="267"/>
      <c r="I62" s="384"/>
      <c r="J62" s="383" t="str">
        <f>TERM2!Y61</f>
        <v/>
      </c>
      <c r="K62" s="267"/>
      <c r="L62" s="267"/>
      <c r="M62" s="384"/>
      <c r="N62" s="383" t="str">
        <f>TERM3!Y61</f>
        <v/>
      </c>
      <c r="O62" s="267"/>
      <c r="P62" s="267"/>
      <c r="Q62" s="268"/>
      <c r="R62" s="387" t="str">
        <f t="shared" si="0"/>
        <v/>
      </c>
      <c r="S62" s="272"/>
      <c r="T62" s="272"/>
      <c r="U62" s="273"/>
      <c r="V62" s="383" t="str">
        <f t="shared" si="1"/>
        <v/>
      </c>
      <c r="W62" s="272"/>
      <c r="X62" s="272"/>
      <c r="Y62" s="273"/>
      <c r="Z62" s="388" t="str">
        <f t="shared" si="2"/>
        <v/>
      </c>
      <c r="AA62" s="272"/>
      <c r="AB62" s="389"/>
      <c r="AI62" s="137"/>
      <c r="AK62" s="2"/>
      <c r="AN62" s="1"/>
      <c r="AO62" s="1"/>
      <c r="AP62" s="1"/>
      <c r="AQ62" s="1"/>
      <c r="AR62" s="1"/>
      <c r="AS62" s="1"/>
      <c r="AT62" s="1"/>
      <c r="AU62" s="1"/>
      <c r="AV62" s="1"/>
      <c r="AW62" s="1"/>
      <c r="AX62" s="1"/>
      <c r="AY62" s="1"/>
      <c r="AZ62" s="1"/>
      <c r="BA62" s="1"/>
      <c r="BB62" s="1"/>
      <c r="BC62" s="1"/>
    </row>
    <row r="63" spans="1:60" ht="18" customHeight="1" thickBot="1">
      <c r="A63" s="197"/>
      <c r="B63" s="145"/>
      <c r="C63" s="142">
        <v>0</v>
      </c>
      <c r="D63" s="142"/>
      <c r="E63" s="142"/>
      <c r="F63" s="398" t="str">
        <f>TERM1!Y62</f>
        <v/>
      </c>
      <c r="G63" s="399"/>
      <c r="H63" s="399"/>
      <c r="I63" s="399"/>
      <c r="J63" s="398" t="str">
        <f>TERM2!Y62</f>
        <v/>
      </c>
      <c r="K63" s="400"/>
      <c r="L63" s="400"/>
      <c r="M63" s="401"/>
      <c r="N63" s="398" t="str">
        <f>TERM3!Y62</f>
        <v/>
      </c>
      <c r="O63" s="400"/>
      <c r="P63" s="400"/>
      <c r="Q63" s="402"/>
      <c r="R63" s="403" t="str">
        <f t="shared" si="0"/>
        <v/>
      </c>
      <c r="S63" s="403"/>
      <c r="T63" s="403"/>
      <c r="U63" s="404"/>
      <c r="V63" s="405" t="str">
        <f t="shared" si="1"/>
        <v/>
      </c>
      <c r="W63" s="399"/>
      <c r="X63" s="399"/>
      <c r="Y63" s="406"/>
      <c r="Z63" s="407" t="str">
        <f t="shared" si="2"/>
        <v/>
      </c>
      <c r="AA63" s="408"/>
      <c r="AB63" s="409"/>
      <c r="AI63" s="137"/>
      <c r="AK63" s="2"/>
      <c r="AN63" s="1"/>
      <c r="AO63" s="1"/>
      <c r="AP63" s="1"/>
      <c r="AQ63" s="1"/>
      <c r="AR63" s="1"/>
      <c r="AS63" s="1"/>
      <c r="AT63" s="1"/>
      <c r="AU63" s="1"/>
      <c r="AV63" s="1"/>
      <c r="AW63" s="1"/>
      <c r="AX63" s="1"/>
      <c r="AY63" s="1"/>
      <c r="AZ63" s="1"/>
      <c r="BA63" s="1"/>
      <c r="BB63" s="1"/>
      <c r="BC63" s="1"/>
    </row>
    <row r="64" spans="1:60" ht="18" hidden="1" customHeight="1" thickBot="1">
      <c r="A64" s="220" t="s">
        <v>99</v>
      </c>
      <c r="B64" s="377" t="s">
        <v>100</v>
      </c>
      <c r="C64" s="378"/>
      <c r="D64" s="379"/>
      <c r="E64" s="199" t="s">
        <v>99</v>
      </c>
      <c r="F64" s="201" t="s">
        <v>100</v>
      </c>
      <c r="G64" s="201"/>
      <c r="H64" s="201"/>
      <c r="I64" s="199" t="s">
        <v>99</v>
      </c>
      <c r="J64" s="201" t="s">
        <v>100</v>
      </c>
      <c r="K64" s="201"/>
      <c r="L64" s="201"/>
      <c r="M64" s="242" t="s">
        <v>99</v>
      </c>
      <c r="N64" s="201" t="s">
        <v>100</v>
      </c>
      <c r="O64" s="201"/>
      <c r="P64" s="201"/>
      <c r="Q64" s="242" t="s">
        <v>99</v>
      </c>
      <c r="R64" s="201" t="s">
        <v>100</v>
      </c>
      <c r="S64" s="201"/>
      <c r="T64" s="201"/>
      <c r="U64" s="199" t="s">
        <v>99</v>
      </c>
      <c r="V64" s="201" t="s">
        <v>100</v>
      </c>
      <c r="W64" s="201"/>
      <c r="X64" s="201"/>
      <c r="Y64" s="199" t="s">
        <v>99</v>
      </c>
      <c r="Z64" s="380" t="s">
        <v>100</v>
      </c>
      <c r="AA64" s="381"/>
      <c r="AB64" s="382"/>
      <c r="AC64" s="199" t="s">
        <v>99</v>
      </c>
      <c r="AD64" s="374" t="s">
        <v>100</v>
      </c>
      <c r="AE64" s="375"/>
      <c r="AF64" s="376"/>
      <c r="AG64" s="199" t="s">
        <v>99</v>
      </c>
      <c r="AH64" s="374" t="s">
        <v>100</v>
      </c>
      <c r="AI64" s="375"/>
      <c r="AJ64" s="376"/>
      <c r="AK64" s="199" t="s">
        <v>99</v>
      </c>
      <c r="AL64" s="374" t="s">
        <v>100</v>
      </c>
      <c r="AM64" s="375"/>
      <c r="AN64" s="376"/>
      <c r="AO64" s="199" t="s">
        <v>99</v>
      </c>
      <c r="AP64" s="374" t="s">
        <v>100</v>
      </c>
      <c r="AQ64" s="375"/>
      <c r="AR64" s="376"/>
      <c r="AS64" s="199" t="s">
        <v>99</v>
      </c>
      <c r="AT64" s="374" t="s">
        <v>100</v>
      </c>
      <c r="AU64" s="375"/>
      <c r="AV64" s="376"/>
      <c r="AW64" s="199" t="s">
        <v>99</v>
      </c>
      <c r="AX64" s="374" t="s">
        <v>100</v>
      </c>
      <c r="AY64" s="375"/>
      <c r="AZ64" s="376"/>
      <c r="BA64" s="199" t="s">
        <v>99</v>
      </c>
      <c r="BB64" s="374" t="s">
        <v>100</v>
      </c>
      <c r="BC64" s="375"/>
      <c r="BD64" s="376"/>
      <c r="BE64" s="199" t="s">
        <v>99</v>
      </c>
      <c r="BF64" s="374" t="s">
        <v>100</v>
      </c>
      <c r="BG64" s="375"/>
      <c r="BH64" s="376"/>
    </row>
    <row r="65" spans="1:55" ht="18" customHeight="1" thickBot="1">
      <c r="A65" s="198"/>
      <c r="B65" s="143" t="s">
        <v>14</v>
      </c>
      <c r="C65" s="139"/>
      <c r="D65" s="139"/>
      <c r="E65" s="143"/>
      <c r="F65" s="461"/>
      <c r="G65" s="462"/>
      <c r="H65" s="462"/>
      <c r="I65" s="463"/>
      <c r="J65" s="455"/>
      <c r="K65" s="456"/>
      <c r="L65" s="456"/>
      <c r="M65" s="457"/>
      <c r="N65" s="455"/>
      <c r="O65" s="456"/>
      <c r="P65" s="456"/>
      <c r="Q65" s="457"/>
      <c r="R65" s="458"/>
      <c r="S65" s="459"/>
      <c r="T65" s="459"/>
      <c r="U65" s="460"/>
      <c r="V65" s="458" t="str">
        <f>IF(OR(F65="",J65="",N65="",R65=""),"",IF(ISERROR(ROUND(AVERAGE(F65,J65,N65,R65),0)),"",ROUND(AVERAGE(F65,J65,N65,R65),0)))</f>
        <v/>
      </c>
      <c r="W65" s="459"/>
      <c r="X65" s="459"/>
      <c r="Y65" s="460"/>
      <c r="Z65" s="464" t="str">
        <f>IF(OR($F65="",$J65="",$N65="",$R65="",$V65=""),"",IF($V65&gt;=75,"PASSED","FAILED"))</f>
        <v/>
      </c>
      <c r="AA65" s="465"/>
      <c r="AB65" s="466"/>
      <c r="AI65" s="137"/>
      <c r="AK65" s="2"/>
      <c r="AN65" s="1"/>
      <c r="AO65" s="1"/>
      <c r="AP65" s="1"/>
      <c r="AQ65" s="1"/>
      <c r="AR65" s="1"/>
      <c r="AS65" s="1"/>
      <c r="AT65" s="1"/>
      <c r="AU65" s="1"/>
      <c r="AV65" s="1"/>
      <c r="AW65" s="1"/>
      <c r="AX65" s="1"/>
      <c r="AY65" s="1"/>
      <c r="AZ65" s="1"/>
      <c r="BA65" s="1"/>
      <c r="BB65" s="1"/>
      <c r="BC65" s="1"/>
    </row>
    <row r="66" spans="1:55" ht="18" hidden="1" customHeight="1" thickBot="1">
      <c r="A66" s="192" t="s">
        <v>91</v>
      </c>
      <c r="B66" s="470" t="s">
        <v>93</v>
      </c>
      <c r="C66" s="311"/>
      <c r="D66" s="312"/>
      <c r="E66" s="191"/>
      <c r="F66" s="477"/>
      <c r="G66" s="478"/>
      <c r="H66" s="478"/>
      <c r="I66" s="479"/>
      <c r="J66" s="189"/>
      <c r="K66" s="186"/>
      <c r="L66" s="186"/>
      <c r="M66" s="187"/>
      <c r="N66" s="189"/>
      <c r="O66" s="186"/>
      <c r="P66" s="186"/>
      <c r="Q66" s="187"/>
      <c r="R66" s="190"/>
      <c r="S66" s="186"/>
      <c r="T66" s="186"/>
      <c r="U66" s="187"/>
      <c r="V66" s="190"/>
      <c r="W66" s="186"/>
      <c r="X66" s="186"/>
      <c r="Y66" s="187"/>
      <c r="Z66" s="193"/>
      <c r="AA66" s="186"/>
      <c r="AB66" s="188"/>
      <c r="AI66" s="137"/>
      <c r="AK66" s="2"/>
      <c r="AN66" s="1"/>
      <c r="AO66" s="1"/>
      <c r="AP66" s="1"/>
      <c r="AQ66" s="1"/>
      <c r="AR66" s="1"/>
      <c r="AS66" s="1"/>
      <c r="AT66" s="1"/>
      <c r="AU66" s="1"/>
      <c r="AV66" s="1"/>
      <c r="AW66" s="1"/>
      <c r="AX66" s="1"/>
      <c r="AY66" s="1"/>
      <c r="AZ66" s="1"/>
      <c r="BA66" s="1"/>
      <c r="BB66" s="1"/>
      <c r="BC66" s="1"/>
    </row>
    <row r="67" spans="1:55" ht="18" customHeight="1" thickBot="1">
      <c r="A67" s="144">
        <f>INPUT!B64</f>
        <v>0</v>
      </c>
      <c r="B67" s="144">
        <f>INPUT!C64</f>
        <v>0</v>
      </c>
      <c r="C67" s="140"/>
      <c r="D67" s="140"/>
      <c r="E67" s="140"/>
      <c r="F67" s="410" t="str">
        <f>TERM1!Y66</f>
        <v/>
      </c>
      <c r="G67" s="411"/>
      <c r="H67" s="411"/>
      <c r="I67" s="411"/>
      <c r="J67" s="410" t="str">
        <f>TERM2!Y66</f>
        <v/>
      </c>
      <c r="K67" s="412"/>
      <c r="L67" s="412"/>
      <c r="M67" s="413"/>
      <c r="N67" s="410" t="str">
        <f>TERM3!Y66</f>
        <v/>
      </c>
      <c r="O67" s="412"/>
      <c r="P67" s="412"/>
      <c r="Q67" s="414"/>
      <c r="R67" s="415" t="str">
        <f t="shared" si="0"/>
        <v/>
      </c>
      <c r="S67" s="415"/>
      <c r="T67" s="415"/>
      <c r="U67" s="416"/>
      <c r="V67" s="417" t="str">
        <f t="shared" ref="V67:V115" si="3">IF(ISERROR(IF(R67="","",VLOOKUP(R67,DESCRIPTORS,4,TRUE))),"",IF(R67="","",VLOOKUP(R67,DESCRIPTORS,4,TRUE)))</f>
        <v/>
      </c>
      <c r="W67" s="411"/>
      <c r="X67" s="411"/>
      <c r="Y67" s="418"/>
      <c r="Z67" s="419" t="str">
        <f t="shared" ref="Z67:Z115" si="4">IF(OR($F67="",$J67="",$N67="",$R67=""),"",IF($R67&gt;=75,"PASSED","FAILED"))</f>
        <v/>
      </c>
      <c r="AA67" s="420"/>
      <c r="AB67" s="421"/>
      <c r="AI67" s="137"/>
      <c r="AK67" s="2"/>
      <c r="AN67" s="1"/>
      <c r="AO67" s="1"/>
      <c r="AP67" s="1"/>
      <c r="AQ67" s="1"/>
      <c r="AR67" s="1"/>
      <c r="AS67" s="1"/>
      <c r="AT67" s="1"/>
      <c r="AU67" s="1"/>
      <c r="AV67" s="1"/>
      <c r="AW67" s="1"/>
      <c r="AX67" s="1"/>
      <c r="AY67" s="1"/>
      <c r="AZ67" s="1"/>
      <c r="BA67" s="1"/>
      <c r="BB67" s="1"/>
      <c r="BC67" s="1"/>
    </row>
    <row r="68" spans="1:55" ht="18" customHeight="1" thickBot="1">
      <c r="A68" s="144">
        <f>INPUT!B65</f>
        <v>0</v>
      </c>
      <c r="B68" s="144">
        <f>INPUT!C65</f>
        <v>0</v>
      </c>
      <c r="C68" s="141"/>
      <c r="D68" s="141"/>
      <c r="E68" s="141"/>
      <c r="F68" s="383" t="str">
        <f>TERM1!Y67</f>
        <v/>
      </c>
      <c r="G68" s="267"/>
      <c r="H68" s="267"/>
      <c r="I68" s="384"/>
      <c r="J68" s="383" t="str">
        <f>TERM2!Y67</f>
        <v/>
      </c>
      <c r="K68" s="385"/>
      <c r="L68" s="385"/>
      <c r="M68" s="336"/>
      <c r="N68" s="383" t="str">
        <f>TERM3!Y67</f>
        <v/>
      </c>
      <c r="O68" s="385"/>
      <c r="P68" s="385"/>
      <c r="Q68" s="386"/>
      <c r="R68" s="387" t="str">
        <f t="shared" si="0"/>
        <v/>
      </c>
      <c r="S68" s="272"/>
      <c r="T68" s="272"/>
      <c r="U68" s="273"/>
      <c r="V68" s="383" t="str">
        <f t="shared" si="3"/>
        <v/>
      </c>
      <c r="W68" s="272"/>
      <c r="X68" s="272"/>
      <c r="Y68" s="273"/>
      <c r="Z68" s="388" t="str">
        <f t="shared" si="4"/>
        <v/>
      </c>
      <c r="AA68" s="272"/>
      <c r="AB68" s="389"/>
      <c r="AI68" s="137"/>
      <c r="AK68" s="2"/>
      <c r="AN68" s="1"/>
      <c r="AO68" s="1"/>
      <c r="AP68" s="1"/>
      <c r="AQ68" s="1"/>
      <c r="AR68" s="1"/>
      <c r="AS68" s="1"/>
      <c r="AT68" s="1"/>
      <c r="AU68" s="1"/>
      <c r="AV68" s="1"/>
      <c r="AW68" s="1"/>
      <c r="AX68" s="1"/>
      <c r="AY68" s="1"/>
      <c r="AZ68" s="1"/>
      <c r="BA68" s="1"/>
      <c r="BB68" s="1"/>
      <c r="BC68" s="1"/>
    </row>
    <row r="69" spans="1:55" ht="18" customHeight="1" thickBot="1">
      <c r="A69" s="144">
        <f>INPUT!B66</f>
        <v>0</v>
      </c>
      <c r="B69" s="144">
        <f>INPUT!C66</f>
        <v>0</v>
      </c>
      <c r="C69" s="141"/>
      <c r="D69" s="141"/>
      <c r="E69" s="141"/>
      <c r="F69" s="383" t="str">
        <f>TERM1!Y68</f>
        <v/>
      </c>
      <c r="G69" s="267"/>
      <c r="H69" s="267"/>
      <c r="I69" s="384"/>
      <c r="J69" s="383" t="str">
        <f>TERM2!Y68</f>
        <v/>
      </c>
      <c r="K69" s="385"/>
      <c r="L69" s="385"/>
      <c r="M69" s="336"/>
      <c r="N69" s="383" t="str">
        <f>TERM3!Y68</f>
        <v/>
      </c>
      <c r="O69" s="385"/>
      <c r="P69" s="385"/>
      <c r="Q69" s="386"/>
      <c r="R69" s="387" t="str">
        <f t="shared" si="0"/>
        <v/>
      </c>
      <c r="S69" s="272"/>
      <c r="T69" s="272"/>
      <c r="U69" s="273"/>
      <c r="V69" s="383" t="str">
        <f t="shared" si="3"/>
        <v/>
      </c>
      <c r="W69" s="272"/>
      <c r="X69" s="272"/>
      <c r="Y69" s="273"/>
      <c r="Z69" s="388" t="str">
        <f t="shared" si="4"/>
        <v/>
      </c>
      <c r="AA69" s="272"/>
      <c r="AB69" s="389"/>
      <c r="AI69" s="137"/>
      <c r="AK69" s="2"/>
      <c r="AN69" s="1"/>
      <c r="AO69" s="1"/>
      <c r="AP69" s="1"/>
      <c r="AQ69" s="1"/>
      <c r="AR69" s="1"/>
      <c r="AS69" s="1"/>
      <c r="AT69" s="1"/>
      <c r="AU69" s="1"/>
      <c r="AV69" s="1"/>
      <c r="AW69" s="1"/>
      <c r="AX69" s="1"/>
      <c r="AY69" s="1"/>
      <c r="AZ69" s="1"/>
      <c r="BA69" s="1"/>
      <c r="BB69" s="1"/>
      <c r="BC69" s="1"/>
    </row>
    <row r="70" spans="1:55" ht="18" customHeight="1" thickBot="1">
      <c r="A70" s="144">
        <f>INPUT!B67</f>
        <v>0</v>
      </c>
      <c r="B70" s="144">
        <f>INPUT!C67</f>
        <v>0</v>
      </c>
      <c r="C70" s="141"/>
      <c r="D70" s="141"/>
      <c r="E70" s="141"/>
      <c r="F70" s="383" t="str">
        <f>TERM1!Y69</f>
        <v/>
      </c>
      <c r="G70" s="267"/>
      <c r="H70" s="267"/>
      <c r="I70" s="384"/>
      <c r="J70" s="383" t="str">
        <f>TERM2!Y69</f>
        <v/>
      </c>
      <c r="K70" s="385"/>
      <c r="L70" s="385"/>
      <c r="M70" s="336"/>
      <c r="N70" s="383" t="str">
        <f>TERM3!Y69</f>
        <v/>
      </c>
      <c r="O70" s="385"/>
      <c r="P70" s="385"/>
      <c r="Q70" s="386"/>
      <c r="R70" s="387" t="str">
        <f t="shared" si="0"/>
        <v/>
      </c>
      <c r="S70" s="272"/>
      <c r="T70" s="272"/>
      <c r="U70" s="273"/>
      <c r="V70" s="383" t="str">
        <f t="shared" si="3"/>
        <v/>
      </c>
      <c r="W70" s="272"/>
      <c r="X70" s="272"/>
      <c r="Y70" s="273"/>
      <c r="Z70" s="388" t="str">
        <f t="shared" si="4"/>
        <v/>
      </c>
      <c r="AA70" s="272"/>
      <c r="AB70" s="389"/>
      <c r="AI70" s="137"/>
      <c r="AK70" s="2"/>
      <c r="AN70" s="1"/>
      <c r="AO70" s="1"/>
      <c r="AP70" s="1"/>
      <c r="AQ70" s="1"/>
      <c r="AR70" s="1"/>
      <c r="AS70" s="1"/>
      <c r="AT70" s="1"/>
      <c r="AU70" s="1"/>
      <c r="AV70" s="1"/>
      <c r="AW70" s="1"/>
      <c r="AX70" s="1"/>
      <c r="AY70" s="1"/>
      <c r="AZ70" s="1"/>
      <c r="BA70" s="1"/>
      <c r="BB70" s="1"/>
      <c r="BC70" s="1"/>
    </row>
    <row r="71" spans="1:55" ht="18" customHeight="1" thickBot="1">
      <c r="A71" s="144">
        <f>INPUT!B68</f>
        <v>0</v>
      </c>
      <c r="B71" s="144">
        <f>INPUT!C68</f>
        <v>0</v>
      </c>
      <c r="C71" s="141"/>
      <c r="D71" s="141"/>
      <c r="E71" s="141"/>
      <c r="F71" s="383" t="str">
        <f>TERM1!Y70</f>
        <v/>
      </c>
      <c r="G71" s="267"/>
      <c r="H71" s="267"/>
      <c r="I71" s="384"/>
      <c r="J71" s="383" t="str">
        <f>TERM2!Y70</f>
        <v/>
      </c>
      <c r="K71" s="385"/>
      <c r="L71" s="385"/>
      <c r="M71" s="336"/>
      <c r="N71" s="383" t="str">
        <f>TERM3!Y70</f>
        <v/>
      </c>
      <c r="O71" s="385"/>
      <c r="P71" s="385"/>
      <c r="Q71" s="386"/>
      <c r="R71" s="387" t="str">
        <f t="shared" si="0"/>
        <v/>
      </c>
      <c r="S71" s="272"/>
      <c r="T71" s="272"/>
      <c r="U71" s="273"/>
      <c r="V71" s="383" t="str">
        <f t="shared" si="3"/>
        <v/>
      </c>
      <c r="W71" s="272"/>
      <c r="X71" s="272"/>
      <c r="Y71" s="273"/>
      <c r="Z71" s="388" t="str">
        <f t="shared" si="4"/>
        <v/>
      </c>
      <c r="AA71" s="272"/>
      <c r="AB71" s="389"/>
      <c r="AI71" s="137"/>
      <c r="AK71" s="2"/>
      <c r="AN71" s="1"/>
      <c r="AO71" s="1"/>
      <c r="AP71" s="1"/>
      <c r="AQ71" s="1"/>
      <c r="AR71" s="1"/>
      <c r="AS71" s="1"/>
      <c r="AT71" s="1"/>
      <c r="AU71" s="1"/>
      <c r="AV71" s="1"/>
      <c r="AW71" s="1"/>
      <c r="AX71" s="1"/>
      <c r="AY71" s="1"/>
      <c r="AZ71" s="1"/>
      <c r="BA71" s="1"/>
      <c r="BB71" s="1"/>
      <c r="BC71" s="1"/>
    </row>
    <row r="72" spans="1:55" ht="18" customHeight="1" thickBot="1">
      <c r="A72" s="144">
        <f>INPUT!B69</f>
        <v>0</v>
      </c>
      <c r="B72" s="144">
        <f>INPUT!C69</f>
        <v>0</v>
      </c>
      <c r="C72" s="141"/>
      <c r="D72" s="141"/>
      <c r="E72" s="141"/>
      <c r="F72" s="383" t="str">
        <f>TERM1!Y71</f>
        <v/>
      </c>
      <c r="G72" s="267"/>
      <c r="H72" s="267"/>
      <c r="I72" s="384"/>
      <c r="J72" s="383" t="str">
        <f>TERM2!Y71</f>
        <v/>
      </c>
      <c r="K72" s="385"/>
      <c r="L72" s="385"/>
      <c r="M72" s="336"/>
      <c r="N72" s="383" t="str">
        <f>TERM3!Y71</f>
        <v/>
      </c>
      <c r="O72" s="385"/>
      <c r="P72" s="385"/>
      <c r="Q72" s="386"/>
      <c r="R72" s="387" t="str">
        <f t="shared" si="0"/>
        <v/>
      </c>
      <c r="S72" s="272"/>
      <c r="T72" s="272"/>
      <c r="U72" s="273"/>
      <c r="V72" s="383" t="str">
        <f t="shared" si="3"/>
        <v/>
      </c>
      <c r="W72" s="272"/>
      <c r="X72" s="272"/>
      <c r="Y72" s="273"/>
      <c r="Z72" s="388" t="str">
        <f t="shared" si="4"/>
        <v/>
      </c>
      <c r="AA72" s="272"/>
      <c r="AB72" s="389"/>
      <c r="AI72" s="137"/>
      <c r="AK72" s="2"/>
      <c r="AN72" s="1"/>
      <c r="AO72" s="1"/>
      <c r="AP72" s="1"/>
      <c r="AQ72" s="1"/>
      <c r="AR72" s="1"/>
      <c r="AS72" s="1"/>
      <c r="AT72" s="1"/>
      <c r="AU72" s="1"/>
      <c r="AV72" s="1"/>
      <c r="AW72" s="1"/>
      <c r="AX72" s="1"/>
      <c r="AY72" s="1"/>
      <c r="AZ72" s="1"/>
      <c r="BA72" s="1"/>
      <c r="BB72" s="1"/>
      <c r="BC72" s="1"/>
    </row>
    <row r="73" spans="1:55" ht="18" customHeight="1" thickBot="1">
      <c r="A73" s="144">
        <f>INPUT!B70</f>
        <v>0</v>
      </c>
      <c r="B73" s="144">
        <f>INPUT!C70</f>
        <v>0</v>
      </c>
      <c r="C73" s="141"/>
      <c r="D73" s="141"/>
      <c r="E73" s="141"/>
      <c r="F73" s="383" t="str">
        <f>TERM1!Y72</f>
        <v/>
      </c>
      <c r="G73" s="267"/>
      <c r="H73" s="267"/>
      <c r="I73" s="384"/>
      <c r="J73" s="383" t="str">
        <f>TERM2!Y72</f>
        <v/>
      </c>
      <c r="K73" s="385"/>
      <c r="L73" s="385"/>
      <c r="M73" s="336"/>
      <c r="N73" s="383" t="str">
        <f>TERM3!Y72</f>
        <v/>
      </c>
      <c r="O73" s="385"/>
      <c r="P73" s="385"/>
      <c r="Q73" s="386"/>
      <c r="R73" s="387" t="str">
        <f t="shared" si="0"/>
        <v/>
      </c>
      <c r="S73" s="272"/>
      <c r="T73" s="272"/>
      <c r="U73" s="273"/>
      <c r="V73" s="383" t="str">
        <f t="shared" si="3"/>
        <v/>
      </c>
      <c r="W73" s="272"/>
      <c r="X73" s="272"/>
      <c r="Y73" s="273"/>
      <c r="Z73" s="388" t="str">
        <f t="shared" si="4"/>
        <v/>
      </c>
      <c r="AA73" s="272"/>
      <c r="AB73" s="389"/>
      <c r="AI73" s="137"/>
      <c r="AK73" s="2"/>
      <c r="AN73" s="1"/>
      <c r="AO73" s="1"/>
      <c r="AP73" s="1"/>
      <c r="AQ73" s="1"/>
      <c r="AR73" s="1"/>
      <c r="AS73" s="1"/>
      <c r="AT73" s="1"/>
      <c r="AU73" s="1"/>
      <c r="AV73" s="1"/>
      <c r="AW73" s="1"/>
      <c r="AX73" s="1"/>
      <c r="AY73" s="1"/>
      <c r="AZ73" s="1"/>
      <c r="BA73" s="1"/>
      <c r="BB73" s="1"/>
      <c r="BC73" s="1"/>
    </row>
    <row r="74" spans="1:55" ht="18" customHeight="1" thickBot="1">
      <c r="A74" s="144">
        <f>INPUT!B71</f>
        <v>0</v>
      </c>
      <c r="B74" s="144">
        <f>INPUT!C71</f>
        <v>0</v>
      </c>
      <c r="C74" s="141"/>
      <c r="D74" s="141"/>
      <c r="E74" s="141"/>
      <c r="F74" s="383" t="str">
        <f>TERM1!Y73</f>
        <v/>
      </c>
      <c r="G74" s="267"/>
      <c r="H74" s="267"/>
      <c r="I74" s="384"/>
      <c r="J74" s="383" t="str">
        <f>TERM2!Y73</f>
        <v/>
      </c>
      <c r="K74" s="385"/>
      <c r="L74" s="385"/>
      <c r="M74" s="336"/>
      <c r="N74" s="383" t="str">
        <f>TERM3!Y73</f>
        <v/>
      </c>
      <c r="O74" s="385"/>
      <c r="P74" s="385"/>
      <c r="Q74" s="386"/>
      <c r="R74" s="387" t="str">
        <f t="shared" si="0"/>
        <v/>
      </c>
      <c r="S74" s="272"/>
      <c r="T74" s="272"/>
      <c r="U74" s="273"/>
      <c r="V74" s="383" t="str">
        <f t="shared" si="3"/>
        <v/>
      </c>
      <c r="W74" s="272"/>
      <c r="X74" s="272"/>
      <c r="Y74" s="273"/>
      <c r="Z74" s="388" t="str">
        <f t="shared" si="4"/>
        <v/>
      </c>
      <c r="AA74" s="272"/>
      <c r="AB74" s="389"/>
      <c r="AI74" s="137"/>
      <c r="AK74" s="2"/>
      <c r="AN74" s="1"/>
      <c r="AO74" s="1"/>
      <c r="AP74" s="1"/>
      <c r="AQ74" s="1"/>
      <c r="AR74" s="1"/>
      <c r="AS74" s="1"/>
      <c r="AT74" s="1"/>
      <c r="AU74" s="1"/>
      <c r="AV74" s="1"/>
      <c r="AW74" s="1"/>
      <c r="AX74" s="1"/>
      <c r="AY74" s="1"/>
      <c r="AZ74" s="1"/>
      <c r="BA74" s="1"/>
      <c r="BB74" s="1"/>
      <c r="BC74" s="1"/>
    </row>
    <row r="75" spans="1:55" ht="18" customHeight="1" thickBot="1">
      <c r="A75" s="144">
        <f>INPUT!B72</f>
        <v>0</v>
      </c>
      <c r="B75" s="144">
        <f>INPUT!C72</f>
        <v>0</v>
      </c>
      <c r="C75" s="141"/>
      <c r="D75" s="141"/>
      <c r="E75" s="141"/>
      <c r="F75" s="383" t="str">
        <f>TERM1!Y74</f>
        <v/>
      </c>
      <c r="G75" s="267"/>
      <c r="H75" s="267"/>
      <c r="I75" s="384"/>
      <c r="J75" s="383" t="str">
        <f>TERM2!Y74</f>
        <v/>
      </c>
      <c r="K75" s="385"/>
      <c r="L75" s="385"/>
      <c r="M75" s="336"/>
      <c r="N75" s="383" t="str">
        <f>TERM3!Y74</f>
        <v/>
      </c>
      <c r="O75" s="385"/>
      <c r="P75" s="385"/>
      <c r="Q75" s="386"/>
      <c r="R75" s="387" t="str">
        <f t="shared" si="0"/>
        <v/>
      </c>
      <c r="S75" s="272"/>
      <c r="T75" s="272"/>
      <c r="U75" s="273"/>
      <c r="V75" s="383" t="str">
        <f t="shared" si="3"/>
        <v/>
      </c>
      <c r="W75" s="272"/>
      <c r="X75" s="272"/>
      <c r="Y75" s="273"/>
      <c r="Z75" s="388" t="str">
        <f t="shared" si="4"/>
        <v/>
      </c>
      <c r="AA75" s="272"/>
      <c r="AB75" s="389"/>
      <c r="AI75" s="137"/>
      <c r="AK75" s="2"/>
      <c r="AN75" s="1"/>
      <c r="AO75" s="1"/>
      <c r="AP75" s="1"/>
      <c r="AQ75" s="1"/>
      <c r="AR75" s="1"/>
      <c r="AS75" s="1"/>
      <c r="AT75" s="1"/>
      <c r="AU75" s="1"/>
      <c r="AV75" s="1"/>
      <c r="AW75" s="1"/>
      <c r="AX75" s="1"/>
      <c r="AY75" s="1"/>
      <c r="AZ75" s="1"/>
      <c r="BA75" s="1"/>
      <c r="BB75" s="1"/>
      <c r="BC75" s="1"/>
    </row>
    <row r="76" spans="1:55" ht="18" customHeight="1" thickBot="1">
      <c r="A76" s="144">
        <f>INPUT!B73</f>
        <v>0</v>
      </c>
      <c r="B76" s="144">
        <f>INPUT!C73</f>
        <v>0</v>
      </c>
      <c r="C76" s="141"/>
      <c r="D76" s="141"/>
      <c r="E76" s="141"/>
      <c r="F76" s="383" t="str">
        <f>TERM1!Y75</f>
        <v/>
      </c>
      <c r="G76" s="267"/>
      <c r="H76" s="267"/>
      <c r="I76" s="384"/>
      <c r="J76" s="383" t="str">
        <f>TERM2!Y75</f>
        <v/>
      </c>
      <c r="K76" s="385"/>
      <c r="L76" s="385"/>
      <c r="M76" s="336"/>
      <c r="N76" s="383" t="str">
        <f>TERM3!Y75</f>
        <v/>
      </c>
      <c r="O76" s="385"/>
      <c r="P76" s="385"/>
      <c r="Q76" s="386"/>
      <c r="R76" s="387" t="str">
        <f t="shared" si="0"/>
        <v/>
      </c>
      <c r="S76" s="272"/>
      <c r="T76" s="272"/>
      <c r="U76" s="273"/>
      <c r="V76" s="383" t="str">
        <f t="shared" si="3"/>
        <v/>
      </c>
      <c r="W76" s="272"/>
      <c r="X76" s="272"/>
      <c r="Y76" s="273"/>
      <c r="Z76" s="388" t="str">
        <f t="shared" si="4"/>
        <v/>
      </c>
      <c r="AA76" s="272"/>
      <c r="AB76" s="389"/>
      <c r="AI76" s="137"/>
      <c r="AK76" s="2"/>
      <c r="AN76" s="1"/>
      <c r="AO76" s="1"/>
      <c r="AP76" s="1"/>
      <c r="AQ76" s="1"/>
      <c r="AR76" s="1"/>
      <c r="AS76" s="1"/>
      <c r="AT76" s="1"/>
      <c r="AU76" s="1"/>
      <c r="AV76" s="1"/>
      <c r="AW76" s="1"/>
      <c r="AX76" s="1"/>
      <c r="AY76" s="1"/>
      <c r="AZ76" s="1"/>
      <c r="BA76" s="1"/>
      <c r="BB76" s="1"/>
      <c r="BC76" s="1"/>
    </row>
    <row r="77" spans="1:55" ht="18" customHeight="1" thickBot="1">
      <c r="A77" s="144">
        <f>INPUT!B74</f>
        <v>0</v>
      </c>
      <c r="B77" s="144">
        <f>INPUT!C74</f>
        <v>0</v>
      </c>
      <c r="C77" s="141"/>
      <c r="D77" s="141"/>
      <c r="E77" s="141"/>
      <c r="F77" s="383" t="str">
        <f>TERM1!Y76</f>
        <v/>
      </c>
      <c r="G77" s="267"/>
      <c r="H77" s="267"/>
      <c r="I77" s="384"/>
      <c r="J77" s="383" t="str">
        <f>TERM2!Y76</f>
        <v/>
      </c>
      <c r="K77" s="385"/>
      <c r="L77" s="385"/>
      <c r="M77" s="336"/>
      <c r="N77" s="383" t="str">
        <f>TERM3!Y76</f>
        <v/>
      </c>
      <c r="O77" s="385"/>
      <c r="P77" s="385"/>
      <c r="Q77" s="386"/>
      <c r="R77" s="387" t="str">
        <f t="shared" si="0"/>
        <v/>
      </c>
      <c r="S77" s="272"/>
      <c r="T77" s="272"/>
      <c r="U77" s="273"/>
      <c r="V77" s="383" t="str">
        <f t="shared" si="3"/>
        <v/>
      </c>
      <c r="W77" s="272"/>
      <c r="X77" s="272"/>
      <c r="Y77" s="273"/>
      <c r="Z77" s="388" t="str">
        <f t="shared" si="4"/>
        <v/>
      </c>
      <c r="AA77" s="272"/>
      <c r="AB77" s="389"/>
      <c r="AI77" s="137"/>
      <c r="AK77" s="2"/>
      <c r="AN77" s="1"/>
      <c r="AO77" s="1"/>
      <c r="AP77" s="1"/>
      <c r="AQ77" s="1"/>
      <c r="AR77" s="1"/>
      <c r="AS77" s="1"/>
      <c r="AT77" s="1"/>
      <c r="AU77" s="1"/>
      <c r="AV77" s="1"/>
      <c r="AW77" s="1"/>
      <c r="AX77" s="1"/>
      <c r="AY77" s="1"/>
      <c r="AZ77" s="1"/>
      <c r="BA77" s="1"/>
      <c r="BB77" s="1"/>
      <c r="BC77" s="1"/>
    </row>
    <row r="78" spans="1:55" ht="18" customHeight="1" thickBot="1">
      <c r="A78" s="144">
        <f>INPUT!B75</f>
        <v>0</v>
      </c>
      <c r="B78" s="144">
        <f>INPUT!C75</f>
        <v>0</v>
      </c>
      <c r="C78" s="141"/>
      <c r="D78" s="141"/>
      <c r="E78" s="141"/>
      <c r="F78" s="383" t="str">
        <f>TERM1!Y77</f>
        <v/>
      </c>
      <c r="G78" s="267"/>
      <c r="H78" s="267"/>
      <c r="I78" s="384"/>
      <c r="J78" s="383" t="str">
        <f>TERM2!Y77</f>
        <v/>
      </c>
      <c r="K78" s="385"/>
      <c r="L78" s="385"/>
      <c r="M78" s="336"/>
      <c r="N78" s="383" t="str">
        <f>TERM3!Y77</f>
        <v/>
      </c>
      <c r="O78" s="385"/>
      <c r="P78" s="385"/>
      <c r="Q78" s="386"/>
      <c r="R78" s="387" t="str">
        <f t="shared" si="0"/>
        <v/>
      </c>
      <c r="S78" s="272"/>
      <c r="T78" s="272"/>
      <c r="U78" s="273"/>
      <c r="V78" s="383" t="str">
        <f t="shared" si="3"/>
        <v/>
      </c>
      <c r="W78" s="272"/>
      <c r="X78" s="272"/>
      <c r="Y78" s="273"/>
      <c r="Z78" s="388" t="str">
        <f t="shared" si="4"/>
        <v/>
      </c>
      <c r="AA78" s="272"/>
      <c r="AB78" s="389"/>
      <c r="AI78" s="137"/>
      <c r="AK78" s="2"/>
      <c r="AN78" s="1"/>
      <c r="AO78" s="1"/>
      <c r="AP78" s="1"/>
      <c r="AQ78" s="1"/>
      <c r="AR78" s="1"/>
      <c r="AS78" s="1"/>
      <c r="AT78" s="1"/>
      <c r="AU78" s="1"/>
      <c r="AV78" s="1"/>
      <c r="AW78" s="1"/>
      <c r="AX78" s="1"/>
      <c r="AY78" s="1"/>
      <c r="AZ78" s="1"/>
      <c r="BA78" s="1"/>
      <c r="BB78" s="1"/>
      <c r="BC78" s="1"/>
    </row>
    <row r="79" spans="1:55" ht="18" customHeight="1" thickBot="1">
      <c r="A79" s="144">
        <f>INPUT!B76</f>
        <v>0</v>
      </c>
      <c r="B79" s="144">
        <f>INPUT!C76</f>
        <v>0</v>
      </c>
      <c r="C79" s="141"/>
      <c r="D79" s="141"/>
      <c r="E79" s="141"/>
      <c r="F79" s="383" t="str">
        <f>TERM1!Y78</f>
        <v/>
      </c>
      <c r="G79" s="267"/>
      <c r="H79" s="267"/>
      <c r="I79" s="384"/>
      <c r="J79" s="383" t="str">
        <f>TERM2!Y78</f>
        <v/>
      </c>
      <c r="K79" s="385"/>
      <c r="L79" s="385"/>
      <c r="M79" s="336"/>
      <c r="N79" s="383" t="str">
        <f>TERM3!Y78</f>
        <v/>
      </c>
      <c r="O79" s="385"/>
      <c r="P79" s="385"/>
      <c r="Q79" s="386"/>
      <c r="R79" s="387" t="str">
        <f t="shared" si="0"/>
        <v/>
      </c>
      <c r="S79" s="272"/>
      <c r="T79" s="272"/>
      <c r="U79" s="273"/>
      <c r="V79" s="383" t="str">
        <f t="shared" si="3"/>
        <v/>
      </c>
      <c r="W79" s="272"/>
      <c r="X79" s="272"/>
      <c r="Y79" s="273"/>
      <c r="Z79" s="388" t="str">
        <f t="shared" si="4"/>
        <v/>
      </c>
      <c r="AA79" s="272"/>
      <c r="AB79" s="389"/>
      <c r="AI79" s="137"/>
      <c r="AK79" s="2"/>
      <c r="AN79" s="1"/>
      <c r="AO79" s="1"/>
      <c r="AP79" s="1"/>
      <c r="AQ79" s="1"/>
      <c r="AR79" s="1"/>
      <c r="AS79" s="1"/>
      <c r="AT79" s="1"/>
      <c r="AU79" s="1"/>
      <c r="AV79" s="1"/>
      <c r="AW79" s="1"/>
      <c r="AX79" s="1"/>
      <c r="AY79" s="1"/>
      <c r="AZ79" s="1"/>
      <c r="BA79" s="1"/>
      <c r="BB79" s="1"/>
      <c r="BC79" s="1"/>
    </row>
    <row r="80" spans="1:55" ht="18" customHeight="1" thickBot="1">
      <c r="A80" s="144">
        <f>INPUT!B77</f>
        <v>0</v>
      </c>
      <c r="B80" s="144">
        <f>INPUT!C77</f>
        <v>0</v>
      </c>
      <c r="C80" s="141"/>
      <c r="D80" s="141"/>
      <c r="E80" s="141"/>
      <c r="F80" s="383" t="str">
        <f>TERM1!Y79</f>
        <v/>
      </c>
      <c r="G80" s="267"/>
      <c r="H80" s="267"/>
      <c r="I80" s="384"/>
      <c r="J80" s="383" t="str">
        <f>TERM2!Y79</f>
        <v/>
      </c>
      <c r="K80" s="385"/>
      <c r="L80" s="385"/>
      <c r="M80" s="336"/>
      <c r="N80" s="383" t="str">
        <f>TERM3!Y79</f>
        <v/>
      </c>
      <c r="O80" s="385"/>
      <c r="P80" s="385"/>
      <c r="Q80" s="386"/>
      <c r="R80" s="387" t="str">
        <f t="shared" ref="R80:R115" si="5">IF(OR(F80="",J80="",N80=""),"",IF(ISERROR(ROUND(AVERAGE(F80,J80,N80),0)),"",ROUND(AVERAGE(F80,J80,N80),0)))</f>
        <v/>
      </c>
      <c r="S80" s="272"/>
      <c r="T80" s="272"/>
      <c r="U80" s="273"/>
      <c r="V80" s="383" t="str">
        <f t="shared" si="3"/>
        <v/>
      </c>
      <c r="W80" s="272"/>
      <c r="X80" s="272"/>
      <c r="Y80" s="273"/>
      <c r="Z80" s="388" t="str">
        <f t="shared" si="4"/>
        <v/>
      </c>
      <c r="AA80" s="272"/>
      <c r="AB80" s="389"/>
      <c r="AI80" s="137"/>
      <c r="AK80" s="2"/>
      <c r="AN80" s="1"/>
      <c r="AO80" s="1"/>
      <c r="AP80" s="1"/>
      <c r="AQ80" s="1"/>
      <c r="AR80" s="1"/>
      <c r="AS80" s="1"/>
      <c r="AT80" s="1"/>
      <c r="AU80" s="1"/>
      <c r="AV80" s="1"/>
      <c r="AW80" s="1"/>
      <c r="AX80" s="1"/>
      <c r="AY80" s="1"/>
      <c r="AZ80" s="1"/>
      <c r="BA80" s="1"/>
      <c r="BB80" s="1"/>
      <c r="BC80" s="1"/>
    </row>
    <row r="81" spans="1:55" ht="18" customHeight="1" thickBot="1">
      <c r="A81" s="144">
        <f>INPUT!B78</f>
        <v>0</v>
      </c>
      <c r="B81" s="144">
        <f>INPUT!C78</f>
        <v>0</v>
      </c>
      <c r="C81" s="141"/>
      <c r="D81" s="141"/>
      <c r="E81" s="141"/>
      <c r="F81" s="383" t="str">
        <f>TERM1!Y80</f>
        <v/>
      </c>
      <c r="G81" s="267"/>
      <c r="H81" s="267"/>
      <c r="I81" s="384"/>
      <c r="J81" s="383" t="str">
        <f>TERM2!Y80</f>
        <v/>
      </c>
      <c r="K81" s="385"/>
      <c r="L81" s="385"/>
      <c r="M81" s="336"/>
      <c r="N81" s="383" t="str">
        <f>TERM3!Y80</f>
        <v/>
      </c>
      <c r="O81" s="385"/>
      <c r="P81" s="385"/>
      <c r="Q81" s="386"/>
      <c r="R81" s="387" t="str">
        <f t="shared" si="5"/>
        <v/>
      </c>
      <c r="S81" s="272"/>
      <c r="T81" s="272"/>
      <c r="U81" s="273"/>
      <c r="V81" s="383" t="str">
        <f t="shared" si="3"/>
        <v/>
      </c>
      <c r="W81" s="272"/>
      <c r="X81" s="272"/>
      <c r="Y81" s="273"/>
      <c r="Z81" s="388" t="str">
        <f t="shared" si="4"/>
        <v/>
      </c>
      <c r="AA81" s="272"/>
      <c r="AB81" s="389"/>
      <c r="AI81" s="137"/>
      <c r="AK81" s="2"/>
      <c r="AN81" s="1"/>
      <c r="AO81" s="1"/>
      <c r="AP81" s="1"/>
      <c r="AQ81" s="1"/>
      <c r="AR81" s="1"/>
      <c r="AS81" s="1"/>
      <c r="AT81" s="1"/>
      <c r="AU81" s="1"/>
      <c r="AV81" s="1"/>
      <c r="AW81" s="1"/>
      <c r="AX81" s="1"/>
      <c r="AY81" s="1"/>
      <c r="AZ81" s="1"/>
      <c r="BA81" s="1"/>
      <c r="BB81" s="1"/>
      <c r="BC81" s="1"/>
    </row>
    <row r="82" spans="1:55" ht="18" customHeight="1" thickBot="1">
      <c r="A82" s="144">
        <f>INPUT!B79</f>
        <v>0</v>
      </c>
      <c r="B82" s="144">
        <f>INPUT!C79</f>
        <v>0</v>
      </c>
      <c r="C82" s="141"/>
      <c r="D82" s="141"/>
      <c r="E82" s="141"/>
      <c r="F82" s="383" t="str">
        <f>TERM1!Y81</f>
        <v/>
      </c>
      <c r="G82" s="267"/>
      <c r="H82" s="267"/>
      <c r="I82" s="384"/>
      <c r="J82" s="383" t="str">
        <f>TERM2!Y81</f>
        <v/>
      </c>
      <c r="K82" s="385"/>
      <c r="L82" s="385"/>
      <c r="M82" s="336"/>
      <c r="N82" s="383" t="str">
        <f>TERM3!Y81</f>
        <v/>
      </c>
      <c r="O82" s="385"/>
      <c r="P82" s="385"/>
      <c r="Q82" s="386"/>
      <c r="R82" s="387" t="str">
        <f t="shared" si="5"/>
        <v/>
      </c>
      <c r="S82" s="272"/>
      <c r="T82" s="272"/>
      <c r="U82" s="273"/>
      <c r="V82" s="383" t="str">
        <f t="shared" si="3"/>
        <v/>
      </c>
      <c r="W82" s="272"/>
      <c r="X82" s="272"/>
      <c r="Y82" s="273"/>
      <c r="Z82" s="388" t="str">
        <f t="shared" si="4"/>
        <v/>
      </c>
      <c r="AA82" s="272"/>
      <c r="AB82" s="389"/>
      <c r="AI82" s="137"/>
      <c r="AK82" s="2"/>
      <c r="AN82" s="1"/>
      <c r="AO82" s="1"/>
      <c r="AP82" s="1"/>
      <c r="AQ82" s="1"/>
      <c r="AR82" s="1"/>
      <c r="AS82" s="1"/>
      <c r="AT82" s="1"/>
      <c r="AU82" s="1"/>
      <c r="AV82" s="1"/>
      <c r="AW82" s="1"/>
      <c r="AX82" s="1"/>
      <c r="AY82" s="1"/>
      <c r="AZ82" s="1"/>
      <c r="BA82" s="1"/>
      <c r="BB82" s="1"/>
      <c r="BC82" s="1"/>
    </row>
    <row r="83" spans="1:55" ht="18" customHeight="1" thickBot="1">
      <c r="A83" s="144">
        <f>INPUT!B80</f>
        <v>0</v>
      </c>
      <c r="B83" s="144">
        <f>INPUT!C80</f>
        <v>0</v>
      </c>
      <c r="C83" s="141"/>
      <c r="D83" s="141"/>
      <c r="E83" s="141"/>
      <c r="F83" s="383" t="str">
        <f>TERM1!Y82</f>
        <v/>
      </c>
      <c r="G83" s="267"/>
      <c r="H83" s="267"/>
      <c r="I83" s="384"/>
      <c r="J83" s="383" t="str">
        <f>TERM2!Y82</f>
        <v/>
      </c>
      <c r="K83" s="385"/>
      <c r="L83" s="385"/>
      <c r="M83" s="336"/>
      <c r="N83" s="383" t="str">
        <f>TERM3!Y82</f>
        <v/>
      </c>
      <c r="O83" s="385"/>
      <c r="P83" s="385"/>
      <c r="Q83" s="386"/>
      <c r="R83" s="387" t="str">
        <f t="shared" si="5"/>
        <v/>
      </c>
      <c r="S83" s="272"/>
      <c r="T83" s="272"/>
      <c r="U83" s="273"/>
      <c r="V83" s="383" t="str">
        <f t="shared" si="3"/>
        <v/>
      </c>
      <c r="W83" s="272"/>
      <c r="X83" s="272"/>
      <c r="Y83" s="273"/>
      <c r="Z83" s="388" t="str">
        <f t="shared" si="4"/>
        <v/>
      </c>
      <c r="AA83" s="272"/>
      <c r="AB83" s="389"/>
      <c r="AI83" s="137"/>
      <c r="AK83" s="2"/>
      <c r="AN83" s="1"/>
      <c r="AO83" s="1"/>
      <c r="AP83" s="1"/>
      <c r="AQ83" s="1"/>
      <c r="AR83" s="1"/>
      <c r="AS83" s="1"/>
      <c r="AT83" s="1"/>
      <c r="AU83" s="1"/>
      <c r="AV83" s="1"/>
      <c r="AW83" s="1"/>
      <c r="AX83" s="1"/>
      <c r="AY83" s="1"/>
      <c r="AZ83" s="1"/>
      <c r="BA83" s="1"/>
      <c r="BB83" s="1"/>
      <c r="BC83" s="1"/>
    </row>
    <row r="84" spans="1:55" ht="18" customHeight="1" thickBot="1">
      <c r="A84" s="144">
        <f>INPUT!B81</f>
        <v>0</v>
      </c>
      <c r="B84" s="144">
        <f>INPUT!C81</f>
        <v>0</v>
      </c>
      <c r="C84" s="141"/>
      <c r="D84" s="141"/>
      <c r="E84" s="141"/>
      <c r="F84" s="383" t="str">
        <f>TERM1!Y83</f>
        <v/>
      </c>
      <c r="G84" s="267"/>
      <c r="H84" s="267"/>
      <c r="I84" s="384"/>
      <c r="J84" s="383" t="str">
        <f>TERM2!Y83</f>
        <v/>
      </c>
      <c r="K84" s="385"/>
      <c r="L84" s="385"/>
      <c r="M84" s="336"/>
      <c r="N84" s="383" t="str">
        <f>TERM3!Y83</f>
        <v/>
      </c>
      <c r="O84" s="385"/>
      <c r="P84" s="385"/>
      <c r="Q84" s="386"/>
      <c r="R84" s="387" t="str">
        <f t="shared" si="5"/>
        <v/>
      </c>
      <c r="S84" s="272"/>
      <c r="T84" s="272"/>
      <c r="U84" s="273"/>
      <c r="V84" s="383" t="str">
        <f t="shared" si="3"/>
        <v/>
      </c>
      <c r="W84" s="272"/>
      <c r="X84" s="272"/>
      <c r="Y84" s="273"/>
      <c r="Z84" s="388" t="str">
        <f t="shared" si="4"/>
        <v/>
      </c>
      <c r="AA84" s="272"/>
      <c r="AB84" s="389"/>
      <c r="AI84" s="137"/>
      <c r="AK84" s="2"/>
      <c r="AN84" s="1"/>
      <c r="AO84" s="1"/>
      <c r="AP84" s="1"/>
      <c r="AQ84" s="1"/>
      <c r="AR84" s="1"/>
      <c r="AS84" s="1"/>
      <c r="AT84" s="1"/>
      <c r="AU84" s="1"/>
      <c r="AV84" s="1"/>
      <c r="AW84" s="1"/>
      <c r="AX84" s="1"/>
      <c r="AY84" s="1"/>
      <c r="AZ84" s="1"/>
      <c r="BA84" s="1"/>
      <c r="BB84" s="1"/>
      <c r="BC84" s="1"/>
    </row>
    <row r="85" spans="1:55" ht="18" customHeight="1" thickBot="1">
      <c r="A85" s="144">
        <f>INPUT!B82</f>
        <v>0</v>
      </c>
      <c r="B85" s="144">
        <f>INPUT!C82</f>
        <v>0</v>
      </c>
      <c r="C85" s="141"/>
      <c r="D85" s="141"/>
      <c r="E85" s="141"/>
      <c r="F85" s="383" t="str">
        <f>TERM1!Y84</f>
        <v/>
      </c>
      <c r="G85" s="267"/>
      <c r="H85" s="267"/>
      <c r="I85" s="384"/>
      <c r="J85" s="383" t="str">
        <f>TERM2!Y84</f>
        <v/>
      </c>
      <c r="K85" s="385"/>
      <c r="L85" s="385"/>
      <c r="M85" s="336"/>
      <c r="N85" s="383" t="str">
        <f>TERM3!Y84</f>
        <v/>
      </c>
      <c r="O85" s="385"/>
      <c r="P85" s="385"/>
      <c r="Q85" s="386"/>
      <c r="R85" s="387" t="str">
        <f t="shared" si="5"/>
        <v/>
      </c>
      <c r="S85" s="272"/>
      <c r="T85" s="272"/>
      <c r="U85" s="273"/>
      <c r="V85" s="383" t="str">
        <f t="shared" si="3"/>
        <v/>
      </c>
      <c r="W85" s="272"/>
      <c r="X85" s="272"/>
      <c r="Y85" s="273"/>
      <c r="Z85" s="388" t="str">
        <f t="shared" si="4"/>
        <v/>
      </c>
      <c r="AA85" s="272"/>
      <c r="AB85" s="389"/>
      <c r="AI85" s="137"/>
      <c r="AK85" s="2"/>
      <c r="AN85" s="1"/>
      <c r="AO85" s="1"/>
      <c r="AP85" s="1"/>
      <c r="AQ85" s="1"/>
      <c r="AR85" s="1"/>
      <c r="AS85" s="1"/>
      <c r="AT85" s="1"/>
      <c r="AU85" s="1"/>
      <c r="AV85" s="1"/>
      <c r="AW85" s="1"/>
      <c r="AX85" s="1"/>
      <c r="AY85" s="1"/>
      <c r="AZ85" s="1"/>
      <c r="BA85" s="1"/>
      <c r="BB85" s="1"/>
      <c r="BC85" s="1"/>
    </row>
    <row r="86" spans="1:55" ht="18" customHeight="1" thickBot="1">
      <c r="A86" s="144">
        <f>INPUT!B83</f>
        <v>0</v>
      </c>
      <c r="B86" s="144">
        <f>INPUT!C83</f>
        <v>0</v>
      </c>
      <c r="C86" s="141"/>
      <c r="D86" s="141"/>
      <c r="E86" s="141"/>
      <c r="F86" s="383" t="str">
        <f>TERM1!Y85</f>
        <v/>
      </c>
      <c r="G86" s="267"/>
      <c r="H86" s="267"/>
      <c r="I86" s="384"/>
      <c r="J86" s="383" t="str">
        <f>TERM2!Y85</f>
        <v/>
      </c>
      <c r="K86" s="385"/>
      <c r="L86" s="385"/>
      <c r="M86" s="336"/>
      <c r="N86" s="383" t="str">
        <f>TERM3!Y85</f>
        <v/>
      </c>
      <c r="O86" s="385"/>
      <c r="P86" s="385"/>
      <c r="Q86" s="386"/>
      <c r="R86" s="387" t="str">
        <f t="shared" si="5"/>
        <v/>
      </c>
      <c r="S86" s="272"/>
      <c r="T86" s="272"/>
      <c r="U86" s="273"/>
      <c r="V86" s="383" t="str">
        <f t="shared" si="3"/>
        <v/>
      </c>
      <c r="W86" s="272"/>
      <c r="X86" s="272"/>
      <c r="Y86" s="273"/>
      <c r="Z86" s="388" t="str">
        <f t="shared" si="4"/>
        <v/>
      </c>
      <c r="AA86" s="272"/>
      <c r="AB86" s="389"/>
      <c r="AI86" s="137"/>
      <c r="AK86" s="2"/>
      <c r="AN86" s="1"/>
      <c r="AO86" s="1"/>
      <c r="AP86" s="1"/>
      <c r="AQ86" s="1"/>
      <c r="AR86" s="1"/>
      <c r="AS86" s="1"/>
      <c r="AT86" s="1"/>
      <c r="AU86" s="1"/>
      <c r="AV86" s="1"/>
      <c r="AW86" s="1"/>
      <c r="AX86" s="1"/>
      <c r="AY86" s="1"/>
      <c r="AZ86" s="1"/>
      <c r="BA86" s="1"/>
      <c r="BB86" s="1"/>
      <c r="BC86" s="1"/>
    </row>
    <row r="87" spans="1:55" ht="18" customHeight="1" thickBot="1">
      <c r="A87" s="144">
        <f>INPUT!B84</f>
        <v>0</v>
      </c>
      <c r="B87" s="144">
        <f>INPUT!C84</f>
        <v>0</v>
      </c>
      <c r="C87" s="141"/>
      <c r="D87" s="141"/>
      <c r="E87" s="141"/>
      <c r="F87" s="383" t="str">
        <f>TERM1!Y86</f>
        <v/>
      </c>
      <c r="G87" s="267"/>
      <c r="H87" s="267"/>
      <c r="I87" s="384"/>
      <c r="J87" s="383" t="str">
        <f>TERM2!Y86</f>
        <v/>
      </c>
      <c r="K87" s="385"/>
      <c r="L87" s="385"/>
      <c r="M87" s="336"/>
      <c r="N87" s="383" t="str">
        <f>TERM3!Y86</f>
        <v/>
      </c>
      <c r="O87" s="385"/>
      <c r="P87" s="385"/>
      <c r="Q87" s="386"/>
      <c r="R87" s="387" t="str">
        <f t="shared" si="5"/>
        <v/>
      </c>
      <c r="S87" s="272"/>
      <c r="T87" s="272"/>
      <c r="U87" s="273"/>
      <c r="V87" s="383" t="str">
        <f t="shared" si="3"/>
        <v/>
      </c>
      <c r="W87" s="272"/>
      <c r="X87" s="272"/>
      <c r="Y87" s="273"/>
      <c r="Z87" s="388" t="str">
        <f t="shared" si="4"/>
        <v/>
      </c>
      <c r="AA87" s="272"/>
      <c r="AB87" s="389"/>
      <c r="AI87" s="137"/>
      <c r="AK87" s="2"/>
      <c r="AN87" s="1"/>
      <c r="AO87" s="1"/>
      <c r="AP87" s="1"/>
      <c r="AQ87" s="1"/>
      <c r="AR87" s="1"/>
      <c r="AS87" s="1"/>
      <c r="AT87" s="1"/>
      <c r="AU87" s="1"/>
      <c r="AV87" s="1"/>
      <c r="AW87" s="1"/>
      <c r="AX87" s="1"/>
      <c r="AY87" s="1"/>
      <c r="AZ87" s="1"/>
      <c r="BA87" s="1"/>
      <c r="BB87" s="1"/>
      <c r="BC87" s="1"/>
    </row>
    <row r="88" spans="1:55" ht="18" customHeight="1" thickBot="1">
      <c r="A88" s="144">
        <f>INPUT!B85</f>
        <v>0</v>
      </c>
      <c r="B88" s="144">
        <f>INPUT!C85</f>
        <v>0</v>
      </c>
      <c r="C88" s="141"/>
      <c r="D88" s="141"/>
      <c r="E88" s="141"/>
      <c r="F88" s="383" t="str">
        <f>TERM1!Y87</f>
        <v/>
      </c>
      <c r="G88" s="267"/>
      <c r="H88" s="267"/>
      <c r="I88" s="384"/>
      <c r="J88" s="383" t="str">
        <f>TERM2!Y87</f>
        <v/>
      </c>
      <c r="K88" s="385"/>
      <c r="L88" s="385"/>
      <c r="M88" s="336"/>
      <c r="N88" s="383" t="str">
        <f>TERM3!Y87</f>
        <v/>
      </c>
      <c r="O88" s="385"/>
      <c r="P88" s="385"/>
      <c r="Q88" s="386"/>
      <c r="R88" s="387" t="str">
        <f t="shared" si="5"/>
        <v/>
      </c>
      <c r="S88" s="272"/>
      <c r="T88" s="272"/>
      <c r="U88" s="273"/>
      <c r="V88" s="383" t="str">
        <f t="shared" si="3"/>
        <v/>
      </c>
      <c r="W88" s="272"/>
      <c r="X88" s="272"/>
      <c r="Y88" s="273"/>
      <c r="Z88" s="388" t="str">
        <f t="shared" si="4"/>
        <v/>
      </c>
      <c r="AA88" s="272"/>
      <c r="AB88" s="389"/>
      <c r="AI88" s="137"/>
      <c r="AK88" s="2"/>
      <c r="AN88" s="1"/>
      <c r="AO88" s="1"/>
      <c r="AP88" s="1"/>
      <c r="AQ88" s="1"/>
      <c r="AR88" s="1"/>
      <c r="AS88" s="1"/>
      <c r="AT88" s="1"/>
      <c r="AU88" s="1"/>
      <c r="AV88" s="1"/>
      <c r="AW88" s="1"/>
      <c r="AX88" s="1"/>
      <c r="AY88" s="1"/>
      <c r="AZ88" s="1"/>
      <c r="BA88" s="1"/>
      <c r="BB88" s="1"/>
      <c r="BC88" s="1"/>
    </row>
    <row r="89" spans="1:55" ht="18" customHeight="1" thickBot="1">
      <c r="A89" s="144">
        <f>INPUT!B86</f>
        <v>0</v>
      </c>
      <c r="B89" s="144">
        <f>INPUT!C86</f>
        <v>0</v>
      </c>
      <c r="C89" s="141"/>
      <c r="D89" s="141"/>
      <c r="E89" s="141"/>
      <c r="F89" s="383" t="str">
        <f>TERM1!Y88</f>
        <v/>
      </c>
      <c r="G89" s="267"/>
      <c r="H89" s="267"/>
      <c r="I89" s="384"/>
      <c r="J89" s="383" t="str">
        <f>TERM2!Y88</f>
        <v/>
      </c>
      <c r="K89" s="385"/>
      <c r="L89" s="385"/>
      <c r="M89" s="336"/>
      <c r="N89" s="383" t="str">
        <f>TERM3!Y88</f>
        <v/>
      </c>
      <c r="O89" s="385"/>
      <c r="P89" s="385"/>
      <c r="Q89" s="386"/>
      <c r="R89" s="387" t="str">
        <f t="shared" si="5"/>
        <v/>
      </c>
      <c r="S89" s="272"/>
      <c r="T89" s="272"/>
      <c r="U89" s="273"/>
      <c r="V89" s="383" t="str">
        <f t="shared" si="3"/>
        <v/>
      </c>
      <c r="W89" s="272"/>
      <c r="X89" s="272"/>
      <c r="Y89" s="273"/>
      <c r="Z89" s="388" t="str">
        <f t="shared" si="4"/>
        <v/>
      </c>
      <c r="AA89" s="272"/>
      <c r="AB89" s="389"/>
      <c r="AI89" s="137"/>
      <c r="AK89" s="2"/>
      <c r="AN89" s="1"/>
      <c r="AO89" s="1"/>
      <c r="AP89" s="1"/>
      <c r="AQ89" s="1"/>
      <c r="AR89" s="1"/>
      <c r="AS89" s="1"/>
      <c r="AT89" s="1"/>
      <c r="AU89" s="1"/>
      <c r="AV89" s="1"/>
      <c r="AW89" s="1"/>
      <c r="AX89" s="1"/>
      <c r="AY89" s="1"/>
      <c r="AZ89" s="1"/>
      <c r="BA89" s="1"/>
      <c r="BB89" s="1"/>
      <c r="BC89" s="1"/>
    </row>
    <row r="90" spans="1:55" ht="18" customHeight="1" thickBot="1">
      <c r="A90" s="144">
        <f>INPUT!B87</f>
        <v>0</v>
      </c>
      <c r="B90" s="144">
        <f>INPUT!C87</f>
        <v>0</v>
      </c>
      <c r="C90" s="141"/>
      <c r="D90" s="141"/>
      <c r="E90" s="141"/>
      <c r="F90" s="383" t="str">
        <f>TERM1!Y89</f>
        <v/>
      </c>
      <c r="G90" s="267"/>
      <c r="H90" s="267"/>
      <c r="I90" s="384"/>
      <c r="J90" s="383" t="str">
        <f>TERM2!Y89</f>
        <v/>
      </c>
      <c r="K90" s="385"/>
      <c r="L90" s="385"/>
      <c r="M90" s="336"/>
      <c r="N90" s="383" t="str">
        <f>TERM3!Y89</f>
        <v/>
      </c>
      <c r="O90" s="385"/>
      <c r="P90" s="385"/>
      <c r="Q90" s="386"/>
      <c r="R90" s="387" t="str">
        <f t="shared" si="5"/>
        <v/>
      </c>
      <c r="S90" s="272"/>
      <c r="T90" s="272"/>
      <c r="U90" s="273"/>
      <c r="V90" s="383" t="str">
        <f t="shared" si="3"/>
        <v/>
      </c>
      <c r="W90" s="272"/>
      <c r="X90" s="272"/>
      <c r="Y90" s="273"/>
      <c r="Z90" s="388" t="str">
        <f t="shared" si="4"/>
        <v/>
      </c>
      <c r="AA90" s="272"/>
      <c r="AB90" s="389"/>
      <c r="AI90" s="137"/>
      <c r="AK90" s="2"/>
      <c r="AN90" s="1"/>
      <c r="AO90" s="1"/>
      <c r="AP90" s="1"/>
      <c r="AQ90" s="1"/>
      <c r="AR90" s="1"/>
      <c r="AS90" s="1"/>
      <c r="AT90" s="1"/>
      <c r="AU90" s="1"/>
      <c r="AV90" s="1"/>
      <c r="AW90" s="1"/>
      <c r="AX90" s="1"/>
      <c r="AY90" s="1"/>
      <c r="AZ90" s="1"/>
      <c r="BA90" s="1"/>
      <c r="BB90" s="1"/>
      <c r="BC90" s="1"/>
    </row>
    <row r="91" spans="1:55" ht="18" customHeight="1" thickBot="1">
      <c r="A91" s="144">
        <f>INPUT!B88</f>
        <v>0</v>
      </c>
      <c r="B91" s="144">
        <f>INPUT!C88</f>
        <v>0</v>
      </c>
      <c r="C91" s="141"/>
      <c r="D91" s="141"/>
      <c r="E91" s="141"/>
      <c r="F91" s="383" t="str">
        <f>TERM1!Y90</f>
        <v/>
      </c>
      <c r="G91" s="267"/>
      <c r="H91" s="267"/>
      <c r="I91" s="384"/>
      <c r="J91" s="383" t="str">
        <f>TERM2!Y90</f>
        <v/>
      </c>
      <c r="K91" s="385"/>
      <c r="L91" s="385"/>
      <c r="M91" s="336"/>
      <c r="N91" s="383" t="str">
        <f>TERM3!Y90</f>
        <v/>
      </c>
      <c r="O91" s="385"/>
      <c r="P91" s="385"/>
      <c r="Q91" s="386"/>
      <c r="R91" s="387" t="str">
        <f t="shared" si="5"/>
        <v/>
      </c>
      <c r="S91" s="272"/>
      <c r="T91" s="272"/>
      <c r="U91" s="273"/>
      <c r="V91" s="383" t="str">
        <f t="shared" si="3"/>
        <v/>
      </c>
      <c r="W91" s="272"/>
      <c r="X91" s="272"/>
      <c r="Y91" s="273"/>
      <c r="Z91" s="388" t="str">
        <f t="shared" si="4"/>
        <v/>
      </c>
      <c r="AA91" s="272"/>
      <c r="AB91" s="389"/>
      <c r="AI91" s="137"/>
      <c r="AK91" s="2"/>
      <c r="AN91" s="1"/>
      <c r="AO91" s="1"/>
      <c r="AP91" s="1"/>
      <c r="AQ91" s="1"/>
      <c r="AR91" s="1"/>
      <c r="AS91" s="1"/>
      <c r="AT91" s="1"/>
      <c r="AU91" s="1"/>
      <c r="AV91" s="1"/>
      <c r="AW91" s="1"/>
      <c r="AX91" s="1"/>
      <c r="AY91" s="1"/>
      <c r="AZ91" s="1"/>
      <c r="BA91" s="1"/>
      <c r="BB91" s="1"/>
      <c r="BC91" s="1"/>
    </row>
    <row r="92" spans="1:55" ht="18" customHeight="1" thickBot="1">
      <c r="A92" s="144">
        <f>INPUT!B89</f>
        <v>0</v>
      </c>
      <c r="B92" s="144">
        <f>INPUT!C89</f>
        <v>0</v>
      </c>
      <c r="C92" s="141"/>
      <c r="D92" s="141"/>
      <c r="E92" s="141"/>
      <c r="F92" s="383" t="str">
        <f>TERM1!Y91</f>
        <v/>
      </c>
      <c r="G92" s="267"/>
      <c r="H92" s="267"/>
      <c r="I92" s="384"/>
      <c r="J92" s="383" t="str">
        <f>TERM2!Y91</f>
        <v/>
      </c>
      <c r="K92" s="385"/>
      <c r="L92" s="385"/>
      <c r="M92" s="336"/>
      <c r="N92" s="383" t="str">
        <f>TERM3!Y91</f>
        <v/>
      </c>
      <c r="O92" s="385"/>
      <c r="P92" s="385"/>
      <c r="Q92" s="386"/>
      <c r="R92" s="387" t="str">
        <f t="shared" si="5"/>
        <v/>
      </c>
      <c r="S92" s="272"/>
      <c r="T92" s="272"/>
      <c r="U92" s="273"/>
      <c r="V92" s="383" t="str">
        <f t="shared" si="3"/>
        <v/>
      </c>
      <c r="W92" s="272"/>
      <c r="X92" s="272"/>
      <c r="Y92" s="273"/>
      <c r="Z92" s="388" t="str">
        <f t="shared" si="4"/>
        <v/>
      </c>
      <c r="AA92" s="272"/>
      <c r="AB92" s="389"/>
      <c r="AI92" s="137"/>
      <c r="AK92" s="2"/>
      <c r="AN92" s="1"/>
      <c r="AO92" s="1"/>
      <c r="AP92" s="1"/>
      <c r="AQ92" s="1"/>
      <c r="AR92" s="1"/>
      <c r="AS92" s="1"/>
      <c r="AT92" s="1"/>
      <c r="AU92" s="1"/>
      <c r="AV92" s="1"/>
      <c r="AW92" s="1"/>
      <c r="AX92" s="1"/>
      <c r="AY92" s="1"/>
      <c r="AZ92" s="1"/>
      <c r="BA92" s="1"/>
      <c r="BB92" s="1"/>
      <c r="BC92" s="1"/>
    </row>
    <row r="93" spans="1:55" ht="18" customHeight="1" thickBot="1">
      <c r="A93" s="144">
        <f>INPUT!B90</f>
        <v>0</v>
      </c>
      <c r="B93" s="144">
        <f>INPUT!C90</f>
        <v>0</v>
      </c>
      <c r="C93" s="141"/>
      <c r="D93" s="141"/>
      <c r="E93" s="141"/>
      <c r="F93" s="383" t="str">
        <f>TERM1!Y92</f>
        <v/>
      </c>
      <c r="G93" s="267"/>
      <c r="H93" s="267"/>
      <c r="I93" s="384"/>
      <c r="J93" s="383" t="str">
        <f>TERM2!Y92</f>
        <v/>
      </c>
      <c r="K93" s="385"/>
      <c r="L93" s="385"/>
      <c r="M93" s="336"/>
      <c r="N93" s="383" t="str">
        <f>TERM3!Y92</f>
        <v/>
      </c>
      <c r="O93" s="385"/>
      <c r="P93" s="385"/>
      <c r="Q93" s="386"/>
      <c r="R93" s="387" t="str">
        <f t="shared" si="5"/>
        <v/>
      </c>
      <c r="S93" s="272"/>
      <c r="T93" s="272"/>
      <c r="U93" s="273"/>
      <c r="V93" s="383" t="str">
        <f t="shared" si="3"/>
        <v/>
      </c>
      <c r="W93" s="272"/>
      <c r="X93" s="272"/>
      <c r="Y93" s="273"/>
      <c r="Z93" s="388" t="str">
        <f t="shared" si="4"/>
        <v/>
      </c>
      <c r="AA93" s="272"/>
      <c r="AB93" s="389"/>
      <c r="AI93" s="137"/>
      <c r="AK93" s="2"/>
      <c r="AN93" s="1"/>
      <c r="AO93" s="1"/>
      <c r="AP93" s="1"/>
      <c r="AQ93" s="1"/>
      <c r="AR93" s="1"/>
      <c r="AS93" s="1"/>
      <c r="AT93" s="1"/>
      <c r="AU93" s="1"/>
      <c r="AV93" s="1"/>
      <c r="AW93" s="1"/>
      <c r="AX93" s="1"/>
      <c r="AY93" s="1"/>
      <c r="AZ93" s="1"/>
      <c r="BA93" s="1"/>
      <c r="BB93" s="1"/>
      <c r="BC93" s="1"/>
    </row>
    <row r="94" spans="1:55" ht="18" customHeight="1" thickBot="1">
      <c r="A94" s="144">
        <f>INPUT!B91</f>
        <v>0</v>
      </c>
      <c r="B94" s="144">
        <f>INPUT!C91</f>
        <v>0</v>
      </c>
      <c r="C94" s="141"/>
      <c r="D94" s="141"/>
      <c r="E94" s="141"/>
      <c r="F94" s="383" t="str">
        <f>TERM1!Y93</f>
        <v/>
      </c>
      <c r="G94" s="267"/>
      <c r="H94" s="267"/>
      <c r="I94" s="384"/>
      <c r="J94" s="383" t="str">
        <f>TERM2!Y93</f>
        <v/>
      </c>
      <c r="K94" s="385"/>
      <c r="L94" s="385"/>
      <c r="M94" s="336"/>
      <c r="N94" s="383" t="str">
        <f>TERM3!Y93</f>
        <v/>
      </c>
      <c r="O94" s="385"/>
      <c r="P94" s="385"/>
      <c r="Q94" s="386"/>
      <c r="R94" s="387" t="str">
        <f t="shared" si="5"/>
        <v/>
      </c>
      <c r="S94" s="272"/>
      <c r="T94" s="272"/>
      <c r="U94" s="273"/>
      <c r="V94" s="383" t="str">
        <f t="shared" si="3"/>
        <v/>
      </c>
      <c r="W94" s="272"/>
      <c r="X94" s="272"/>
      <c r="Y94" s="273"/>
      <c r="Z94" s="388" t="str">
        <f t="shared" si="4"/>
        <v/>
      </c>
      <c r="AA94" s="272"/>
      <c r="AB94" s="389"/>
      <c r="AI94" s="137"/>
      <c r="AK94" s="2"/>
      <c r="AN94" s="1"/>
      <c r="AO94" s="1"/>
      <c r="AP94" s="1"/>
      <c r="AQ94" s="1"/>
      <c r="AR94" s="1"/>
      <c r="AS94" s="1"/>
      <c r="AT94" s="1"/>
      <c r="AU94" s="1"/>
      <c r="AV94" s="1"/>
      <c r="AW94" s="1"/>
      <c r="AX94" s="1"/>
      <c r="AY94" s="1"/>
      <c r="AZ94" s="1"/>
      <c r="BA94" s="1"/>
      <c r="BB94" s="1"/>
      <c r="BC94" s="1"/>
    </row>
    <row r="95" spans="1:55" ht="18" customHeight="1" thickBot="1">
      <c r="A95" s="144">
        <f>INPUT!B92</f>
        <v>0</v>
      </c>
      <c r="B95" s="144">
        <f>INPUT!C92</f>
        <v>0</v>
      </c>
      <c r="C95" s="141"/>
      <c r="D95" s="141"/>
      <c r="E95" s="141"/>
      <c r="F95" s="383" t="str">
        <f>TERM1!Y94</f>
        <v/>
      </c>
      <c r="G95" s="267"/>
      <c r="H95" s="267"/>
      <c r="I95" s="384"/>
      <c r="J95" s="383" t="str">
        <f>TERM2!Y94</f>
        <v/>
      </c>
      <c r="K95" s="385"/>
      <c r="L95" s="385"/>
      <c r="M95" s="336"/>
      <c r="N95" s="383" t="str">
        <f>TERM3!Y94</f>
        <v/>
      </c>
      <c r="O95" s="385"/>
      <c r="P95" s="385"/>
      <c r="Q95" s="386"/>
      <c r="R95" s="387" t="str">
        <f t="shared" si="5"/>
        <v/>
      </c>
      <c r="S95" s="272"/>
      <c r="T95" s="272"/>
      <c r="U95" s="273"/>
      <c r="V95" s="383" t="str">
        <f t="shared" si="3"/>
        <v/>
      </c>
      <c r="W95" s="272"/>
      <c r="X95" s="272"/>
      <c r="Y95" s="273"/>
      <c r="Z95" s="388" t="str">
        <f t="shared" si="4"/>
        <v/>
      </c>
      <c r="AA95" s="272"/>
      <c r="AB95" s="389"/>
      <c r="AI95" s="137"/>
      <c r="AK95" s="2"/>
      <c r="AN95" s="1"/>
      <c r="AO95" s="1"/>
      <c r="AP95" s="1"/>
      <c r="AQ95" s="1"/>
      <c r="AR95" s="1"/>
      <c r="AS95" s="1"/>
      <c r="AT95" s="1"/>
      <c r="AU95" s="1"/>
      <c r="AV95" s="1"/>
      <c r="AW95" s="1"/>
      <c r="AX95" s="1"/>
      <c r="AY95" s="1"/>
      <c r="AZ95" s="1"/>
      <c r="BA95" s="1"/>
      <c r="BB95" s="1"/>
      <c r="BC95" s="1"/>
    </row>
    <row r="96" spans="1:55" ht="18" customHeight="1" thickBot="1">
      <c r="A96" s="144">
        <f>INPUT!B93</f>
        <v>0</v>
      </c>
      <c r="B96" s="144">
        <f>INPUT!C93</f>
        <v>0</v>
      </c>
      <c r="C96" s="141"/>
      <c r="D96" s="141"/>
      <c r="E96" s="141"/>
      <c r="F96" s="383" t="str">
        <f>TERM1!Y95</f>
        <v/>
      </c>
      <c r="G96" s="267"/>
      <c r="H96" s="267"/>
      <c r="I96" s="384"/>
      <c r="J96" s="383" t="str">
        <f>TERM2!Y95</f>
        <v/>
      </c>
      <c r="K96" s="385"/>
      <c r="L96" s="385"/>
      <c r="M96" s="336"/>
      <c r="N96" s="383" t="str">
        <f>TERM3!Y95</f>
        <v/>
      </c>
      <c r="O96" s="385"/>
      <c r="P96" s="385"/>
      <c r="Q96" s="386"/>
      <c r="R96" s="387" t="str">
        <f t="shared" si="5"/>
        <v/>
      </c>
      <c r="S96" s="272"/>
      <c r="T96" s="272"/>
      <c r="U96" s="273"/>
      <c r="V96" s="383" t="str">
        <f t="shared" si="3"/>
        <v/>
      </c>
      <c r="W96" s="272"/>
      <c r="X96" s="272"/>
      <c r="Y96" s="273"/>
      <c r="Z96" s="388" t="str">
        <f t="shared" si="4"/>
        <v/>
      </c>
      <c r="AA96" s="272"/>
      <c r="AB96" s="389"/>
      <c r="AI96" s="137"/>
      <c r="AK96" s="2"/>
      <c r="AN96" s="1"/>
      <c r="AO96" s="1"/>
      <c r="AP96" s="1"/>
      <c r="AQ96" s="1"/>
      <c r="AR96" s="1"/>
      <c r="AS96" s="1"/>
      <c r="AT96" s="1"/>
      <c r="AU96" s="1"/>
      <c r="AV96" s="1"/>
      <c r="AW96" s="1"/>
      <c r="AX96" s="1"/>
      <c r="AY96" s="1"/>
      <c r="AZ96" s="1"/>
      <c r="BA96" s="1"/>
      <c r="BB96" s="1"/>
      <c r="BC96" s="1"/>
    </row>
    <row r="97" spans="1:55" ht="18" customHeight="1" thickBot="1">
      <c r="A97" s="144">
        <f>INPUT!B94</f>
        <v>0</v>
      </c>
      <c r="B97" s="144">
        <f>INPUT!C94</f>
        <v>0</v>
      </c>
      <c r="C97" s="141"/>
      <c r="D97" s="141"/>
      <c r="E97" s="141"/>
      <c r="F97" s="383" t="str">
        <f>TERM1!Y96</f>
        <v/>
      </c>
      <c r="G97" s="267"/>
      <c r="H97" s="267"/>
      <c r="I97" s="384"/>
      <c r="J97" s="383" t="str">
        <f>TERM2!Y96</f>
        <v/>
      </c>
      <c r="K97" s="385"/>
      <c r="L97" s="385"/>
      <c r="M97" s="336"/>
      <c r="N97" s="383" t="str">
        <f>TERM3!Y96</f>
        <v/>
      </c>
      <c r="O97" s="385"/>
      <c r="P97" s="385"/>
      <c r="Q97" s="386"/>
      <c r="R97" s="387" t="str">
        <f t="shared" si="5"/>
        <v/>
      </c>
      <c r="S97" s="272"/>
      <c r="T97" s="272"/>
      <c r="U97" s="273"/>
      <c r="V97" s="383" t="str">
        <f t="shared" si="3"/>
        <v/>
      </c>
      <c r="W97" s="272"/>
      <c r="X97" s="272"/>
      <c r="Y97" s="273"/>
      <c r="Z97" s="388" t="str">
        <f t="shared" si="4"/>
        <v/>
      </c>
      <c r="AA97" s="272"/>
      <c r="AB97" s="389"/>
      <c r="AI97" s="137"/>
      <c r="AK97" s="2"/>
      <c r="AN97" s="1"/>
      <c r="AO97" s="1"/>
      <c r="AP97" s="1"/>
      <c r="AQ97" s="1"/>
      <c r="AR97" s="1"/>
      <c r="AS97" s="1"/>
      <c r="AT97" s="1"/>
      <c r="AU97" s="1"/>
      <c r="AV97" s="1"/>
      <c r="AW97" s="1"/>
      <c r="AX97" s="1"/>
      <c r="AY97" s="1"/>
      <c r="AZ97" s="1"/>
      <c r="BA97" s="1"/>
      <c r="BB97" s="1"/>
      <c r="BC97" s="1"/>
    </row>
    <row r="98" spans="1:55" ht="18" customHeight="1" thickBot="1">
      <c r="A98" s="144">
        <f>INPUT!B95</f>
        <v>0</v>
      </c>
      <c r="B98" s="144">
        <f>INPUT!C95</f>
        <v>0</v>
      </c>
      <c r="C98" s="141"/>
      <c r="D98" s="141"/>
      <c r="E98" s="141"/>
      <c r="F98" s="383" t="str">
        <f>TERM1!Y97</f>
        <v/>
      </c>
      <c r="G98" s="267"/>
      <c r="H98" s="267"/>
      <c r="I98" s="384"/>
      <c r="J98" s="383" t="str">
        <f>TERM2!Y97</f>
        <v/>
      </c>
      <c r="K98" s="385"/>
      <c r="L98" s="385"/>
      <c r="M98" s="336"/>
      <c r="N98" s="383" t="str">
        <f>TERM3!Y97</f>
        <v/>
      </c>
      <c r="O98" s="385"/>
      <c r="P98" s="385"/>
      <c r="Q98" s="386"/>
      <c r="R98" s="387" t="str">
        <f t="shared" si="5"/>
        <v/>
      </c>
      <c r="S98" s="272"/>
      <c r="T98" s="272"/>
      <c r="U98" s="273"/>
      <c r="V98" s="383" t="str">
        <f t="shared" si="3"/>
        <v/>
      </c>
      <c r="W98" s="272"/>
      <c r="X98" s="272"/>
      <c r="Y98" s="273"/>
      <c r="Z98" s="388" t="str">
        <f t="shared" si="4"/>
        <v/>
      </c>
      <c r="AA98" s="272"/>
      <c r="AB98" s="389"/>
      <c r="AI98" s="137"/>
      <c r="AK98" s="2"/>
      <c r="AN98" s="1"/>
      <c r="AO98" s="1"/>
      <c r="AP98" s="1"/>
      <c r="AQ98" s="1"/>
      <c r="AR98" s="1"/>
      <c r="AS98" s="1"/>
      <c r="AT98" s="1"/>
      <c r="AU98" s="1"/>
      <c r="AV98" s="1"/>
      <c r="AW98" s="1"/>
      <c r="AX98" s="1"/>
      <c r="AY98" s="1"/>
      <c r="AZ98" s="1"/>
      <c r="BA98" s="1"/>
      <c r="BB98" s="1"/>
      <c r="BC98" s="1"/>
    </row>
    <row r="99" spans="1:55" ht="18" customHeight="1" thickBot="1">
      <c r="A99" s="144">
        <f>INPUT!B96</f>
        <v>0</v>
      </c>
      <c r="B99" s="144">
        <f>INPUT!C96</f>
        <v>0</v>
      </c>
      <c r="C99" s="141"/>
      <c r="D99" s="141"/>
      <c r="E99" s="141"/>
      <c r="F99" s="383" t="str">
        <f>TERM1!Y98</f>
        <v/>
      </c>
      <c r="G99" s="267"/>
      <c r="H99" s="267"/>
      <c r="I99" s="384"/>
      <c r="J99" s="383" t="str">
        <f>TERM2!Y98</f>
        <v/>
      </c>
      <c r="K99" s="385"/>
      <c r="L99" s="385"/>
      <c r="M99" s="336"/>
      <c r="N99" s="383" t="str">
        <f>TERM3!Y98</f>
        <v/>
      </c>
      <c r="O99" s="385"/>
      <c r="P99" s="385"/>
      <c r="Q99" s="386"/>
      <c r="R99" s="387" t="str">
        <f t="shared" si="5"/>
        <v/>
      </c>
      <c r="S99" s="272"/>
      <c r="T99" s="272"/>
      <c r="U99" s="273"/>
      <c r="V99" s="383" t="str">
        <f t="shared" si="3"/>
        <v/>
      </c>
      <c r="W99" s="272"/>
      <c r="X99" s="272"/>
      <c r="Y99" s="273"/>
      <c r="Z99" s="388" t="str">
        <f t="shared" si="4"/>
        <v/>
      </c>
      <c r="AA99" s="272"/>
      <c r="AB99" s="389"/>
      <c r="AI99" s="137"/>
      <c r="AK99" s="2"/>
      <c r="AN99" s="1"/>
      <c r="AO99" s="1"/>
      <c r="AP99" s="1"/>
      <c r="AQ99" s="1"/>
      <c r="AR99" s="1"/>
      <c r="AS99" s="1"/>
      <c r="AT99" s="1"/>
      <c r="AU99" s="1"/>
      <c r="AV99" s="1"/>
      <c r="AW99" s="1"/>
      <c r="AX99" s="1"/>
      <c r="AY99" s="1"/>
      <c r="AZ99" s="1"/>
      <c r="BA99" s="1"/>
      <c r="BB99" s="1"/>
      <c r="BC99" s="1"/>
    </row>
    <row r="100" spans="1:55" ht="18" customHeight="1" thickBot="1">
      <c r="A100" s="144">
        <f>INPUT!B97</f>
        <v>0</v>
      </c>
      <c r="B100" s="144">
        <f>INPUT!C97</f>
        <v>0</v>
      </c>
      <c r="C100" s="141"/>
      <c r="D100" s="141"/>
      <c r="E100" s="141"/>
      <c r="F100" s="383" t="str">
        <f>TERM1!Y99</f>
        <v/>
      </c>
      <c r="G100" s="267"/>
      <c r="H100" s="267"/>
      <c r="I100" s="384"/>
      <c r="J100" s="383" t="str">
        <f>TERM2!Y99</f>
        <v/>
      </c>
      <c r="K100" s="385"/>
      <c r="L100" s="385"/>
      <c r="M100" s="336"/>
      <c r="N100" s="383" t="str">
        <f>TERM3!Y99</f>
        <v/>
      </c>
      <c r="O100" s="385"/>
      <c r="P100" s="385"/>
      <c r="Q100" s="386"/>
      <c r="R100" s="387" t="str">
        <f t="shared" si="5"/>
        <v/>
      </c>
      <c r="S100" s="272"/>
      <c r="T100" s="272"/>
      <c r="U100" s="273"/>
      <c r="V100" s="383" t="str">
        <f t="shared" si="3"/>
        <v/>
      </c>
      <c r="W100" s="272"/>
      <c r="X100" s="272"/>
      <c r="Y100" s="273"/>
      <c r="Z100" s="388" t="str">
        <f t="shared" si="4"/>
        <v/>
      </c>
      <c r="AA100" s="272"/>
      <c r="AB100" s="389"/>
      <c r="AI100" s="137"/>
      <c r="AK100" s="2"/>
      <c r="AN100" s="1"/>
      <c r="AO100" s="1"/>
      <c r="AP100" s="1"/>
      <c r="AQ100" s="1"/>
      <c r="AR100" s="1"/>
      <c r="AS100" s="1"/>
      <c r="AT100" s="1"/>
      <c r="AU100" s="1"/>
      <c r="AV100" s="1"/>
      <c r="AW100" s="1"/>
      <c r="AX100" s="1"/>
      <c r="AY100" s="1"/>
      <c r="AZ100" s="1"/>
      <c r="BA100" s="1"/>
      <c r="BB100" s="1"/>
      <c r="BC100" s="1"/>
    </row>
    <row r="101" spans="1:55" ht="18" customHeight="1" thickBot="1">
      <c r="A101" s="144">
        <f>INPUT!B98</f>
        <v>0</v>
      </c>
      <c r="B101" s="144">
        <f>INPUT!C98</f>
        <v>0</v>
      </c>
      <c r="C101" s="141"/>
      <c r="D101" s="141"/>
      <c r="E101" s="141"/>
      <c r="F101" s="383" t="str">
        <f>TERM1!Y100</f>
        <v/>
      </c>
      <c r="G101" s="267"/>
      <c r="H101" s="267"/>
      <c r="I101" s="384"/>
      <c r="J101" s="383" t="str">
        <f>TERM2!Y100</f>
        <v/>
      </c>
      <c r="K101" s="385"/>
      <c r="L101" s="385"/>
      <c r="M101" s="336"/>
      <c r="N101" s="383" t="str">
        <f>TERM3!Y100</f>
        <v/>
      </c>
      <c r="O101" s="385"/>
      <c r="P101" s="385"/>
      <c r="Q101" s="386"/>
      <c r="R101" s="387" t="str">
        <f t="shared" si="5"/>
        <v/>
      </c>
      <c r="S101" s="272"/>
      <c r="T101" s="272"/>
      <c r="U101" s="273"/>
      <c r="V101" s="383" t="str">
        <f t="shared" si="3"/>
        <v/>
      </c>
      <c r="W101" s="272"/>
      <c r="X101" s="272"/>
      <c r="Y101" s="273"/>
      <c r="Z101" s="388" t="str">
        <f t="shared" si="4"/>
        <v/>
      </c>
      <c r="AA101" s="272"/>
      <c r="AB101" s="389"/>
      <c r="AI101" s="137"/>
      <c r="AK101" s="2"/>
      <c r="AN101" s="1"/>
      <c r="AO101" s="1"/>
      <c r="AP101" s="1"/>
      <c r="AQ101" s="1"/>
      <c r="AR101" s="1"/>
      <c r="AS101" s="1"/>
      <c r="AT101" s="1"/>
      <c r="AU101" s="1"/>
      <c r="AV101" s="1"/>
      <c r="AW101" s="1"/>
      <c r="AX101" s="1"/>
      <c r="AY101" s="1"/>
      <c r="AZ101" s="1"/>
      <c r="BA101" s="1"/>
      <c r="BB101" s="1"/>
      <c r="BC101" s="1"/>
    </row>
    <row r="102" spans="1:55" ht="18" customHeight="1" thickBot="1">
      <c r="A102" s="144">
        <f>INPUT!B99</f>
        <v>0</v>
      </c>
      <c r="B102" s="144">
        <f>INPUT!C99</f>
        <v>0</v>
      </c>
      <c r="C102" s="141"/>
      <c r="D102" s="141"/>
      <c r="E102" s="141"/>
      <c r="F102" s="383" t="str">
        <f>TERM1!Y101</f>
        <v/>
      </c>
      <c r="G102" s="267"/>
      <c r="H102" s="267"/>
      <c r="I102" s="384"/>
      <c r="J102" s="383" t="str">
        <f>TERM2!Y101</f>
        <v/>
      </c>
      <c r="K102" s="385"/>
      <c r="L102" s="385"/>
      <c r="M102" s="336"/>
      <c r="N102" s="383" t="str">
        <f>TERM3!Y101</f>
        <v/>
      </c>
      <c r="O102" s="385"/>
      <c r="P102" s="385"/>
      <c r="Q102" s="386"/>
      <c r="R102" s="387" t="str">
        <f t="shared" si="5"/>
        <v/>
      </c>
      <c r="S102" s="272"/>
      <c r="T102" s="272"/>
      <c r="U102" s="273"/>
      <c r="V102" s="383" t="str">
        <f t="shared" si="3"/>
        <v/>
      </c>
      <c r="W102" s="272"/>
      <c r="X102" s="272"/>
      <c r="Y102" s="273"/>
      <c r="Z102" s="388" t="str">
        <f t="shared" si="4"/>
        <v/>
      </c>
      <c r="AA102" s="272"/>
      <c r="AB102" s="389"/>
      <c r="AI102" s="137"/>
      <c r="AK102" s="2"/>
      <c r="AN102" s="1"/>
      <c r="AO102" s="1"/>
      <c r="AP102" s="1"/>
      <c r="AQ102" s="1"/>
      <c r="AR102" s="1"/>
      <c r="AS102" s="1"/>
      <c r="AT102" s="1"/>
      <c r="AU102" s="1"/>
      <c r="AV102" s="1"/>
      <c r="AW102" s="1"/>
      <c r="AX102" s="1"/>
      <c r="AY102" s="1"/>
      <c r="AZ102" s="1"/>
      <c r="BA102" s="1"/>
      <c r="BB102" s="1"/>
      <c r="BC102" s="1"/>
    </row>
    <row r="103" spans="1:55" ht="18" customHeight="1" thickBot="1">
      <c r="A103" s="144">
        <f>INPUT!B100</f>
        <v>0</v>
      </c>
      <c r="B103" s="144">
        <f>INPUT!C100</f>
        <v>0</v>
      </c>
      <c r="C103" s="141"/>
      <c r="D103" s="141"/>
      <c r="E103" s="141"/>
      <c r="F103" s="383" t="str">
        <f>TERM1!Y102</f>
        <v/>
      </c>
      <c r="G103" s="267"/>
      <c r="H103" s="267"/>
      <c r="I103" s="384"/>
      <c r="J103" s="383" t="str">
        <f>TERM2!Y102</f>
        <v/>
      </c>
      <c r="K103" s="385"/>
      <c r="L103" s="385"/>
      <c r="M103" s="336"/>
      <c r="N103" s="383" t="str">
        <f>TERM3!Y102</f>
        <v/>
      </c>
      <c r="O103" s="385"/>
      <c r="P103" s="385"/>
      <c r="Q103" s="386"/>
      <c r="R103" s="387" t="str">
        <f t="shared" si="5"/>
        <v/>
      </c>
      <c r="S103" s="272"/>
      <c r="T103" s="272"/>
      <c r="U103" s="273"/>
      <c r="V103" s="383" t="str">
        <f t="shared" si="3"/>
        <v/>
      </c>
      <c r="W103" s="272"/>
      <c r="X103" s="272"/>
      <c r="Y103" s="273"/>
      <c r="Z103" s="388" t="str">
        <f t="shared" si="4"/>
        <v/>
      </c>
      <c r="AA103" s="272"/>
      <c r="AB103" s="389"/>
      <c r="AI103" s="137"/>
      <c r="AK103" s="2"/>
      <c r="AN103" s="1"/>
      <c r="AO103" s="1"/>
      <c r="AP103" s="1"/>
      <c r="AQ103" s="1"/>
      <c r="AR103" s="1"/>
      <c r="AS103" s="1"/>
      <c r="AT103" s="1"/>
      <c r="AU103" s="1"/>
      <c r="AV103" s="1"/>
      <c r="AW103" s="1"/>
      <c r="AX103" s="1"/>
      <c r="AY103" s="1"/>
      <c r="AZ103" s="1"/>
      <c r="BA103" s="1"/>
      <c r="BB103" s="1"/>
      <c r="BC103" s="1"/>
    </row>
    <row r="104" spans="1:55" ht="18" customHeight="1" thickBot="1">
      <c r="A104" s="144">
        <f>INPUT!B101</f>
        <v>0</v>
      </c>
      <c r="B104" s="144">
        <f>INPUT!C101</f>
        <v>0</v>
      </c>
      <c r="C104" s="141"/>
      <c r="D104" s="141"/>
      <c r="E104" s="141"/>
      <c r="F104" s="383" t="str">
        <f>TERM1!Y103</f>
        <v/>
      </c>
      <c r="G104" s="267"/>
      <c r="H104" s="267"/>
      <c r="I104" s="384"/>
      <c r="J104" s="383" t="str">
        <f>TERM2!Y103</f>
        <v/>
      </c>
      <c r="K104" s="385"/>
      <c r="L104" s="385"/>
      <c r="M104" s="336"/>
      <c r="N104" s="383" t="str">
        <f>TERM3!Y103</f>
        <v/>
      </c>
      <c r="O104" s="385"/>
      <c r="P104" s="385"/>
      <c r="Q104" s="386"/>
      <c r="R104" s="387" t="str">
        <f t="shared" si="5"/>
        <v/>
      </c>
      <c r="S104" s="272"/>
      <c r="T104" s="272"/>
      <c r="U104" s="273"/>
      <c r="V104" s="383" t="str">
        <f t="shared" si="3"/>
        <v/>
      </c>
      <c r="W104" s="272"/>
      <c r="X104" s="272"/>
      <c r="Y104" s="273"/>
      <c r="Z104" s="388" t="str">
        <f t="shared" si="4"/>
        <v/>
      </c>
      <c r="AA104" s="272"/>
      <c r="AB104" s="389"/>
      <c r="AI104" s="137"/>
      <c r="AK104" s="2"/>
      <c r="AN104" s="1"/>
      <c r="AO104" s="1"/>
      <c r="AP104" s="1"/>
      <c r="AQ104" s="1"/>
      <c r="AR104" s="1"/>
      <c r="AS104" s="1"/>
      <c r="AT104" s="1"/>
      <c r="AU104" s="1"/>
      <c r="AV104" s="1"/>
      <c r="AW104" s="1"/>
      <c r="AX104" s="1"/>
      <c r="AY104" s="1"/>
      <c r="AZ104" s="1"/>
      <c r="BA104" s="1"/>
      <c r="BB104" s="1"/>
      <c r="BC104" s="1"/>
    </row>
    <row r="105" spans="1:55" ht="18" customHeight="1" thickBot="1">
      <c r="A105" s="144">
        <f>INPUT!B102</f>
        <v>0</v>
      </c>
      <c r="B105" s="144">
        <f>INPUT!C102</f>
        <v>0</v>
      </c>
      <c r="C105" s="141"/>
      <c r="D105" s="141"/>
      <c r="E105" s="141"/>
      <c r="F105" s="383" t="str">
        <f>TERM1!Y104</f>
        <v/>
      </c>
      <c r="G105" s="267"/>
      <c r="H105" s="267"/>
      <c r="I105" s="384"/>
      <c r="J105" s="383" t="str">
        <f>TERM2!Y104</f>
        <v/>
      </c>
      <c r="K105" s="385"/>
      <c r="L105" s="385"/>
      <c r="M105" s="336"/>
      <c r="N105" s="383" t="str">
        <f>TERM3!Y104</f>
        <v/>
      </c>
      <c r="O105" s="385"/>
      <c r="P105" s="385"/>
      <c r="Q105" s="386"/>
      <c r="R105" s="387" t="str">
        <f t="shared" si="5"/>
        <v/>
      </c>
      <c r="S105" s="272"/>
      <c r="T105" s="272"/>
      <c r="U105" s="273"/>
      <c r="V105" s="383" t="str">
        <f t="shared" si="3"/>
        <v/>
      </c>
      <c r="W105" s="272"/>
      <c r="X105" s="272"/>
      <c r="Y105" s="273"/>
      <c r="Z105" s="388" t="str">
        <f t="shared" si="4"/>
        <v/>
      </c>
      <c r="AA105" s="272"/>
      <c r="AB105" s="389"/>
      <c r="AI105" s="137"/>
      <c r="AK105" s="2"/>
      <c r="AN105" s="1"/>
      <c r="AO105" s="1"/>
      <c r="AP105" s="1"/>
      <c r="AQ105" s="1"/>
      <c r="AR105" s="1"/>
      <c r="AS105" s="1"/>
      <c r="AT105" s="1"/>
      <c r="AU105" s="1"/>
      <c r="AV105" s="1"/>
      <c r="AW105" s="1"/>
      <c r="AX105" s="1"/>
      <c r="AY105" s="1"/>
      <c r="AZ105" s="1"/>
      <c r="BA105" s="1"/>
      <c r="BB105" s="1"/>
      <c r="BC105" s="1"/>
    </row>
    <row r="106" spans="1:55" ht="18" customHeight="1" thickBot="1">
      <c r="A106" s="144">
        <f>INPUT!B103</f>
        <v>0</v>
      </c>
      <c r="B106" s="144">
        <f>INPUT!C103</f>
        <v>0</v>
      </c>
      <c r="C106" s="141"/>
      <c r="D106" s="141"/>
      <c r="E106" s="141"/>
      <c r="F106" s="383" t="str">
        <f>TERM1!Y105</f>
        <v/>
      </c>
      <c r="G106" s="267"/>
      <c r="H106" s="267"/>
      <c r="I106" s="384"/>
      <c r="J106" s="383" t="str">
        <f>TERM2!Y105</f>
        <v/>
      </c>
      <c r="K106" s="385"/>
      <c r="L106" s="385"/>
      <c r="M106" s="336"/>
      <c r="N106" s="383" t="str">
        <f>TERM3!Y105</f>
        <v/>
      </c>
      <c r="O106" s="385"/>
      <c r="P106" s="385"/>
      <c r="Q106" s="386"/>
      <c r="R106" s="387" t="str">
        <f t="shared" si="5"/>
        <v/>
      </c>
      <c r="S106" s="272"/>
      <c r="T106" s="272"/>
      <c r="U106" s="273"/>
      <c r="V106" s="383" t="str">
        <f t="shared" si="3"/>
        <v/>
      </c>
      <c r="W106" s="272"/>
      <c r="X106" s="272"/>
      <c r="Y106" s="273"/>
      <c r="Z106" s="388" t="str">
        <f t="shared" si="4"/>
        <v/>
      </c>
      <c r="AA106" s="272"/>
      <c r="AB106" s="389"/>
      <c r="AI106" s="137"/>
      <c r="AK106" s="2"/>
      <c r="AN106" s="1"/>
      <c r="AO106" s="1"/>
      <c r="AP106" s="1"/>
      <c r="AQ106" s="1"/>
      <c r="AR106" s="1"/>
      <c r="AS106" s="1"/>
      <c r="AT106" s="1"/>
      <c r="AU106" s="1"/>
      <c r="AV106" s="1"/>
      <c r="AW106" s="1"/>
      <c r="AX106" s="1"/>
      <c r="AY106" s="1"/>
      <c r="AZ106" s="1"/>
      <c r="BA106" s="1"/>
      <c r="BB106" s="1"/>
      <c r="BC106" s="1"/>
    </row>
    <row r="107" spans="1:55" ht="18" customHeight="1" thickBot="1">
      <c r="A107" s="144">
        <f>INPUT!B104</f>
        <v>0</v>
      </c>
      <c r="B107" s="144">
        <f>INPUT!C104</f>
        <v>0</v>
      </c>
      <c r="C107" s="141"/>
      <c r="D107" s="141"/>
      <c r="E107" s="141"/>
      <c r="F107" s="383" t="str">
        <f>TERM1!Y106</f>
        <v/>
      </c>
      <c r="G107" s="267"/>
      <c r="H107" s="267"/>
      <c r="I107" s="384"/>
      <c r="J107" s="383" t="str">
        <f>TERM2!Y106</f>
        <v/>
      </c>
      <c r="K107" s="385"/>
      <c r="L107" s="385"/>
      <c r="M107" s="336"/>
      <c r="N107" s="383" t="str">
        <f>TERM3!Y106</f>
        <v/>
      </c>
      <c r="O107" s="385"/>
      <c r="P107" s="385"/>
      <c r="Q107" s="386"/>
      <c r="R107" s="387" t="str">
        <f t="shared" si="5"/>
        <v/>
      </c>
      <c r="S107" s="272"/>
      <c r="T107" s="272"/>
      <c r="U107" s="273"/>
      <c r="V107" s="383" t="str">
        <f t="shared" si="3"/>
        <v/>
      </c>
      <c r="W107" s="272"/>
      <c r="X107" s="272"/>
      <c r="Y107" s="273"/>
      <c r="Z107" s="388" t="str">
        <f t="shared" si="4"/>
        <v/>
      </c>
      <c r="AA107" s="272"/>
      <c r="AB107" s="389"/>
      <c r="AI107" s="137"/>
      <c r="AK107" s="2"/>
      <c r="AN107" s="1"/>
      <c r="AO107" s="1"/>
      <c r="AP107" s="1"/>
      <c r="AQ107" s="1"/>
      <c r="AR107" s="1"/>
      <c r="AS107" s="1"/>
      <c r="AT107" s="1"/>
      <c r="AU107" s="1"/>
      <c r="AV107" s="1"/>
      <c r="AW107" s="1"/>
      <c r="AX107" s="1"/>
      <c r="AY107" s="1"/>
      <c r="AZ107" s="1"/>
      <c r="BA107" s="1"/>
      <c r="BB107" s="1"/>
      <c r="BC107" s="1"/>
    </row>
    <row r="108" spans="1:55" ht="18" customHeight="1" thickBot="1">
      <c r="A108" s="144">
        <f>INPUT!B105</f>
        <v>0</v>
      </c>
      <c r="B108" s="144">
        <f>INPUT!C105</f>
        <v>0</v>
      </c>
      <c r="C108" s="141"/>
      <c r="D108" s="141"/>
      <c r="E108" s="141"/>
      <c r="F108" s="383" t="str">
        <f>TERM1!Y107</f>
        <v/>
      </c>
      <c r="G108" s="267"/>
      <c r="H108" s="267"/>
      <c r="I108" s="384"/>
      <c r="J108" s="383" t="str">
        <f>TERM2!Y107</f>
        <v/>
      </c>
      <c r="K108" s="385"/>
      <c r="L108" s="385"/>
      <c r="M108" s="336"/>
      <c r="N108" s="383" t="str">
        <f>TERM3!Y107</f>
        <v/>
      </c>
      <c r="O108" s="385"/>
      <c r="P108" s="385"/>
      <c r="Q108" s="386"/>
      <c r="R108" s="387" t="str">
        <f t="shared" si="5"/>
        <v/>
      </c>
      <c r="S108" s="272"/>
      <c r="T108" s="272"/>
      <c r="U108" s="273"/>
      <c r="V108" s="383" t="str">
        <f t="shared" si="3"/>
        <v/>
      </c>
      <c r="W108" s="272"/>
      <c r="X108" s="272"/>
      <c r="Y108" s="273"/>
      <c r="Z108" s="388" t="str">
        <f t="shared" si="4"/>
        <v/>
      </c>
      <c r="AA108" s="272"/>
      <c r="AB108" s="389"/>
      <c r="AI108" s="137"/>
      <c r="AK108" s="2"/>
      <c r="AN108" s="1"/>
      <c r="AO108" s="1"/>
      <c r="AP108" s="1"/>
      <c r="AQ108" s="1"/>
      <c r="AR108" s="1"/>
      <c r="AS108" s="1"/>
      <c r="AT108" s="1"/>
      <c r="AU108" s="1"/>
      <c r="AV108" s="1"/>
      <c r="AW108" s="1"/>
      <c r="AX108" s="1"/>
      <c r="AY108" s="1"/>
      <c r="AZ108" s="1"/>
      <c r="BA108" s="1"/>
      <c r="BB108" s="1"/>
      <c r="BC108" s="1"/>
    </row>
    <row r="109" spans="1:55" ht="18" customHeight="1" thickBot="1">
      <c r="A109" s="144">
        <f>INPUT!B106</f>
        <v>0</v>
      </c>
      <c r="B109" s="144">
        <f>INPUT!C106</f>
        <v>0</v>
      </c>
      <c r="C109" s="141"/>
      <c r="D109" s="141"/>
      <c r="E109" s="141"/>
      <c r="F109" s="383" t="str">
        <f>TERM1!Y108</f>
        <v/>
      </c>
      <c r="G109" s="267"/>
      <c r="H109" s="267"/>
      <c r="I109" s="384"/>
      <c r="J109" s="383" t="str">
        <f>TERM2!Y108</f>
        <v/>
      </c>
      <c r="K109" s="385"/>
      <c r="L109" s="385"/>
      <c r="M109" s="336"/>
      <c r="N109" s="383" t="str">
        <f>TERM3!Y108</f>
        <v/>
      </c>
      <c r="O109" s="385"/>
      <c r="P109" s="385"/>
      <c r="Q109" s="386"/>
      <c r="R109" s="387" t="str">
        <f t="shared" si="5"/>
        <v/>
      </c>
      <c r="S109" s="272"/>
      <c r="T109" s="272"/>
      <c r="U109" s="273"/>
      <c r="V109" s="383" t="str">
        <f t="shared" si="3"/>
        <v/>
      </c>
      <c r="W109" s="272"/>
      <c r="X109" s="272"/>
      <c r="Y109" s="273"/>
      <c r="Z109" s="388" t="str">
        <f t="shared" si="4"/>
        <v/>
      </c>
      <c r="AA109" s="272"/>
      <c r="AB109" s="389"/>
      <c r="AI109" s="137"/>
      <c r="AK109" s="2"/>
      <c r="AN109" s="1"/>
      <c r="AO109" s="1"/>
      <c r="AP109" s="1"/>
      <c r="AQ109" s="1"/>
      <c r="AR109" s="1"/>
      <c r="AS109" s="1"/>
      <c r="AT109" s="1"/>
      <c r="AU109" s="1"/>
      <c r="AV109" s="1"/>
      <c r="AW109" s="1"/>
      <c r="AX109" s="1"/>
      <c r="AY109" s="1"/>
      <c r="AZ109" s="1"/>
      <c r="BA109" s="1"/>
      <c r="BB109" s="1"/>
      <c r="BC109" s="1"/>
    </row>
    <row r="110" spans="1:55" ht="18" customHeight="1" thickBot="1">
      <c r="A110" s="144">
        <f>INPUT!B107</f>
        <v>0</v>
      </c>
      <c r="B110" s="144">
        <f>INPUT!C107</f>
        <v>0</v>
      </c>
      <c r="C110" s="141"/>
      <c r="D110" s="141"/>
      <c r="E110" s="141"/>
      <c r="F110" s="383" t="str">
        <f>TERM1!Y109</f>
        <v/>
      </c>
      <c r="G110" s="267"/>
      <c r="H110" s="267"/>
      <c r="I110" s="384"/>
      <c r="J110" s="383" t="str">
        <f>TERM2!Y109</f>
        <v/>
      </c>
      <c r="K110" s="385"/>
      <c r="L110" s="385"/>
      <c r="M110" s="336"/>
      <c r="N110" s="383" t="str">
        <f>TERM3!Y109</f>
        <v/>
      </c>
      <c r="O110" s="385"/>
      <c r="P110" s="385"/>
      <c r="Q110" s="386"/>
      <c r="R110" s="387" t="str">
        <f t="shared" si="5"/>
        <v/>
      </c>
      <c r="S110" s="272"/>
      <c r="T110" s="272"/>
      <c r="U110" s="273"/>
      <c r="V110" s="383" t="str">
        <f t="shared" si="3"/>
        <v/>
      </c>
      <c r="W110" s="272"/>
      <c r="X110" s="272"/>
      <c r="Y110" s="273"/>
      <c r="Z110" s="388" t="str">
        <f t="shared" si="4"/>
        <v/>
      </c>
      <c r="AA110" s="272"/>
      <c r="AB110" s="389"/>
      <c r="AI110" s="137"/>
      <c r="AK110" s="2"/>
      <c r="AN110" s="1"/>
      <c r="AO110" s="1"/>
      <c r="AP110" s="1"/>
      <c r="AQ110" s="1"/>
      <c r="AR110" s="1"/>
      <c r="AS110" s="1"/>
      <c r="AT110" s="1"/>
      <c r="AU110" s="1"/>
      <c r="AV110" s="1"/>
      <c r="AW110" s="1"/>
      <c r="AX110" s="1"/>
      <c r="AY110" s="1"/>
      <c r="AZ110" s="1"/>
      <c r="BA110" s="1"/>
      <c r="BB110" s="1"/>
      <c r="BC110" s="1"/>
    </row>
    <row r="111" spans="1:55" ht="18" customHeight="1" thickBot="1">
      <c r="A111" s="144">
        <f>INPUT!B108</f>
        <v>0</v>
      </c>
      <c r="B111" s="144">
        <f>INPUT!C108</f>
        <v>0</v>
      </c>
      <c r="C111" s="141"/>
      <c r="D111" s="141"/>
      <c r="E111" s="141"/>
      <c r="F111" s="383" t="str">
        <f>TERM1!Y110</f>
        <v/>
      </c>
      <c r="G111" s="267"/>
      <c r="H111" s="267"/>
      <c r="I111" s="384"/>
      <c r="J111" s="383" t="str">
        <f>TERM2!Y110</f>
        <v/>
      </c>
      <c r="K111" s="385"/>
      <c r="L111" s="385"/>
      <c r="M111" s="336"/>
      <c r="N111" s="383" t="str">
        <f>TERM3!Y110</f>
        <v/>
      </c>
      <c r="O111" s="385"/>
      <c r="P111" s="385"/>
      <c r="Q111" s="386"/>
      <c r="R111" s="387" t="str">
        <f t="shared" si="5"/>
        <v/>
      </c>
      <c r="S111" s="272"/>
      <c r="T111" s="272"/>
      <c r="U111" s="273"/>
      <c r="V111" s="383" t="str">
        <f t="shared" si="3"/>
        <v/>
      </c>
      <c r="W111" s="272"/>
      <c r="X111" s="272"/>
      <c r="Y111" s="273"/>
      <c r="Z111" s="388" t="str">
        <f t="shared" si="4"/>
        <v/>
      </c>
      <c r="AA111" s="272"/>
      <c r="AB111" s="389"/>
      <c r="AI111" s="137"/>
      <c r="AK111" s="2"/>
      <c r="AN111" s="1"/>
      <c r="AO111" s="1"/>
      <c r="AP111" s="1"/>
      <c r="AQ111" s="1"/>
      <c r="AR111" s="1"/>
      <c r="AS111" s="1"/>
      <c r="AT111" s="1"/>
      <c r="AU111" s="1"/>
      <c r="AV111" s="1"/>
      <c r="AW111" s="1"/>
      <c r="AX111" s="1"/>
      <c r="AY111" s="1"/>
      <c r="AZ111" s="1"/>
      <c r="BA111" s="1"/>
      <c r="BB111" s="1"/>
      <c r="BC111" s="1"/>
    </row>
    <row r="112" spans="1:55" ht="18" customHeight="1" thickBot="1">
      <c r="A112" s="144">
        <f>INPUT!B109</f>
        <v>0</v>
      </c>
      <c r="B112" s="144">
        <f>INPUT!C109</f>
        <v>0</v>
      </c>
      <c r="C112" s="141"/>
      <c r="D112" s="141"/>
      <c r="E112" s="141"/>
      <c r="F112" s="383" t="str">
        <f>TERM1!Y111</f>
        <v/>
      </c>
      <c r="G112" s="267"/>
      <c r="H112" s="267"/>
      <c r="I112" s="384"/>
      <c r="J112" s="383" t="str">
        <f>TERM2!Y111</f>
        <v/>
      </c>
      <c r="K112" s="385"/>
      <c r="L112" s="385"/>
      <c r="M112" s="336"/>
      <c r="N112" s="383" t="str">
        <f>TERM3!Y111</f>
        <v/>
      </c>
      <c r="O112" s="385"/>
      <c r="P112" s="385"/>
      <c r="Q112" s="386"/>
      <c r="R112" s="387" t="str">
        <f t="shared" si="5"/>
        <v/>
      </c>
      <c r="S112" s="272"/>
      <c r="T112" s="272"/>
      <c r="U112" s="273"/>
      <c r="V112" s="383" t="str">
        <f t="shared" si="3"/>
        <v/>
      </c>
      <c r="W112" s="272"/>
      <c r="X112" s="272"/>
      <c r="Y112" s="273"/>
      <c r="Z112" s="388" t="str">
        <f t="shared" si="4"/>
        <v/>
      </c>
      <c r="AA112" s="272"/>
      <c r="AB112" s="389"/>
      <c r="AI112" s="137"/>
      <c r="AK112" s="2"/>
      <c r="AN112" s="1"/>
      <c r="AO112" s="1"/>
      <c r="AP112" s="1"/>
      <c r="AQ112" s="1"/>
      <c r="AR112" s="1"/>
      <c r="AS112" s="1"/>
      <c r="AT112" s="1"/>
      <c r="AU112" s="1"/>
      <c r="AV112" s="1"/>
      <c r="AW112" s="1"/>
      <c r="AX112" s="1"/>
      <c r="AY112" s="1"/>
      <c r="AZ112" s="1"/>
      <c r="BA112" s="1"/>
      <c r="BB112" s="1"/>
      <c r="BC112" s="1"/>
    </row>
    <row r="113" spans="1:55" ht="18" customHeight="1" thickBot="1">
      <c r="A113" s="144">
        <f>INPUT!B110</f>
        <v>0</v>
      </c>
      <c r="B113" s="144">
        <f>INPUT!C110</f>
        <v>0</v>
      </c>
      <c r="C113" s="141"/>
      <c r="D113" s="141"/>
      <c r="E113" s="141"/>
      <c r="F113" s="383" t="str">
        <f>TERM1!Y112</f>
        <v/>
      </c>
      <c r="G113" s="267"/>
      <c r="H113" s="267"/>
      <c r="I113" s="384"/>
      <c r="J113" s="383" t="str">
        <f>TERM2!Y112</f>
        <v/>
      </c>
      <c r="K113" s="385"/>
      <c r="L113" s="385"/>
      <c r="M113" s="336"/>
      <c r="N113" s="383" t="str">
        <f>TERM3!Y112</f>
        <v/>
      </c>
      <c r="O113" s="385"/>
      <c r="P113" s="385"/>
      <c r="Q113" s="386"/>
      <c r="R113" s="387" t="str">
        <f t="shared" si="5"/>
        <v/>
      </c>
      <c r="S113" s="272"/>
      <c r="T113" s="272"/>
      <c r="U113" s="273"/>
      <c r="V113" s="383" t="str">
        <f t="shared" si="3"/>
        <v/>
      </c>
      <c r="W113" s="272"/>
      <c r="X113" s="272"/>
      <c r="Y113" s="273"/>
      <c r="Z113" s="388" t="str">
        <f t="shared" si="4"/>
        <v/>
      </c>
      <c r="AA113" s="272"/>
      <c r="AB113" s="389"/>
      <c r="AI113" s="137"/>
      <c r="AK113" s="2"/>
      <c r="AN113" s="1"/>
      <c r="AO113" s="1"/>
      <c r="AP113" s="1"/>
      <c r="AQ113" s="1"/>
      <c r="AR113" s="1"/>
      <c r="AS113" s="1"/>
      <c r="AT113" s="1"/>
      <c r="AU113" s="1"/>
      <c r="AV113" s="1"/>
      <c r="AW113" s="1"/>
      <c r="AX113" s="1"/>
      <c r="AY113" s="1"/>
      <c r="AZ113" s="1"/>
      <c r="BA113" s="1"/>
      <c r="BB113" s="1"/>
      <c r="BC113" s="1"/>
    </row>
    <row r="114" spans="1:55" ht="18" customHeight="1">
      <c r="A114" s="144">
        <f>INPUT!B111</f>
        <v>0</v>
      </c>
      <c r="B114" s="144">
        <f>INPUT!C111</f>
        <v>0</v>
      </c>
      <c r="C114" s="141"/>
      <c r="D114" s="141"/>
      <c r="E114" s="141"/>
      <c r="F114" s="383" t="str">
        <f>TERM1!Y113</f>
        <v/>
      </c>
      <c r="G114" s="267"/>
      <c r="H114" s="267"/>
      <c r="I114" s="384"/>
      <c r="J114" s="383" t="str">
        <f>TERM2!Y113</f>
        <v/>
      </c>
      <c r="K114" s="385"/>
      <c r="L114" s="385"/>
      <c r="M114" s="336"/>
      <c r="N114" s="383" t="str">
        <f>TERM3!Y113</f>
        <v/>
      </c>
      <c r="O114" s="385"/>
      <c r="P114" s="385"/>
      <c r="Q114" s="386"/>
      <c r="R114" s="387" t="str">
        <f t="shared" si="5"/>
        <v/>
      </c>
      <c r="S114" s="272"/>
      <c r="T114" s="272"/>
      <c r="U114" s="273"/>
      <c r="V114" s="383" t="str">
        <f t="shared" si="3"/>
        <v/>
      </c>
      <c r="W114" s="272"/>
      <c r="X114" s="272"/>
      <c r="Y114" s="273"/>
      <c r="Z114" s="388" t="str">
        <f t="shared" si="4"/>
        <v/>
      </c>
      <c r="AA114" s="272"/>
      <c r="AB114" s="389"/>
      <c r="AI114" s="137"/>
      <c r="AK114" s="2"/>
      <c r="AN114" s="1"/>
      <c r="AO114" s="1"/>
      <c r="AP114" s="1"/>
      <c r="AQ114" s="1"/>
      <c r="AR114" s="1"/>
      <c r="AS114" s="1"/>
      <c r="AT114" s="1"/>
      <c r="AU114" s="1"/>
      <c r="AV114" s="1"/>
      <c r="AW114" s="1"/>
      <c r="AX114" s="1"/>
      <c r="AY114" s="1"/>
      <c r="AZ114" s="1"/>
      <c r="BA114" s="1"/>
      <c r="BB114" s="1"/>
      <c r="BC114" s="1"/>
    </row>
    <row r="115" spans="1:55" ht="18" hidden="1" customHeight="1" thickBot="1">
      <c r="A115" s="243"/>
      <c r="B115" s="196"/>
      <c r="C115" s="244"/>
      <c r="D115" s="244"/>
      <c r="E115" s="244"/>
      <c r="F115" s="390" t="e">
        <f>TERM1!#REF!</f>
        <v>#REF!</v>
      </c>
      <c r="G115" s="391"/>
      <c r="H115" s="391"/>
      <c r="I115" s="392"/>
      <c r="J115" s="390" t="e">
        <f>#REF!</f>
        <v>#REF!</v>
      </c>
      <c r="K115" s="391"/>
      <c r="L115" s="391"/>
      <c r="M115" s="392"/>
      <c r="N115" s="390" t="e">
        <f>#REF!</f>
        <v>#REF!</v>
      </c>
      <c r="O115" s="391"/>
      <c r="P115" s="391"/>
      <c r="Q115" s="392"/>
      <c r="R115" s="393" t="e">
        <f t="shared" si="5"/>
        <v>#REF!</v>
      </c>
      <c r="S115" s="394"/>
      <c r="T115" s="394"/>
      <c r="U115" s="395"/>
      <c r="V115" s="390" t="str">
        <f t="shared" si="3"/>
        <v/>
      </c>
      <c r="W115" s="394"/>
      <c r="X115" s="394"/>
      <c r="Y115" s="395"/>
      <c r="Z115" s="396" t="e">
        <f t="shared" si="4"/>
        <v>#REF!</v>
      </c>
      <c r="AA115" s="394"/>
      <c r="AB115" s="397"/>
      <c r="AI115" s="137"/>
      <c r="AN115" s="1"/>
      <c r="AO115" s="1"/>
      <c r="AP115" s="1"/>
      <c r="AQ115" s="1"/>
      <c r="AR115" s="1"/>
      <c r="AS115" s="1"/>
      <c r="AT115" s="1"/>
      <c r="AU115" s="1"/>
      <c r="AV115" s="1"/>
      <c r="AW115" s="1"/>
      <c r="AX115" s="1"/>
      <c r="AY115" s="1"/>
      <c r="AZ115" s="1"/>
      <c r="BA115" s="1"/>
      <c r="BB115" s="1"/>
      <c r="BC115" s="1"/>
    </row>
    <row r="116" spans="1:55" ht="19.5" hidden="1" customHeight="1">
      <c r="A116" s="204" t="s">
        <v>101</v>
      </c>
      <c r="B116" s="309" t="s">
        <v>102</v>
      </c>
      <c r="C116" s="309"/>
      <c r="D116" s="309"/>
      <c r="E116" s="200"/>
      <c r="F116" s="8"/>
      <c r="G116" s="186"/>
      <c r="H116" s="186"/>
      <c r="I116" s="186"/>
      <c r="J116" s="8"/>
      <c r="K116" s="186"/>
      <c r="L116" s="186"/>
      <c r="M116" s="186"/>
      <c r="N116" s="8"/>
      <c r="O116" s="186"/>
      <c r="P116" s="186"/>
      <c r="Q116" s="186"/>
      <c r="R116" s="202"/>
      <c r="S116" s="186"/>
      <c r="T116" s="186"/>
      <c r="U116" s="186"/>
      <c r="V116" s="8"/>
      <c r="W116" s="186"/>
      <c r="X116" s="186"/>
      <c r="Y116" s="186"/>
      <c r="Z116" s="203"/>
      <c r="AA116" s="186"/>
      <c r="AB116" s="186"/>
      <c r="AI116" s="137"/>
      <c r="AN116" s="1"/>
      <c r="AO116" s="1"/>
      <c r="AP116" s="1"/>
      <c r="AQ116" s="1"/>
      <c r="AR116" s="1"/>
      <c r="AS116" s="1"/>
      <c r="AT116" s="1"/>
      <c r="AU116" s="1"/>
      <c r="AV116" s="1"/>
      <c r="AW116" s="1"/>
      <c r="AX116" s="1"/>
      <c r="AY116" s="1"/>
      <c r="AZ116" s="1"/>
      <c r="BA116" s="1"/>
      <c r="BB116" s="1"/>
      <c r="BC116" s="1"/>
    </row>
    <row r="117" spans="1:55" hidden="1"/>
    <row r="123" spans="1:55" s="2" customFormat="1">
      <c r="Q123" s="3"/>
      <c r="R123" s="3"/>
      <c r="AC123" s="3"/>
      <c r="AD123" s="3"/>
      <c r="AF123" s="3"/>
      <c r="AG123" s="3"/>
      <c r="AH123" s="3"/>
      <c r="AI123" s="4"/>
      <c r="AM123" s="4"/>
      <c r="AN123" s="4"/>
      <c r="AO123" s="4"/>
      <c r="AP123" s="4"/>
      <c r="AQ123" s="4"/>
      <c r="AR123" s="4"/>
      <c r="AS123" s="4"/>
      <c r="AT123" s="4"/>
      <c r="AU123" s="4"/>
      <c r="AV123" s="4"/>
      <c r="AW123" s="4"/>
      <c r="AX123" s="4"/>
      <c r="AY123" s="4"/>
      <c r="AZ123" s="4"/>
      <c r="BA123" s="4"/>
      <c r="BB123" s="4"/>
      <c r="BC123" s="4"/>
    </row>
  </sheetData>
  <autoFilter ref="B12:B115" xr:uid="{00000000-0009-0000-0000-000005000000}"/>
  <mergeCells count="653">
    <mergeCell ref="J65:M65"/>
    <mergeCell ref="N65:Q65"/>
    <mergeCell ref="R65:U65"/>
    <mergeCell ref="V65:Y65"/>
    <mergeCell ref="F65:I65"/>
    <mergeCell ref="Z65:AB65"/>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B1:B4"/>
    <mergeCell ref="T1:Y4"/>
    <mergeCell ref="F17:I17"/>
    <mergeCell ref="J17:M17"/>
    <mergeCell ref="N17:Q17"/>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G5:J5"/>
    <mergeCell ref="L5:N5"/>
    <mergeCell ref="O5:R5"/>
    <mergeCell ref="S5:V5"/>
    <mergeCell ref="W5:AB5"/>
    <mergeCell ref="G6:R6"/>
    <mergeCell ref="S6:V6"/>
    <mergeCell ref="W6:AB6"/>
    <mergeCell ref="F1:R2"/>
    <mergeCell ref="Z18:AB18"/>
    <mergeCell ref="F12:I12"/>
    <mergeCell ref="J12:M12"/>
    <mergeCell ref="N12:Q12"/>
    <mergeCell ref="R12:U12"/>
    <mergeCell ref="V12:Y12"/>
    <mergeCell ref="Z12:AB12"/>
    <mergeCell ref="F14:I14"/>
    <mergeCell ref="J14:M14"/>
    <mergeCell ref="N14:Q14"/>
    <mergeCell ref="R14:U14"/>
    <mergeCell ref="V14:Y14"/>
    <mergeCell ref="Z14:AB14"/>
    <mergeCell ref="R17:U17"/>
    <mergeCell ref="V17:Y17"/>
    <mergeCell ref="Z17:AB17"/>
    <mergeCell ref="F18:I18"/>
    <mergeCell ref="J18:M18"/>
    <mergeCell ref="N18:Q18"/>
    <mergeCell ref="R18:U18"/>
    <mergeCell ref="V18:Y18"/>
    <mergeCell ref="R16:U16"/>
    <mergeCell ref="V16:Y16"/>
    <mergeCell ref="Z16:AB16"/>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3:I63"/>
    <mergeCell ref="J63:M63"/>
    <mergeCell ref="N63:Q63"/>
    <mergeCell ref="R63:U63"/>
    <mergeCell ref="V63:Y63"/>
    <mergeCell ref="Z63:AB63"/>
    <mergeCell ref="F71:I71"/>
    <mergeCell ref="J71:M71"/>
    <mergeCell ref="N71:Q71"/>
    <mergeCell ref="R71:U71"/>
    <mergeCell ref="V71:Y71"/>
    <mergeCell ref="Z71:AB71"/>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J76:M76"/>
    <mergeCell ref="N76:Q76"/>
    <mergeCell ref="R76:U76"/>
    <mergeCell ref="V76:Y76"/>
    <mergeCell ref="Z76:AB76"/>
    <mergeCell ref="F72:I72"/>
    <mergeCell ref="J72:M72"/>
    <mergeCell ref="N72:Q72"/>
    <mergeCell ref="R72:U72"/>
    <mergeCell ref="V72:Y72"/>
    <mergeCell ref="Z72:AB72"/>
    <mergeCell ref="J80:M80"/>
    <mergeCell ref="N80:Q80"/>
    <mergeCell ref="R80:U80"/>
    <mergeCell ref="V80:Y80"/>
    <mergeCell ref="Z80:AB80"/>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84:M84"/>
    <mergeCell ref="N84:Q84"/>
    <mergeCell ref="R84:U84"/>
    <mergeCell ref="V84:Y84"/>
    <mergeCell ref="Z84:AB84"/>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8:M88"/>
    <mergeCell ref="N88:Q88"/>
    <mergeCell ref="R88:U88"/>
    <mergeCell ref="V88:Y88"/>
    <mergeCell ref="Z88:AB88"/>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92:M92"/>
    <mergeCell ref="N92:Q92"/>
    <mergeCell ref="R92:U92"/>
    <mergeCell ref="V92:Y92"/>
    <mergeCell ref="Z92:AB92"/>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96:M96"/>
    <mergeCell ref="N96:Q96"/>
    <mergeCell ref="R96:U96"/>
    <mergeCell ref="V96:Y96"/>
    <mergeCell ref="Z96:AB96"/>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100:M100"/>
    <mergeCell ref="N100:Q100"/>
    <mergeCell ref="R100:U100"/>
    <mergeCell ref="V100:Y100"/>
    <mergeCell ref="Z100:AB100"/>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104:M104"/>
    <mergeCell ref="N104:Q104"/>
    <mergeCell ref="R104:U104"/>
    <mergeCell ref="V104:Y104"/>
    <mergeCell ref="Z104:AB104"/>
    <mergeCell ref="F97:I97"/>
    <mergeCell ref="J97:M97"/>
    <mergeCell ref="N97:Q97"/>
    <mergeCell ref="R97:U97"/>
    <mergeCell ref="V97:Y97"/>
    <mergeCell ref="Z97:AB97"/>
    <mergeCell ref="F98:I98"/>
    <mergeCell ref="J98:M98"/>
    <mergeCell ref="N98:Q98"/>
    <mergeCell ref="R98:U98"/>
    <mergeCell ref="V98:Y98"/>
    <mergeCell ref="Z98:AB98"/>
    <mergeCell ref="F99:I99"/>
    <mergeCell ref="J99:M99"/>
    <mergeCell ref="N99:Q99"/>
    <mergeCell ref="R99:U99"/>
    <mergeCell ref="V99:Y99"/>
    <mergeCell ref="Z99:AB99"/>
    <mergeCell ref="F100:I100"/>
    <mergeCell ref="J108:M108"/>
    <mergeCell ref="N108:Q108"/>
    <mergeCell ref="R108:U108"/>
    <mergeCell ref="V108:Y108"/>
    <mergeCell ref="Z108:AB108"/>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3:I103"/>
    <mergeCell ref="J103:M103"/>
    <mergeCell ref="N103:Q103"/>
    <mergeCell ref="R103:U103"/>
    <mergeCell ref="V103:Y103"/>
    <mergeCell ref="Z103:AB103"/>
    <mergeCell ref="F104:I104"/>
    <mergeCell ref="J112:M112"/>
    <mergeCell ref="N112:Q112"/>
    <mergeCell ref="R112:U112"/>
    <mergeCell ref="V112:Y112"/>
    <mergeCell ref="Z112:AB112"/>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07:I107"/>
    <mergeCell ref="J107:M107"/>
    <mergeCell ref="N107:Q107"/>
    <mergeCell ref="R107:U107"/>
    <mergeCell ref="V107:Y107"/>
    <mergeCell ref="Z107:AB107"/>
    <mergeCell ref="F108:I108"/>
    <mergeCell ref="J115:M115"/>
    <mergeCell ref="N115:Q115"/>
    <mergeCell ref="R115:U115"/>
    <mergeCell ref="V115:Y115"/>
    <mergeCell ref="Z115:AB115"/>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1:I111"/>
    <mergeCell ref="J111:M111"/>
    <mergeCell ref="N111:Q111"/>
    <mergeCell ref="R111:U111"/>
    <mergeCell ref="V111:Y111"/>
    <mergeCell ref="Z111:AB111"/>
    <mergeCell ref="F112:I112"/>
    <mergeCell ref="BF64:BH64"/>
    <mergeCell ref="B116:D116"/>
    <mergeCell ref="B64:D64"/>
    <mergeCell ref="Z64:AB64"/>
    <mergeCell ref="AD64:AF64"/>
    <mergeCell ref="AH64:AJ64"/>
    <mergeCell ref="AL64:AN64"/>
    <mergeCell ref="AP64:AR64"/>
    <mergeCell ref="AT64:AV64"/>
    <mergeCell ref="AX64:AZ64"/>
    <mergeCell ref="BB64:BD64"/>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F115:I115"/>
  </mergeCells>
  <conditionalFormatting sqref="R14:U63 R67:U116">
    <cfRule type="cellIs" dxfId="3" priority="4" operator="lessThan">
      <formula>75</formula>
    </cfRule>
  </conditionalFormatting>
  <conditionalFormatting sqref="V14:Y63 V65:Y116">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6">
    <cfRule type="containsText" dxfId="0" priority="1" operator="containsText" text="FAILED">
      <formula>NOT(ISERROR(SEARCH("FAILED",Z14)))</formula>
    </cfRule>
  </conditionalFormatting>
  <printOptions horizontalCentered="1"/>
  <pageMargins left="0.7" right="0.7" top="0.75" bottom="0.75" header="0.3" footer="0.3"/>
  <rowBreaks count="1" manualBreakCount="1">
    <brk id="64" max="2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H43"/>
  <sheetViews>
    <sheetView zoomScale="138" workbookViewId="0">
      <selection activeCell="D25" sqref="D25"/>
    </sheetView>
  </sheetViews>
  <sheetFormatPr defaultColWidth="8.85546875" defaultRowHeight="15"/>
  <cols>
    <col min="1" max="1" width="2" style="146" customWidth="1"/>
    <col min="2" max="2" width="25.28515625" style="146" customWidth="1"/>
    <col min="3" max="5" width="10.7109375" style="146" customWidth="1"/>
    <col min="6" max="6" width="10.140625" style="146" customWidth="1"/>
    <col min="7" max="7" width="8.85546875" style="146" customWidth="1"/>
    <col min="8" max="8" width="10.7109375" style="146" customWidth="1"/>
    <col min="9" max="9" width="4.140625" style="146" customWidth="1"/>
    <col min="10" max="11" width="10.7109375" style="146" customWidth="1"/>
    <col min="12" max="19" width="8.85546875" style="146" customWidth="1"/>
    <col min="20" max="20" width="8.7109375" style="147" customWidth="1"/>
    <col min="21" max="21" width="2.5703125" style="147" customWidth="1"/>
    <col min="22" max="22" width="8.7109375" style="147" customWidth="1"/>
    <col min="23" max="23" width="20.28515625" style="147" customWidth="1"/>
    <col min="24" max="24" width="8.85546875" style="146" customWidth="1"/>
    <col min="25" max="60" width="8.85546875" style="146"/>
  </cols>
  <sheetData>
    <row r="1" spans="2:23" ht="9" customHeight="1"/>
    <row r="2" spans="2:23" ht="19.899999999999999" customHeight="1">
      <c r="B2" s="148" t="s">
        <v>43</v>
      </c>
      <c r="C2" s="149" t="s">
        <v>44</v>
      </c>
      <c r="D2" s="149" t="s">
        <v>45</v>
      </c>
      <c r="E2" s="149" t="s">
        <v>46</v>
      </c>
      <c r="F2" s="150" t="s">
        <v>47</v>
      </c>
      <c r="H2" s="480" t="s">
        <v>48</v>
      </c>
      <c r="I2" s="324"/>
      <c r="J2" s="324"/>
      <c r="K2" s="324"/>
      <c r="T2" s="481" t="s">
        <v>49</v>
      </c>
      <c r="U2" s="481"/>
      <c r="V2" s="481"/>
      <c r="W2" s="481"/>
    </row>
    <row r="3" spans="2:23" ht="19.899999999999999" customHeight="1">
      <c r="B3" s="151" t="s">
        <v>50</v>
      </c>
      <c r="C3" s="152">
        <v>0.2</v>
      </c>
      <c r="D3" s="152">
        <v>0.5</v>
      </c>
      <c r="E3" s="152">
        <v>0.3</v>
      </c>
      <c r="F3" s="153">
        <f t="shared" ref="F3:F11" si="0">SUM(C3:E3)</f>
        <v>1</v>
      </c>
      <c r="H3" s="154">
        <v>0</v>
      </c>
      <c r="I3" s="154" t="s">
        <v>51</v>
      </c>
      <c r="J3" s="154">
        <v>39.99</v>
      </c>
      <c r="K3" s="155">
        <v>60</v>
      </c>
      <c r="T3" s="156">
        <v>0</v>
      </c>
      <c r="U3" s="156" t="s">
        <v>51</v>
      </c>
      <c r="V3" s="156">
        <v>64</v>
      </c>
      <c r="W3" s="157" t="s">
        <v>52</v>
      </c>
    </row>
    <row r="4" spans="2:23" ht="19.899999999999999" customHeight="1">
      <c r="B4" s="151" t="s">
        <v>53</v>
      </c>
      <c r="C4" s="152">
        <v>0.2</v>
      </c>
      <c r="D4" s="152">
        <v>0.5</v>
      </c>
      <c r="E4" s="152">
        <v>0.3</v>
      </c>
      <c r="F4" s="153">
        <f t="shared" si="0"/>
        <v>1</v>
      </c>
      <c r="H4" s="154">
        <v>40</v>
      </c>
      <c r="I4" s="154" t="s">
        <v>51</v>
      </c>
      <c r="J4" s="154">
        <v>42.99</v>
      </c>
      <c r="K4" s="155">
        <v>61</v>
      </c>
      <c r="T4" s="156">
        <v>65</v>
      </c>
      <c r="U4" s="156" t="s">
        <v>51</v>
      </c>
      <c r="V4" s="156">
        <v>74</v>
      </c>
      <c r="W4" s="157" t="s">
        <v>54</v>
      </c>
    </row>
    <row r="5" spans="2:23" ht="19.899999999999999" customHeight="1">
      <c r="B5" s="151" t="s">
        <v>55</v>
      </c>
      <c r="C5" s="152">
        <v>0.2</v>
      </c>
      <c r="D5" s="152">
        <v>0.5</v>
      </c>
      <c r="E5" s="152">
        <v>0.3</v>
      </c>
      <c r="F5" s="153">
        <f t="shared" si="0"/>
        <v>1</v>
      </c>
      <c r="H5" s="154">
        <v>43</v>
      </c>
      <c r="I5" s="154" t="s">
        <v>51</v>
      </c>
      <c r="J5" s="154">
        <v>45.99</v>
      </c>
      <c r="K5" s="155">
        <v>62</v>
      </c>
      <c r="T5" s="156">
        <v>75</v>
      </c>
      <c r="U5" s="156" t="s">
        <v>51</v>
      </c>
      <c r="V5" s="156">
        <v>79</v>
      </c>
      <c r="W5" s="157" t="s">
        <v>56</v>
      </c>
    </row>
    <row r="6" spans="2:23" ht="19.899999999999999" customHeight="1">
      <c r="B6" s="151" t="s">
        <v>57</v>
      </c>
      <c r="C6" s="152">
        <v>0.2</v>
      </c>
      <c r="D6" s="152">
        <v>0.5</v>
      </c>
      <c r="E6" s="152">
        <v>0.3</v>
      </c>
      <c r="F6" s="153">
        <f t="shared" si="0"/>
        <v>1</v>
      </c>
      <c r="H6" s="154">
        <v>46</v>
      </c>
      <c r="I6" s="154" t="s">
        <v>51</v>
      </c>
      <c r="J6" s="154">
        <v>47.99</v>
      </c>
      <c r="K6" s="155">
        <v>63</v>
      </c>
      <c r="T6" s="156">
        <v>80</v>
      </c>
      <c r="U6" s="156" t="s">
        <v>51</v>
      </c>
      <c r="V6" s="156">
        <v>89</v>
      </c>
      <c r="W6" s="157" t="s">
        <v>58</v>
      </c>
    </row>
    <row r="7" spans="2:23" ht="19.899999999999999" customHeight="1">
      <c r="B7" s="151" t="s">
        <v>59</v>
      </c>
      <c r="C7" s="152">
        <v>0.2</v>
      </c>
      <c r="D7" s="152">
        <v>0.5</v>
      </c>
      <c r="E7" s="152">
        <v>0.3</v>
      </c>
      <c r="F7" s="153">
        <f t="shared" si="0"/>
        <v>1</v>
      </c>
      <c r="H7" s="154">
        <v>48</v>
      </c>
      <c r="I7" s="154" t="s">
        <v>51</v>
      </c>
      <c r="J7" s="154">
        <v>49.99</v>
      </c>
      <c r="K7" s="155">
        <v>64</v>
      </c>
      <c r="T7" s="156">
        <v>90</v>
      </c>
      <c r="U7" s="156" t="s">
        <v>51</v>
      </c>
      <c r="V7" s="156">
        <v>100</v>
      </c>
      <c r="W7" s="157" t="s">
        <v>60</v>
      </c>
    </row>
    <row r="8" spans="2:23" ht="19.899999999999999" customHeight="1">
      <c r="B8" s="151" t="s">
        <v>61</v>
      </c>
      <c r="C8" s="152">
        <v>0.2</v>
      </c>
      <c r="D8" s="152">
        <v>0.5</v>
      </c>
      <c r="E8" s="152">
        <v>0.3</v>
      </c>
      <c r="F8" s="153">
        <f t="shared" si="0"/>
        <v>1</v>
      </c>
      <c r="H8" s="154">
        <v>50</v>
      </c>
      <c r="I8" s="154" t="s">
        <v>51</v>
      </c>
      <c r="J8" s="154">
        <v>51.99</v>
      </c>
      <c r="K8" s="155">
        <v>65</v>
      </c>
    </row>
    <row r="9" spans="2:23" ht="19.899999999999999" customHeight="1">
      <c r="B9" s="158" t="s">
        <v>62</v>
      </c>
      <c r="C9" s="159">
        <v>0.2</v>
      </c>
      <c r="D9" s="159">
        <v>0.6</v>
      </c>
      <c r="E9" s="159">
        <v>0.2</v>
      </c>
      <c r="F9" s="160">
        <f t="shared" si="0"/>
        <v>1</v>
      </c>
      <c r="H9" s="154">
        <v>52</v>
      </c>
      <c r="I9" s="154" t="s">
        <v>51</v>
      </c>
      <c r="J9" s="154">
        <v>53.99</v>
      </c>
      <c r="K9" s="155">
        <v>66</v>
      </c>
    </row>
    <row r="10" spans="2:23" ht="19.899999999999999" customHeight="1">
      <c r="B10" s="158" t="s">
        <v>63</v>
      </c>
      <c r="C10" s="159">
        <v>0.2</v>
      </c>
      <c r="D10" s="159">
        <v>0.6</v>
      </c>
      <c r="E10" s="159">
        <v>0.2</v>
      </c>
      <c r="F10" s="160">
        <f t="shared" si="0"/>
        <v>1</v>
      </c>
      <c r="H10" s="154">
        <v>54</v>
      </c>
      <c r="I10" s="154" t="s">
        <v>51</v>
      </c>
      <c r="J10" s="154">
        <v>55.99</v>
      </c>
      <c r="K10" s="155">
        <v>67</v>
      </c>
    </row>
    <row r="11" spans="2:23" ht="19.899999999999999" customHeight="1">
      <c r="B11" s="158" t="s">
        <v>64</v>
      </c>
      <c r="C11" s="159">
        <v>0.2</v>
      </c>
      <c r="D11" s="159">
        <v>0.5</v>
      </c>
      <c r="E11" s="159">
        <v>0.3</v>
      </c>
      <c r="F11" s="160">
        <f t="shared" si="0"/>
        <v>1</v>
      </c>
      <c r="H11" s="154">
        <v>56</v>
      </c>
      <c r="I11" s="154" t="s">
        <v>51</v>
      </c>
      <c r="J11" s="154">
        <v>57.99</v>
      </c>
      <c r="K11" s="155">
        <v>68</v>
      </c>
    </row>
    <row r="12" spans="2:23" ht="19.899999999999999" customHeight="1">
      <c r="H12" s="154">
        <v>58</v>
      </c>
      <c r="I12" s="154" t="s">
        <v>51</v>
      </c>
      <c r="J12" s="154">
        <v>59.99</v>
      </c>
      <c r="K12" s="155">
        <v>69</v>
      </c>
    </row>
    <row r="13" spans="2:23" ht="19.899999999999999" customHeight="1">
      <c r="H13" s="154">
        <v>60</v>
      </c>
      <c r="I13" s="154" t="s">
        <v>51</v>
      </c>
      <c r="J13" s="154">
        <v>61.99</v>
      </c>
      <c r="K13" s="155">
        <v>70</v>
      </c>
    </row>
    <row r="14" spans="2:23" ht="19.899999999999999" customHeight="1">
      <c r="H14" s="154">
        <v>62</v>
      </c>
      <c r="I14" s="154" t="s">
        <v>51</v>
      </c>
      <c r="J14" s="154">
        <v>63.99</v>
      </c>
      <c r="K14" s="155">
        <v>71</v>
      </c>
    </row>
    <row r="15" spans="2:23" ht="19.899999999999999" customHeight="1">
      <c r="H15" s="154">
        <v>64</v>
      </c>
      <c r="I15" s="154" t="s">
        <v>51</v>
      </c>
      <c r="J15" s="154">
        <v>65.989999999999995</v>
      </c>
      <c r="K15" s="155">
        <v>72</v>
      </c>
    </row>
    <row r="16" spans="2:23" ht="19.899999999999999" customHeight="1">
      <c r="H16" s="154">
        <v>66</v>
      </c>
      <c r="I16" s="154" t="s">
        <v>51</v>
      </c>
      <c r="J16" s="154">
        <v>67.989999999999995</v>
      </c>
      <c r="K16" s="155">
        <v>73</v>
      </c>
    </row>
    <row r="17" spans="8:11" ht="19.899999999999999" customHeight="1">
      <c r="H17" s="154">
        <v>68</v>
      </c>
      <c r="I17" s="154" t="s">
        <v>51</v>
      </c>
      <c r="J17" s="154">
        <v>69.989999999999995</v>
      </c>
      <c r="K17" s="155">
        <v>74</v>
      </c>
    </row>
    <row r="18" spans="8:11" ht="19.899999999999999" customHeight="1">
      <c r="H18" s="154">
        <v>70</v>
      </c>
      <c r="I18" s="154" t="s">
        <v>51</v>
      </c>
      <c r="J18" s="154">
        <v>72.989999999999995</v>
      </c>
      <c r="K18" s="155">
        <v>75</v>
      </c>
    </row>
    <row r="19" spans="8:11" ht="19.899999999999999" customHeight="1">
      <c r="H19" s="154">
        <v>73</v>
      </c>
      <c r="I19" s="154" t="s">
        <v>51</v>
      </c>
      <c r="J19" s="154">
        <v>74.989999999999995</v>
      </c>
      <c r="K19" s="155">
        <v>76</v>
      </c>
    </row>
    <row r="20" spans="8:11" ht="19.899999999999999" customHeight="1">
      <c r="H20" s="154">
        <v>75</v>
      </c>
      <c r="I20" s="154" t="s">
        <v>51</v>
      </c>
      <c r="J20" s="154">
        <v>75.989999999999995</v>
      </c>
      <c r="K20" s="155">
        <v>77</v>
      </c>
    </row>
    <row r="21" spans="8:11" ht="19.899999999999999" customHeight="1">
      <c r="H21" s="154">
        <v>76</v>
      </c>
      <c r="I21" s="154" t="s">
        <v>51</v>
      </c>
      <c r="J21" s="154">
        <v>76.989999999999995</v>
      </c>
      <c r="K21" s="155">
        <v>78</v>
      </c>
    </row>
    <row r="22" spans="8:11" ht="19.899999999999999" customHeight="1">
      <c r="H22" s="154">
        <v>77</v>
      </c>
      <c r="I22" s="154" t="s">
        <v>51</v>
      </c>
      <c r="J22" s="154">
        <v>77.989999999999995</v>
      </c>
      <c r="K22" s="155">
        <v>79</v>
      </c>
    </row>
    <row r="23" spans="8:11" ht="19.899999999999999" customHeight="1">
      <c r="H23" s="154">
        <v>78</v>
      </c>
      <c r="I23" s="154" t="s">
        <v>51</v>
      </c>
      <c r="J23" s="154">
        <v>78.989999999999995</v>
      </c>
      <c r="K23" s="155">
        <v>80</v>
      </c>
    </row>
    <row r="24" spans="8:11" ht="19.899999999999999" customHeight="1">
      <c r="H24" s="154">
        <v>79</v>
      </c>
      <c r="I24" s="154" t="s">
        <v>51</v>
      </c>
      <c r="J24" s="154">
        <v>79.989999999999995</v>
      </c>
      <c r="K24" s="155">
        <v>81</v>
      </c>
    </row>
    <row r="25" spans="8:11" ht="19.899999999999999" customHeight="1">
      <c r="H25" s="154">
        <v>80</v>
      </c>
      <c r="I25" s="154" t="s">
        <v>51</v>
      </c>
      <c r="J25" s="154">
        <v>80.989999999999995</v>
      </c>
      <c r="K25" s="155">
        <v>82</v>
      </c>
    </row>
    <row r="26" spans="8:11" ht="19.899999999999999" customHeight="1">
      <c r="H26" s="154">
        <v>81</v>
      </c>
      <c r="I26" s="154" t="s">
        <v>51</v>
      </c>
      <c r="J26" s="154">
        <v>81.99</v>
      </c>
      <c r="K26" s="155">
        <v>83</v>
      </c>
    </row>
    <row r="27" spans="8:11" ht="19.899999999999999" customHeight="1">
      <c r="H27" s="154">
        <v>82</v>
      </c>
      <c r="I27" s="154" t="s">
        <v>51</v>
      </c>
      <c r="J27" s="154">
        <v>82.99</v>
      </c>
      <c r="K27" s="155">
        <v>84</v>
      </c>
    </row>
    <row r="28" spans="8:11" ht="19.899999999999999" customHeight="1">
      <c r="H28" s="154">
        <v>83</v>
      </c>
      <c r="I28" s="154" t="s">
        <v>51</v>
      </c>
      <c r="J28" s="154">
        <v>83.99</v>
      </c>
      <c r="K28" s="155">
        <v>85</v>
      </c>
    </row>
    <row r="29" spans="8:11" ht="19.899999999999999" customHeight="1">
      <c r="H29" s="154">
        <v>84</v>
      </c>
      <c r="I29" s="154" t="s">
        <v>51</v>
      </c>
      <c r="J29" s="154">
        <v>84.99</v>
      </c>
      <c r="K29" s="155">
        <v>86</v>
      </c>
    </row>
    <row r="30" spans="8:11" ht="19.899999999999999" customHeight="1">
      <c r="H30" s="154">
        <v>85</v>
      </c>
      <c r="I30" s="154" t="s">
        <v>51</v>
      </c>
      <c r="J30" s="154">
        <v>85.99</v>
      </c>
      <c r="K30" s="155">
        <v>87</v>
      </c>
    </row>
    <row r="31" spans="8:11" ht="19.899999999999999" customHeight="1">
      <c r="H31" s="154">
        <v>86</v>
      </c>
      <c r="I31" s="154" t="s">
        <v>51</v>
      </c>
      <c r="J31" s="154">
        <v>86.99</v>
      </c>
      <c r="K31" s="155">
        <v>88</v>
      </c>
    </row>
    <row r="32" spans="8:11" ht="19.899999999999999" customHeight="1">
      <c r="H32" s="154">
        <v>87</v>
      </c>
      <c r="I32" s="154" t="s">
        <v>51</v>
      </c>
      <c r="J32" s="154">
        <v>87.99</v>
      </c>
      <c r="K32" s="155">
        <v>89</v>
      </c>
    </row>
    <row r="33" spans="8:11" ht="19.899999999999999" customHeight="1">
      <c r="H33" s="154">
        <v>88</v>
      </c>
      <c r="I33" s="154" t="s">
        <v>51</v>
      </c>
      <c r="J33" s="154">
        <v>88.99</v>
      </c>
      <c r="K33" s="155">
        <v>90</v>
      </c>
    </row>
    <row r="34" spans="8:11" ht="19.899999999999999" customHeight="1">
      <c r="H34" s="154">
        <v>89</v>
      </c>
      <c r="I34" s="154" t="s">
        <v>51</v>
      </c>
      <c r="J34" s="154">
        <v>89.99</v>
      </c>
      <c r="K34" s="155">
        <v>91</v>
      </c>
    </row>
    <row r="35" spans="8:11" ht="19.899999999999999" customHeight="1">
      <c r="H35" s="154">
        <v>90</v>
      </c>
      <c r="I35" s="154" t="s">
        <v>51</v>
      </c>
      <c r="J35" s="154">
        <v>90.99</v>
      </c>
      <c r="K35" s="155">
        <v>92</v>
      </c>
    </row>
    <row r="36" spans="8:11" ht="19.899999999999999" customHeight="1">
      <c r="H36" s="154">
        <v>91</v>
      </c>
      <c r="I36" s="154" t="s">
        <v>51</v>
      </c>
      <c r="J36" s="154">
        <v>91.99</v>
      </c>
      <c r="K36" s="155">
        <v>93</v>
      </c>
    </row>
    <row r="37" spans="8:11" ht="19.899999999999999" customHeight="1">
      <c r="H37" s="154">
        <v>92</v>
      </c>
      <c r="I37" s="154" t="s">
        <v>51</v>
      </c>
      <c r="J37" s="154">
        <v>92.99</v>
      </c>
      <c r="K37" s="155">
        <v>94</v>
      </c>
    </row>
    <row r="38" spans="8:11" ht="19.899999999999999" customHeight="1">
      <c r="H38" s="154">
        <v>93</v>
      </c>
      <c r="I38" s="154" t="s">
        <v>51</v>
      </c>
      <c r="J38" s="154">
        <v>93.99</v>
      </c>
      <c r="K38" s="155">
        <v>95</v>
      </c>
    </row>
    <row r="39" spans="8:11" ht="19.899999999999999" customHeight="1">
      <c r="H39" s="154">
        <v>94</v>
      </c>
      <c r="I39" s="154" t="s">
        <v>51</v>
      </c>
      <c r="J39" s="154">
        <v>94.99</v>
      </c>
      <c r="K39" s="155">
        <v>96</v>
      </c>
    </row>
    <row r="40" spans="8:11" ht="19.899999999999999" customHeight="1">
      <c r="H40" s="154">
        <v>95</v>
      </c>
      <c r="I40" s="154" t="s">
        <v>51</v>
      </c>
      <c r="J40" s="154">
        <v>95.99</v>
      </c>
      <c r="K40" s="155">
        <v>97</v>
      </c>
    </row>
    <row r="41" spans="8:11" ht="19.899999999999999" customHeight="1">
      <c r="H41" s="154">
        <v>96</v>
      </c>
      <c r="I41" s="154" t="s">
        <v>51</v>
      </c>
      <c r="J41" s="154">
        <v>97.49</v>
      </c>
      <c r="K41" s="155">
        <v>98</v>
      </c>
    </row>
    <row r="42" spans="8:11" ht="19.899999999999999" customHeight="1">
      <c r="H42" s="154">
        <v>97.5</v>
      </c>
      <c r="I42" s="154" t="s">
        <v>51</v>
      </c>
      <c r="J42" s="154">
        <v>99.49</v>
      </c>
      <c r="K42" s="155">
        <v>99</v>
      </c>
    </row>
    <row r="43" spans="8:11" ht="19.899999999999999" customHeight="1">
      <c r="H43" s="154">
        <v>99.5</v>
      </c>
      <c r="I43" s="154" t="s">
        <v>51</v>
      </c>
      <c r="J43" s="154">
        <v>100</v>
      </c>
      <c r="K43" s="155">
        <v>100</v>
      </c>
    </row>
  </sheetData>
  <mergeCells count="2">
    <mergeCell ref="H2:K2"/>
    <mergeCell ref="T2:W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INPUT</vt:lpstr>
      <vt:lpstr>TERM1</vt:lpstr>
      <vt:lpstr>TERM2</vt:lpstr>
      <vt:lpstr>TERM3</vt:lpstr>
      <vt:lpstr>SUMMARY OF GRADES</vt:lpstr>
      <vt:lpstr>Helper (Do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TERM2!T1_Names</vt:lpstr>
      <vt:lpstr>TERM3!T1_Names</vt:lpstr>
      <vt:lpstr>T1_Names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Rhenel Jhon Sajol</cp:lastModifiedBy>
  <cp:revision>1</cp:revision>
  <dcterms:created xsi:type="dcterms:W3CDTF">2015-06-02T20:29:55Z</dcterms:created>
  <dcterms:modified xsi:type="dcterms:W3CDTF">2026-06-29T02:37:52Z</dcterms:modified>
</cp:coreProperties>
</file>