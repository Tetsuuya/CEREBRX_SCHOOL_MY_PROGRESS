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henel Jhon Sajol\Documents\"/>
    </mc:Choice>
  </mc:AlternateContent>
  <xr:revisionPtr revIDLastSave="0" documentId="8_{02200718-021F-44D9-8F23-769AF57660F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PUT" sheetId="1" r:id="rId1"/>
    <sheet name="TERM1" sheetId="2" r:id="rId2"/>
    <sheet name="TERM2" sheetId="3" r:id="rId3"/>
    <sheet name="TERM3" sheetId="4" r:id="rId4"/>
    <sheet name="SUMMARY OF GRADES" sheetId="5" r:id="rId5"/>
    <sheet name="Sheet1" sheetId="6" r:id="rId6"/>
    <sheet name="Sheet2" sheetId="7" r:id="rId7"/>
    <sheet name="Helper (Do Not Delete)" sheetId="8" state="hidden" r:id="rId8"/>
    <sheet name="DO NOT DELETE" sheetId="9" r:id="rId9"/>
  </sheets>
  <definedNames>
    <definedName name="_xlnm._FilterDatabase" localSheetId="0" hidden="1">INPUT!$C$10:$C$111</definedName>
    <definedName name="_xlnm._FilterDatabase" localSheetId="4" hidden="1">'SUMMARY OF GRADES'!$B$12:$B$116</definedName>
    <definedName name="_xlnm._FilterDatabase" localSheetId="2" hidden="1">TERM2!$C$12:$C$115</definedName>
    <definedName name="_xlnm._FilterDatabase" localSheetId="3" hidden="1">TERM3!$B$12:$B$114</definedName>
    <definedName name="DESCRIPTORS">'Helper (Do Not Delete)'!$T$3:$W$7</definedName>
    <definedName name="FemaleLearners">INPUT!$C$62:$C$111</definedName>
    <definedName name="MaleLearners">INPUT!$C$11:$C$60</definedName>
    <definedName name="NewTransmu">'Helper (Do Not Delete)'!$H$3:$K$43</definedName>
    <definedName name="_xlnm.Print_Area" localSheetId="0">INPUT!$A$1:$AA$111</definedName>
    <definedName name="_xlnm.Print_Area" localSheetId="4">'SUMMARY OF GRADES'!$A$1:$AB$116</definedName>
    <definedName name="_xlnm.Print_Area" localSheetId="1">TERM1!$A$1:$AB$114</definedName>
    <definedName name="_xlnm.Print_Area" localSheetId="2">TERM2!$A$1:$Y$115</definedName>
    <definedName name="_xlnm.Print_Area" localSheetId="3">TERM3!$A$1:$AB$114</definedName>
    <definedName name="T1_Names">TERM1!$B$13:$B$114</definedName>
    <definedName name="TRANSMUTATION_TABLE">'DO NOT DELETE'!$G$2:$J$42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8" l="1"/>
  <c r="F10" i="8"/>
  <c r="F9" i="8"/>
  <c r="F8" i="8"/>
  <c r="F7" i="8"/>
  <c r="F6" i="8"/>
  <c r="F5" i="8"/>
  <c r="F4" i="8"/>
  <c r="F3" i="8"/>
  <c r="B115" i="5"/>
  <c r="B114" i="5"/>
  <c r="A114" i="5"/>
  <c r="B113" i="5"/>
  <c r="A113" i="5"/>
  <c r="B112" i="5"/>
  <c r="A112" i="5"/>
  <c r="B111" i="5"/>
  <c r="A111" i="5"/>
  <c r="B110" i="5"/>
  <c r="A110" i="5"/>
  <c r="B109" i="5"/>
  <c r="A109" i="5"/>
  <c r="B108" i="5"/>
  <c r="A108" i="5"/>
  <c r="B107" i="5"/>
  <c r="A107" i="5"/>
  <c r="B106" i="5"/>
  <c r="A106" i="5"/>
  <c r="B105" i="5"/>
  <c r="A105" i="5"/>
  <c r="B104" i="5"/>
  <c r="A104" i="5"/>
  <c r="B103" i="5"/>
  <c r="A103" i="5"/>
  <c r="B102" i="5"/>
  <c r="A102" i="5"/>
  <c r="B101" i="5"/>
  <c r="A101" i="5"/>
  <c r="B100" i="5"/>
  <c r="A100" i="5"/>
  <c r="B99" i="5"/>
  <c r="A99" i="5"/>
  <c r="B98" i="5"/>
  <c r="A98" i="5"/>
  <c r="B97" i="5"/>
  <c r="A97" i="5"/>
  <c r="B96" i="5"/>
  <c r="A96" i="5"/>
  <c r="B95" i="5"/>
  <c r="A95" i="5"/>
  <c r="B94" i="5"/>
  <c r="A94" i="5"/>
  <c r="B93" i="5"/>
  <c r="A93" i="5"/>
  <c r="B92" i="5"/>
  <c r="A92" i="5"/>
  <c r="B91" i="5"/>
  <c r="A91" i="5"/>
  <c r="B90" i="5"/>
  <c r="A90" i="5"/>
  <c r="B89" i="5"/>
  <c r="A89" i="5"/>
  <c r="B88" i="5"/>
  <c r="A88" i="5"/>
  <c r="B87" i="5"/>
  <c r="A87" i="5"/>
  <c r="B86" i="5"/>
  <c r="A86" i="5"/>
  <c r="B85" i="5"/>
  <c r="A85" i="5"/>
  <c r="B84" i="5"/>
  <c r="A84" i="5"/>
  <c r="B83" i="5"/>
  <c r="A83" i="5"/>
  <c r="B82" i="5"/>
  <c r="A82" i="5"/>
  <c r="B81" i="5"/>
  <c r="A81" i="5"/>
  <c r="B80" i="5"/>
  <c r="A80" i="5"/>
  <c r="B79" i="5"/>
  <c r="A79" i="5"/>
  <c r="B78" i="5"/>
  <c r="A78" i="5"/>
  <c r="B77" i="5"/>
  <c r="A77" i="5"/>
  <c r="B76" i="5"/>
  <c r="A76" i="5"/>
  <c r="B75" i="5"/>
  <c r="A75" i="5"/>
  <c r="B74" i="5"/>
  <c r="A74" i="5"/>
  <c r="B73" i="5"/>
  <c r="A73" i="5"/>
  <c r="B72" i="5"/>
  <c r="A72" i="5"/>
  <c r="B71" i="5"/>
  <c r="A71" i="5"/>
  <c r="B70" i="5"/>
  <c r="A70" i="5"/>
  <c r="B69" i="5"/>
  <c r="A69" i="5"/>
  <c r="B68" i="5"/>
  <c r="A68" i="5"/>
  <c r="B67" i="5"/>
  <c r="A67" i="5"/>
  <c r="V65" i="5"/>
  <c r="Z65" i="5" s="1"/>
  <c r="B62" i="5"/>
  <c r="A62" i="5"/>
  <c r="B61" i="5"/>
  <c r="A61" i="5"/>
  <c r="B60" i="5"/>
  <c r="A60" i="5"/>
  <c r="B59" i="5"/>
  <c r="A59" i="5"/>
  <c r="B58" i="5"/>
  <c r="A58" i="5"/>
  <c r="B57" i="5"/>
  <c r="A57" i="5"/>
  <c r="B56" i="5"/>
  <c r="A56" i="5"/>
  <c r="B55" i="5"/>
  <c r="A55" i="5"/>
  <c r="B54" i="5"/>
  <c r="A54" i="5"/>
  <c r="B53" i="5"/>
  <c r="A53" i="5"/>
  <c r="B52" i="5"/>
  <c r="A52" i="5"/>
  <c r="B51" i="5"/>
  <c r="A51" i="5"/>
  <c r="B50" i="5"/>
  <c r="A50" i="5"/>
  <c r="B49" i="5"/>
  <c r="A49" i="5"/>
  <c r="B48" i="5"/>
  <c r="A48" i="5"/>
  <c r="B47" i="5"/>
  <c r="A47" i="5"/>
  <c r="B46" i="5"/>
  <c r="A46" i="5"/>
  <c r="B45" i="5"/>
  <c r="A45" i="5"/>
  <c r="B44" i="5"/>
  <c r="A44" i="5"/>
  <c r="B43" i="5"/>
  <c r="A43" i="5"/>
  <c r="B42" i="5"/>
  <c r="A42" i="5"/>
  <c r="B41" i="5"/>
  <c r="A41" i="5"/>
  <c r="B40" i="5"/>
  <c r="A40" i="5"/>
  <c r="B39" i="5"/>
  <c r="A39" i="5"/>
  <c r="B38" i="5"/>
  <c r="A38" i="5"/>
  <c r="B37" i="5"/>
  <c r="A37" i="5"/>
  <c r="B36" i="5"/>
  <c r="A36" i="5"/>
  <c r="B35" i="5"/>
  <c r="A35" i="5"/>
  <c r="B34" i="5"/>
  <c r="A34" i="5"/>
  <c r="B33" i="5"/>
  <c r="A33" i="5"/>
  <c r="B32" i="5"/>
  <c r="A32" i="5"/>
  <c r="B31" i="5"/>
  <c r="A31" i="5"/>
  <c r="B30" i="5"/>
  <c r="A30" i="5"/>
  <c r="B29" i="5"/>
  <c r="A29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W9" i="5"/>
  <c r="K9" i="5"/>
  <c r="W8" i="5"/>
  <c r="K8" i="5"/>
  <c r="W6" i="5"/>
  <c r="G6" i="5"/>
  <c r="O5" i="5"/>
  <c r="G5" i="5"/>
  <c r="AV116" i="4"/>
  <c r="AU116" i="4"/>
  <c r="AT116" i="4"/>
  <c r="Y116" i="4"/>
  <c r="Z116" i="4" s="1"/>
  <c r="X116" i="4"/>
  <c r="V116" i="4"/>
  <c r="W116" i="4" s="1"/>
  <c r="U116" i="4"/>
  <c r="O116" i="4"/>
  <c r="P116" i="4" s="1"/>
  <c r="Q116" i="4" s="1"/>
  <c r="J116" i="4"/>
  <c r="K116" i="4" s="1"/>
  <c r="I116" i="4"/>
  <c r="AV114" i="4"/>
  <c r="AU114" i="4"/>
  <c r="AT114" i="4"/>
  <c r="Y114" i="4"/>
  <c r="Z114" i="4" s="1"/>
  <c r="X114" i="4"/>
  <c r="W114" i="4"/>
  <c r="U114" i="4"/>
  <c r="V114" i="4" s="1"/>
  <c r="P114" i="4"/>
  <c r="Q114" i="4" s="1"/>
  <c r="O114" i="4"/>
  <c r="I114" i="4"/>
  <c r="J114" i="4" s="1"/>
  <c r="K114" i="4" s="1"/>
  <c r="AV113" i="4"/>
  <c r="AU113" i="4"/>
  <c r="AT113" i="4"/>
  <c r="Y113" i="4"/>
  <c r="N114" i="5" s="1"/>
  <c r="X113" i="4"/>
  <c r="V113" i="4"/>
  <c r="W113" i="4" s="1"/>
  <c r="U113" i="4"/>
  <c r="O113" i="4"/>
  <c r="P113" i="4" s="1"/>
  <c r="Q113" i="4" s="1"/>
  <c r="I113" i="4"/>
  <c r="J113" i="4" s="1"/>
  <c r="K113" i="4" s="1"/>
  <c r="C113" i="4"/>
  <c r="B113" i="4"/>
  <c r="A113" i="4"/>
  <c r="AV112" i="4"/>
  <c r="AU112" i="4"/>
  <c r="AT112" i="4"/>
  <c r="Z112" i="4"/>
  <c r="Y112" i="4"/>
  <c r="N113" i="5" s="1"/>
  <c r="X112" i="4"/>
  <c r="V112" i="4"/>
  <c r="W112" i="4" s="1"/>
  <c r="U112" i="4"/>
  <c r="O112" i="4"/>
  <c r="P112" i="4" s="1"/>
  <c r="Q112" i="4" s="1"/>
  <c r="J112" i="4"/>
  <c r="K112" i="4" s="1"/>
  <c r="I112" i="4"/>
  <c r="C112" i="4"/>
  <c r="B112" i="4"/>
  <c r="A112" i="4"/>
  <c r="AV111" i="4"/>
  <c r="AU111" i="4"/>
  <c r="AT111" i="4"/>
  <c r="Z111" i="4"/>
  <c r="Y111" i="4"/>
  <c r="N112" i="5" s="1"/>
  <c r="X111" i="4"/>
  <c r="V111" i="4"/>
  <c r="W111" i="4" s="1"/>
  <c r="U111" i="4"/>
  <c r="O111" i="4"/>
  <c r="P111" i="4" s="1"/>
  <c r="Q111" i="4" s="1"/>
  <c r="J111" i="4"/>
  <c r="K111" i="4" s="1"/>
  <c r="I111" i="4"/>
  <c r="C111" i="4"/>
  <c r="B111" i="4"/>
  <c r="A111" i="4"/>
  <c r="AV110" i="4"/>
  <c r="AU110" i="4"/>
  <c r="AT110" i="4"/>
  <c r="Z110" i="4"/>
  <c r="Y110" i="4"/>
  <c r="N111" i="5" s="1"/>
  <c r="X110" i="4"/>
  <c r="U110" i="4"/>
  <c r="V110" i="4" s="1"/>
  <c r="W110" i="4" s="1"/>
  <c r="Q110" i="4"/>
  <c r="O110" i="4"/>
  <c r="P110" i="4" s="1"/>
  <c r="I110" i="4"/>
  <c r="J110" i="4" s="1"/>
  <c r="K110" i="4" s="1"/>
  <c r="C110" i="4"/>
  <c r="B110" i="4"/>
  <c r="A110" i="4"/>
  <c r="AV109" i="4"/>
  <c r="AU109" i="4"/>
  <c r="AT109" i="4"/>
  <c r="Y109" i="4"/>
  <c r="Z109" i="4" s="1"/>
  <c r="X109" i="4"/>
  <c r="V109" i="4"/>
  <c r="W109" i="4" s="1"/>
  <c r="U109" i="4"/>
  <c r="O109" i="4"/>
  <c r="P109" i="4" s="1"/>
  <c r="Q109" i="4" s="1"/>
  <c r="K109" i="4"/>
  <c r="J109" i="4"/>
  <c r="I109" i="4"/>
  <c r="C109" i="4"/>
  <c r="B109" i="4"/>
  <c r="A109" i="4"/>
  <c r="AV108" i="4"/>
  <c r="AU108" i="4"/>
  <c r="AT108" i="4"/>
  <c r="Y108" i="4"/>
  <c r="N109" i="5" s="1"/>
  <c r="X108" i="4"/>
  <c r="V108" i="4"/>
  <c r="W108" i="4" s="1"/>
  <c r="U108" i="4"/>
  <c r="P108" i="4"/>
  <c r="Q108" i="4" s="1"/>
  <c r="O108" i="4"/>
  <c r="J108" i="4"/>
  <c r="K108" i="4" s="1"/>
  <c r="I108" i="4"/>
  <c r="C108" i="4"/>
  <c r="B108" i="4"/>
  <c r="A108" i="4"/>
  <c r="AV107" i="4"/>
  <c r="AU107" i="4"/>
  <c r="AT107" i="4"/>
  <c r="Z107" i="4"/>
  <c r="Y107" i="4"/>
  <c r="N108" i="5" s="1"/>
  <c r="X107" i="4"/>
  <c r="U107" i="4"/>
  <c r="V107" i="4" s="1"/>
  <c r="W107" i="4" s="1"/>
  <c r="O107" i="4"/>
  <c r="P107" i="4" s="1"/>
  <c r="Q107" i="4" s="1"/>
  <c r="J107" i="4"/>
  <c r="K107" i="4" s="1"/>
  <c r="I107" i="4"/>
  <c r="C107" i="4"/>
  <c r="B107" i="4"/>
  <c r="A107" i="4"/>
  <c r="AV106" i="4"/>
  <c r="AU106" i="4"/>
  <c r="AT106" i="4"/>
  <c r="Z106" i="4"/>
  <c r="Y106" i="4"/>
  <c r="N107" i="5" s="1"/>
  <c r="X106" i="4"/>
  <c r="W106" i="4"/>
  <c r="V106" i="4"/>
  <c r="U106" i="4"/>
  <c r="O106" i="4"/>
  <c r="P106" i="4" s="1"/>
  <c r="Q106" i="4" s="1"/>
  <c r="I106" i="4"/>
  <c r="J106" i="4" s="1"/>
  <c r="K106" i="4" s="1"/>
  <c r="C106" i="4"/>
  <c r="B106" i="4"/>
  <c r="A106" i="4"/>
  <c r="AV105" i="4"/>
  <c r="AU105" i="4"/>
  <c r="AT105" i="4"/>
  <c r="Y105" i="4"/>
  <c r="X105" i="4"/>
  <c r="V105" i="4"/>
  <c r="W105" i="4" s="1"/>
  <c r="U105" i="4"/>
  <c r="Q105" i="4"/>
  <c r="O105" i="4"/>
  <c r="P105" i="4" s="1"/>
  <c r="I105" i="4"/>
  <c r="J105" i="4" s="1"/>
  <c r="K105" i="4" s="1"/>
  <c r="C105" i="4"/>
  <c r="B105" i="4"/>
  <c r="A105" i="4"/>
  <c r="AV104" i="4"/>
  <c r="AU104" i="4"/>
  <c r="AT104" i="4"/>
  <c r="Z104" i="4"/>
  <c r="Y104" i="4"/>
  <c r="N105" i="5" s="1"/>
  <c r="X104" i="4"/>
  <c r="V104" i="4"/>
  <c r="W104" i="4" s="1"/>
  <c r="U104" i="4"/>
  <c r="P104" i="4"/>
  <c r="Q104" i="4" s="1"/>
  <c r="O104" i="4"/>
  <c r="J104" i="4"/>
  <c r="K104" i="4" s="1"/>
  <c r="I104" i="4"/>
  <c r="C104" i="4"/>
  <c r="B104" i="4"/>
  <c r="A104" i="4"/>
  <c r="AV103" i="4"/>
  <c r="AU103" i="4"/>
  <c r="AT103" i="4"/>
  <c r="Z103" i="4"/>
  <c r="Y103" i="4"/>
  <c r="N104" i="5" s="1"/>
  <c r="X103" i="4"/>
  <c r="U103" i="4"/>
  <c r="V103" i="4" s="1"/>
  <c r="W103" i="4" s="1"/>
  <c r="O103" i="4"/>
  <c r="P103" i="4" s="1"/>
  <c r="Q103" i="4" s="1"/>
  <c r="J103" i="4"/>
  <c r="K103" i="4" s="1"/>
  <c r="I103" i="4"/>
  <c r="C103" i="4"/>
  <c r="B103" i="4"/>
  <c r="A103" i="4"/>
  <c r="AV102" i="4"/>
  <c r="AU102" i="4"/>
  <c r="AT102" i="4"/>
  <c r="Z102" i="4"/>
  <c r="Y102" i="4"/>
  <c r="N103" i="5" s="1"/>
  <c r="X102" i="4"/>
  <c r="U102" i="4"/>
  <c r="V102" i="4" s="1"/>
  <c r="W102" i="4" s="1"/>
  <c r="Q102" i="4"/>
  <c r="O102" i="4"/>
  <c r="P102" i="4" s="1"/>
  <c r="I102" i="4"/>
  <c r="J102" i="4" s="1"/>
  <c r="K102" i="4" s="1"/>
  <c r="C102" i="4"/>
  <c r="B102" i="4"/>
  <c r="A102" i="4"/>
  <c r="AV101" i="4"/>
  <c r="AU101" i="4"/>
  <c r="AT101" i="4"/>
  <c r="Y101" i="4"/>
  <c r="X101" i="4"/>
  <c r="V101" i="4"/>
  <c r="W101" i="4" s="1"/>
  <c r="U101" i="4"/>
  <c r="O101" i="4"/>
  <c r="P101" i="4" s="1"/>
  <c r="Q101" i="4" s="1"/>
  <c r="K101" i="4"/>
  <c r="J101" i="4"/>
  <c r="I101" i="4"/>
  <c r="C101" i="4"/>
  <c r="B101" i="4"/>
  <c r="A101" i="4"/>
  <c r="AV100" i="4"/>
  <c r="AU100" i="4"/>
  <c r="AT100" i="4"/>
  <c r="Y100" i="4"/>
  <c r="N101" i="5" s="1"/>
  <c r="X100" i="4"/>
  <c r="V100" i="4"/>
  <c r="W100" i="4" s="1"/>
  <c r="U100" i="4"/>
  <c r="P100" i="4"/>
  <c r="Q100" i="4" s="1"/>
  <c r="O100" i="4"/>
  <c r="J100" i="4"/>
  <c r="K100" i="4" s="1"/>
  <c r="I100" i="4"/>
  <c r="C100" i="4"/>
  <c r="B100" i="4"/>
  <c r="A100" i="4"/>
  <c r="AV99" i="4"/>
  <c r="AU99" i="4"/>
  <c r="AT99" i="4"/>
  <c r="Z99" i="4"/>
  <c r="Y99" i="4"/>
  <c r="N100" i="5" s="1"/>
  <c r="X99" i="4"/>
  <c r="U99" i="4"/>
  <c r="V99" i="4" s="1"/>
  <c r="W99" i="4" s="1"/>
  <c r="O99" i="4"/>
  <c r="P99" i="4" s="1"/>
  <c r="Q99" i="4" s="1"/>
  <c r="J99" i="4"/>
  <c r="K99" i="4" s="1"/>
  <c r="I99" i="4"/>
  <c r="C99" i="4"/>
  <c r="B99" i="4"/>
  <c r="A99" i="4"/>
  <c r="AV98" i="4"/>
  <c r="AU98" i="4"/>
  <c r="AT98" i="4"/>
  <c r="Z98" i="4"/>
  <c r="Y98" i="4"/>
  <c r="N99" i="5" s="1"/>
  <c r="X98" i="4"/>
  <c r="W98" i="4"/>
  <c r="V98" i="4"/>
  <c r="U98" i="4"/>
  <c r="O98" i="4"/>
  <c r="P98" i="4" s="1"/>
  <c r="Q98" i="4" s="1"/>
  <c r="I98" i="4"/>
  <c r="J98" i="4" s="1"/>
  <c r="K98" i="4" s="1"/>
  <c r="C98" i="4"/>
  <c r="B98" i="4"/>
  <c r="A98" i="4"/>
  <c r="AV97" i="4"/>
  <c r="AU97" i="4"/>
  <c r="AT97" i="4"/>
  <c r="Y97" i="4"/>
  <c r="X97" i="4"/>
  <c r="V97" i="4"/>
  <c r="W97" i="4" s="1"/>
  <c r="U97" i="4"/>
  <c r="Q97" i="4"/>
  <c r="O97" i="4"/>
  <c r="P97" i="4" s="1"/>
  <c r="I97" i="4"/>
  <c r="J97" i="4" s="1"/>
  <c r="K97" i="4" s="1"/>
  <c r="C97" i="4"/>
  <c r="B97" i="4"/>
  <c r="A97" i="4"/>
  <c r="AV96" i="4"/>
  <c r="AU96" i="4"/>
  <c r="AT96" i="4"/>
  <c r="Z96" i="4"/>
  <c r="Y96" i="4"/>
  <c r="N97" i="5" s="1"/>
  <c r="X96" i="4"/>
  <c r="V96" i="4"/>
  <c r="W96" i="4" s="1"/>
  <c r="U96" i="4"/>
  <c r="P96" i="4"/>
  <c r="Q96" i="4" s="1"/>
  <c r="O96" i="4"/>
  <c r="J96" i="4"/>
  <c r="K96" i="4" s="1"/>
  <c r="I96" i="4"/>
  <c r="C96" i="4"/>
  <c r="B96" i="4"/>
  <c r="A96" i="4"/>
  <c r="AV95" i="4"/>
  <c r="AU95" i="4"/>
  <c r="AT95" i="4"/>
  <c r="Z95" i="4"/>
  <c r="Y95" i="4"/>
  <c r="N96" i="5" s="1"/>
  <c r="X95" i="4"/>
  <c r="U95" i="4"/>
  <c r="V95" i="4" s="1"/>
  <c r="W95" i="4" s="1"/>
  <c r="O95" i="4"/>
  <c r="P95" i="4" s="1"/>
  <c r="Q95" i="4" s="1"/>
  <c r="J95" i="4"/>
  <c r="K95" i="4" s="1"/>
  <c r="I95" i="4"/>
  <c r="C95" i="4"/>
  <c r="B95" i="4"/>
  <c r="A95" i="4"/>
  <c r="AV94" i="4"/>
  <c r="AU94" i="4"/>
  <c r="AT94" i="4"/>
  <c r="Z94" i="4"/>
  <c r="Y94" i="4"/>
  <c r="N95" i="5" s="1"/>
  <c r="X94" i="4"/>
  <c r="U94" i="4"/>
  <c r="V94" i="4" s="1"/>
  <c r="W94" i="4" s="1"/>
  <c r="Q94" i="4"/>
  <c r="O94" i="4"/>
  <c r="P94" i="4" s="1"/>
  <c r="I94" i="4"/>
  <c r="J94" i="4" s="1"/>
  <c r="K94" i="4" s="1"/>
  <c r="C94" i="4"/>
  <c r="B94" i="4"/>
  <c r="A94" i="4"/>
  <c r="AV93" i="4"/>
  <c r="AU93" i="4"/>
  <c r="AT93" i="4"/>
  <c r="Y93" i="4"/>
  <c r="X93" i="4"/>
  <c r="V93" i="4"/>
  <c r="W93" i="4" s="1"/>
  <c r="U93" i="4"/>
  <c r="O93" i="4"/>
  <c r="P93" i="4" s="1"/>
  <c r="Q93" i="4" s="1"/>
  <c r="J93" i="4"/>
  <c r="K93" i="4" s="1"/>
  <c r="I93" i="4"/>
  <c r="C93" i="4"/>
  <c r="B93" i="4"/>
  <c r="A93" i="4"/>
  <c r="AV92" i="4"/>
  <c r="AU92" i="4"/>
  <c r="AT92" i="4"/>
  <c r="Y92" i="4"/>
  <c r="N93" i="5" s="1"/>
  <c r="X92" i="4"/>
  <c r="V92" i="4"/>
  <c r="W92" i="4" s="1"/>
  <c r="U92" i="4"/>
  <c r="P92" i="4"/>
  <c r="Q92" i="4" s="1"/>
  <c r="O92" i="4"/>
  <c r="J92" i="4"/>
  <c r="K92" i="4" s="1"/>
  <c r="I92" i="4"/>
  <c r="C92" i="4"/>
  <c r="B92" i="4"/>
  <c r="A92" i="4"/>
  <c r="AV91" i="4"/>
  <c r="AU91" i="4"/>
  <c r="AT91" i="4"/>
  <c r="Z91" i="4"/>
  <c r="Y91" i="4"/>
  <c r="N92" i="5" s="1"/>
  <c r="X91" i="4"/>
  <c r="U91" i="4"/>
  <c r="V91" i="4" s="1"/>
  <c r="W91" i="4" s="1"/>
  <c r="Q91" i="4"/>
  <c r="O91" i="4"/>
  <c r="P91" i="4" s="1"/>
  <c r="J91" i="4"/>
  <c r="K91" i="4" s="1"/>
  <c r="I91" i="4"/>
  <c r="C91" i="4"/>
  <c r="B91" i="4"/>
  <c r="A91" i="4"/>
  <c r="AV90" i="4"/>
  <c r="AU90" i="4"/>
  <c r="AT90" i="4"/>
  <c r="Z90" i="4"/>
  <c r="Y90" i="4"/>
  <c r="N91" i="5" s="1"/>
  <c r="X90" i="4"/>
  <c r="W90" i="4"/>
  <c r="V90" i="4"/>
  <c r="U90" i="4"/>
  <c r="Q90" i="4"/>
  <c r="O90" i="4"/>
  <c r="P90" i="4" s="1"/>
  <c r="I90" i="4"/>
  <c r="J90" i="4" s="1"/>
  <c r="K90" i="4" s="1"/>
  <c r="C90" i="4"/>
  <c r="B90" i="4"/>
  <c r="A90" i="4"/>
  <c r="AV89" i="4"/>
  <c r="AU89" i="4"/>
  <c r="AT89" i="4"/>
  <c r="Y89" i="4"/>
  <c r="X89" i="4"/>
  <c r="V89" i="4"/>
  <c r="W89" i="4" s="1"/>
  <c r="U89" i="4"/>
  <c r="Q89" i="4"/>
  <c r="O89" i="4"/>
  <c r="P89" i="4" s="1"/>
  <c r="I89" i="4"/>
  <c r="J89" i="4" s="1"/>
  <c r="K89" i="4" s="1"/>
  <c r="C89" i="4"/>
  <c r="B89" i="4"/>
  <c r="A89" i="4"/>
  <c r="AV88" i="4"/>
  <c r="AU88" i="4"/>
  <c r="AT88" i="4"/>
  <c r="Z88" i="4"/>
  <c r="Y88" i="4"/>
  <c r="N89" i="5" s="1"/>
  <c r="X88" i="4"/>
  <c r="V88" i="4"/>
  <c r="W88" i="4" s="1"/>
  <c r="U88" i="4"/>
  <c r="P88" i="4"/>
  <c r="Q88" i="4" s="1"/>
  <c r="O88" i="4"/>
  <c r="J88" i="4"/>
  <c r="K88" i="4" s="1"/>
  <c r="I88" i="4"/>
  <c r="C88" i="4"/>
  <c r="B88" i="4"/>
  <c r="A88" i="4"/>
  <c r="AV87" i="4"/>
  <c r="AU87" i="4"/>
  <c r="AT87" i="4"/>
  <c r="Z87" i="4"/>
  <c r="Y87" i="4"/>
  <c r="N88" i="5" s="1"/>
  <c r="X87" i="4"/>
  <c r="U87" i="4"/>
  <c r="V87" i="4" s="1"/>
  <c r="W87" i="4" s="1"/>
  <c r="O87" i="4"/>
  <c r="P87" i="4" s="1"/>
  <c r="Q87" i="4" s="1"/>
  <c r="J87" i="4"/>
  <c r="K87" i="4" s="1"/>
  <c r="I87" i="4"/>
  <c r="C87" i="4"/>
  <c r="B87" i="4"/>
  <c r="A87" i="4"/>
  <c r="AV86" i="4"/>
  <c r="AU86" i="4"/>
  <c r="AT86" i="4"/>
  <c r="Z86" i="4"/>
  <c r="Y86" i="4"/>
  <c r="N87" i="5" s="1"/>
  <c r="X86" i="4"/>
  <c r="W86" i="4"/>
  <c r="U86" i="4"/>
  <c r="V86" i="4" s="1"/>
  <c r="O86" i="4"/>
  <c r="P86" i="4" s="1"/>
  <c r="Q86" i="4" s="1"/>
  <c r="I86" i="4"/>
  <c r="J86" i="4" s="1"/>
  <c r="K86" i="4" s="1"/>
  <c r="C86" i="4"/>
  <c r="B86" i="4"/>
  <c r="A86" i="4"/>
  <c r="AV85" i="4"/>
  <c r="AU85" i="4"/>
  <c r="AT85" i="4"/>
  <c r="Y85" i="4"/>
  <c r="X85" i="4"/>
  <c r="V85" i="4"/>
  <c r="W85" i="4" s="1"/>
  <c r="U85" i="4"/>
  <c r="O85" i="4"/>
  <c r="P85" i="4" s="1"/>
  <c r="Q85" i="4" s="1"/>
  <c r="K85" i="4"/>
  <c r="J85" i="4"/>
  <c r="I85" i="4"/>
  <c r="C85" i="4"/>
  <c r="B85" i="4"/>
  <c r="A85" i="4"/>
  <c r="AV84" i="4"/>
  <c r="AU84" i="4"/>
  <c r="AT84" i="4"/>
  <c r="Y84" i="4"/>
  <c r="N85" i="5" s="1"/>
  <c r="X84" i="4"/>
  <c r="V84" i="4"/>
  <c r="W84" i="4" s="1"/>
  <c r="U84" i="4"/>
  <c r="O84" i="4"/>
  <c r="P84" i="4" s="1"/>
  <c r="Q84" i="4" s="1"/>
  <c r="J84" i="4"/>
  <c r="K84" i="4" s="1"/>
  <c r="I84" i="4"/>
  <c r="C84" i="4"/>
  <c r="B84" i="4"/>
  <c r="A84" i="4"/>
  <c r="AV83" i="4"/>
  <c r="AU83" i="4"/>
  <c r="AT83" i="4"/>
  <c r="Z83" i="4"/>
  <c r="Y83" i="4"/>
  <c r="N84" i="5" s="1"/>
  <c r="X83" i="4"/>
  <c r="U83" i="4"/>
  <c r="V83" i="4" s="1"/>
  <c r="W83" i="4" s="1"/>
  <c r="O83" i="4"/>
  <c r="P83" i="4" s="1"/>
  <c r="Q83" i="4" s="1"/>
  <c r="J83" i="4"/>
  <c r="K83" i="4" s="1"/>
  <c r="I83" i="4"/>
  <c r="C83" i="4"/>
  <c r="B83" i="4"/>
  <c r="A83" i="4"/>
  <c r="AV82" i="4"/>
  <c r="AU82" i="4"/>
  <c r="AT82" i="4"/>
  <c r="Z82" i="4"/>
  <c r="Y82" i="4"/>
  <c r="N83" i="5" s="1"/>
  <c r="X82" i="4"/>
  <c r="V82" i="4"/>
  <c r="W82" i="4" s="1"/>
  <c r="U82" i="4"/>
  <c r="O82" i="4"/>
  <c r="P82" i="4" s="1"/>
  <c r="Q82" i="4" s="1"/>
  <c r="I82" i="4"/>
  <c r="J82" i="4" s="1"/>
  <c r="K82" i="4" s="1"/>
  <c r="C82" i="4"/>
  <c r="B82" i="4"/>
  <c r="A82" i="4"/>
  <c r="AV81" i="4"/>
  <c r="AU81" i="4"/>
  <c r="AT81" i="4"/>
  <c r="Y81" i="4"/>
  <c r="X81" i="4"/>
  <c r="V81" i="4"/>
  <c r="W81" i="4" s="1"/>
  <c r="U81" i="4"/>
  <c r="O81" i="4"/>
  <c r="P81" i="4" s="1"/>
  <c r="Q81" i="4" s="1"/>
  <c r="K81" i="4"/>
  <c r="I81" i="4"/>
  <c r="J81" i="4" s="1"/>
  <c r="C81" i="4"/>
  <c r="B81" i="4"/>
  <c r="A81" i="4"/>
  <c r="AV80" i="4"/>
  <c r="AU80" i="4"/>
  <c r="AT80" i="4"/>
  <c r="Z80" i="4"/>
  <c r="Y80" i="4"/>
  <c r="N81" i="5" s="1"/>
  <c r="X80" i="4"/>
  <c r="V80" i="4"/>
  <c r="W80" i="4" s="1"/>
  <c r="U80" i="4"/>
  <c r="Q80" i="4"/>
  <c r="P80" i="4"/>
  <c r="O80" i="4"/>
  <c r="J80" i="4"/>
  <c r="K80" i="4" s="1"/>
  <c r="I80" i="4"/>
  <c r="C80" i="4"/>
  <c r="B80" i="4"/>
  <c r="A80" i="4"/>
  <c r="AV79" i="4"/>
  <c r="AU79" i="4"/>
  <c r="AT79" i="4"/>
  <c r="Z79" i="4"/>
  <c r="Y79" i="4"/>
  <c r="N80" i="5" s="1"/>
  <c r="X79" i="4"/>
  <c r="U79" i="4"/>
  <c r="V79" i="4" s="1"/>
  <c r="W79" i="4" s="1"/>
  <c r="O79" i="4"/>
  <c r="P79" i="4" s="1"/>
  <c r="Q79" i="4" s="1"/>
  <c r="J79" i="4"/>
  <c r="K79" i="4" s="1"/>
  <c r="I79" i="4"/>
  <c r="C79" i="4"/>
  <c r="B79" i="4"/>
  <c r="A79" i="4"/>
  <c r="AV78" i="4"/>
  <c r="AU78" i="4"/>
  <c r="AT78" i="4"/>
  <c r="Z78" i="4"/>
  <c r="Y78" i="4"/>
  <c r="N79" i="5" s="1"/>
  <c r="X78" i="4"/>
  <c r="W78" i="4"/>
  <c r="U78" i="4"/>
  <c r="V78" i="4" s="1"/>
  <c r="O78" i="4"/>
  <c r="P78" i="4" s="1"/>
  <c r="Q78" i="4" s="1"/>
  <c r="I78" i="4"/>
  <c r="J78" i="4" s="1"/>
  <c r="K78" i="4" s="1"/>
  <c r="C78" i="4"/>
  <c r="B78" i="4"/>
  <c r="A78" i="4"/>
  <c r="AV77" i="4"/>
  <c r="AU77" i="4"/>
  <c r="AT77" i="4"/>
  <c r="Z77" i="4"/>
  <c r="Y77" i="4"/>
  <c r="N78" i="5" s="1"/>
  <c r="X77" i="4"/>
  <c r="V77" i="4"/>
  <c r="W77" i="4" s="1"/>
  <c r="U77" i="4"/>
  <c r="Q77" i="4"/>
  <c r="P77" i="4"/>
  <c r="O77" i="4"/>
  <c r="K77" i="4"/>
  <c r="J77" i="4"/>
  <c r="I77" i="4"/>
  <c r="C77" i="4"/>
  <c r="B77" i="4"/>
  <c r="A77" i="4"/>
  <c r="AV76" i="4"/>
  <c r="AU76" i="4"/>
  <c r="AT76" i="4"/>
  <c r="Y76" i="4"/>
  <c r="N77" i="5" s="1"/>
  <c r="X76" i="4"/>
  <c r="V76" i="4"/>
  <c r="W76" i="4" s="1"/>
  <c r="U76" i="4"/>
  <c r="P76" i="4"/>
  <c r="Q76" i="4" s="1"/>
  <c r="O76" i="4"/>
  <c r="J76" i="4"/>
  <c r="K76" i="4" s="1"/>
  <c r="I76" i="4"/>
  <c r="C76" i="4"/>
  <c r="B76" i="4"/>
  <c r="A76" i="4"/>
  <c r="AV75" i="4"/>
  <c r="AU75" i="4"/>
  <c r="AT75" i="4"/>
  <c r="Z75" i="4"/>
  <c r="Y75" i="4"/>
  <c r="N76" i="5" s="1"/>
  <c r="X75" i="4"/>
  <c r="U75" i="4"/>
  <c r="V75" i="4" s="1"/>
  <c r="W75" i="4" s="1"/>
  <c r="P75" i="4"/>
  <c r="Q75" i="4" s="1"/>
  <c r="O75" i="4"/>
  <c r="J75" i="4"/>
  <c r="K75" i="4" s="1"/>
  <c r="I75" i="4"/>
  <c r="C75" i="4"/>
  <c r="B75" i="4"/>
  <c r="A75" i="4"/>
  <c r="AV74" i="4"/>
  <c r="AU74" i="4"/>
  <c r="AT74" i="4"/>
  <c r="Z74" i="4"/>
  <c r="Y74" i="4"/>
  <c r="N75" i="5" s="1"/>
  <c r="X74" i="4"/>
  <c r="U74" i="4"/>
  <c r="V74" i="4" s="1"/>
  <c r="W74" i="4" s="1"/>
  <c r="O74" i="4"/>
  <c r="P74" i="4" s="1"/>
  <c r="Q74" i="4" s="1"/>
  <c r="J74" i="4"/>
  <c r="K74" i="4" s="1"/>
  <c r="I74" i="4"/>
  <c r="C74" i="4"/>
  <c r="B74" i="4"/>
  <c r="A74" i="4"/>
  <c r="AV73" i="4"/>
  <c r="AU73" i="4"/>
  <c r="AT73" i="4"/>
  <c r="Y73" i="4"/>
  <c r="X73" i="4"/>
  <c r="U73" i="4"/>
  <c r="V73" i="4" s="1"/>
  <c r="W73" i="4" s="1"/>
  <c r="Q73" i="4"/>
  <c r="O73" i="4"/>
  <c r="P73" i="4" s="1"/>
  <c r="I73" i="4"/>
  <c r="J73" i="4" s="1"/>
  <c r="K73" i="4" s="1"/>
  <c r="C73" i="4"/>
  <c r="B73" i="4"/>
  <c r="A73" i="4"/>
  <c r="AV72" i="4"/>
  <c r="AU72" i="4"/>
  <c r="AT72" i="4"/>
  <c r="Y72" i="4"/>
  <c r="N73" i="5" s="1"/>
  <c r="X72" i="4"/>
  <c r="W72" i="4"/>
  <c r="V72" i="4"/>
  <c r="U72" i="4"/>
  <c r="Q72" i="4"/>
  <c r="P72" i="4"/>
  <c r="O72" i="4"/>
  <c r="K72" i="4"/>
  <c r="J72" i="4"/>
  <c r="I72" i="4"/>
  <c r="C72" i="4"/>
  <c r="B72" i="4"/>
  <c r="A72" i="4"/>
  <c r="AV71" i="4"/>
  <c r="AU71" i="4"/>
  <c r="AT71" i="4"/>
  <c r="Z71" i="4"/>
  <c r="Y71" i="4"/>
  <c r="N72" i="5" s="1"/>
  <c r="X71" i="4"/>
  <c r="V71" i="4"/>
  <c r="W71" i="4" s="1"/>
  <c r="U71" i="4"/>
  <c r="O71" i="4"/>
  <c r="P71" i="4" s="1"/>
  <c r="Q71" i="4" s="1"/>
  <c r="J71" i="4"/>
  <c r="K71" i="4" s="1"/>
  <c r="I71" i="4"/>
  <c r="C71" i="4"/>
  <c r="B71" i="4"/>
  <c r="A71" i="4"/>
  <c r="AV70" i="4"/>
  <c r="AU70" i="4"/>
  <c r="AT70" i="4"/>
  <c r="Z70" i="4"/>
  <c r="Y70" i="4"/>
  <c r="N71" i="5" s="1"/>
  <c r="X70" i="4"/>
  <c r="U70" i="4"/>
  <c r="V70" i="4" s="1"/>
  <c r="W70" i="4" s="1"/>
  <c r="Q70" i="4"/>
  <c r="O70" i="4"/>
  <c r="P70" i="4" s="1"/>
  <c r="I70" i="4"/>
  <c r="J70" i="4" s="1"/>
  <c r="K70" i="4" s="1"/>
  <c r="C70" i="4"/>
  <c r="B70" i="4"/>
  <c r="A70" i="4"/>
  <c r="AV69" i="4"/>
  <c r="AU69" i="4"/>
  <c r="AT69" i="4"/>
  <c r="Y69" i="4"/>
  <c r="N70" i="5" s="1"/>
  <c r="X69" i="4"/>
  <c r="W69" i="4"/>
  <c r="V69" i="4"/>
  <c r="U69" i="4"/>
  <c r="Q69" i="4"/>
  <c r="P69" i="4"/>
  <c r="O69" i="4"/>
  <c r="J69" i="4"/>
  <c r="K69" i="4" s="1"/>
  <c r="I69" i="4"/>
  <c r="C69" i="4"/>
  <c r="B69" i="4"/>
  <c r="A69" i="4"/>
  <c r="AV68" i="4"/>
  <c r="AU68" i="4"/>
  <c r="AT68" i="4"/>
  <c r="Y68" i="4"/>
  <c r="X68" i="4"/>
  <c r="V68" i="4"/>
  <c r="W68" i="4" s="1"/>
  <c r="U68" i="4"/>
  <c r="P68" i="4"/>
  <c r="Q68" i="4" s="1"/>
  <c r="O68" i="4"/>
  <c r="I68" i="4"/>
  <c r="J68" i="4" s="1"/>
  <c r="K68" i="4" s="1"/>
  <c r="C68" i="4"/>
  <c r="B68" i="4"/>
  <c r="A68" i="4"/>
  <c r="AV67" i="4"/>
  <c r="AU67" i="4"/>
  <c r="AT67" i="4"/>
  <c r="Z67" i="4"/>
  <c r="Y67" i="4"/>
  <c r="N68" i="5" s="1"/>
  <c r="X67" i="4"/>
  <c r="U67" i="4"/>
  <c r="V67" i="4" s="1"/>
  <c r="W67" i="4" s="1"/>
  <c r="P67" i="4"/>
  <c r="Q67" i="4" s="1"/>
  <c r="O67" i="4"/>
  <c r="J67" i="4"/>
  <c r="K67" i="4" s="1"/>
  <c r="I67" i="4"/>
  <c r="C67" i="4"/>
  <c r="B67" i="4"/>
  <c r="A67" i="4"/>
  <c r="AV66" i="4"/>
  <c r="AU66" i="4"/>
  <c r="AT66" i="4"/>
  <c r="Z66" i="4"/>
  <c r="Y66" i="4"/>
  <c r="N67" i="5" s="1"/>
  <c r="X66" i="4"/>
  <c r="U66" i="4"/>
  <c r="V66" i="4" s="1"/>
  <c r="W66" i="4" s="1"/>
  <c r="O66" i="4"/>
  <c r="P66" i="4" s="1"/>
  <c r="Q66" i="4" s="1"/>
  <c r="J66" i="4"/>
  <c r="K66" i="4" s="1"/>
  <c r="I66" i="4"/>
  <c r="C66" i="4"/>
  <c r="B66" i="4"/>
  <c r="A66" i="4"/>
  <c r="AV64" i="4"/>
  <c r="AU64" i="4"/>
  <c r="AT64" i="4"/>
  <c r="AV62" i="4"/>
  <c r="AU62" i="4"/>
  <c r="AT62" i="4"/>
  <c r="Y62" i="4"/>
  <c r="N63" i="5" s="1"/>
  <c r="X62" i="4"/>
  <c r="U62" i="4"/>
  <c r="V62" i="4" s="1"/>
  <c r="W62" i="4" s="1"/>
  <c r="Q62" i="4"/>
  <c r="O62" i="4"/>
  <c r="P62" i="4" s="1"/>
  <c r="I62" i="4"/>
  <c r="J62" i="4" s="1"/>
  <c r="K62" i="4" s="1"/>
  <c r="AV61" i="4"/>
  <c r="AU61" i="4"/>
  <c r="AT61" i="4"/>
  <c r="Y61" i="4"/>
  <c r="N62" i="5" s="1"/>
  <c r="X61" i="4"/>
  <c r="W61" i="4"/>
  <c r="V61" i="4"/>
  <c r="U61" i="4"/>
  <c r="Q61" i="4"/>
  <c r="P61" i="4"/>
  <c r="O61" i="4"/>
  <c r="K61" i="4"/>
  <c r="J61" i="4"/>
  <c r="I61" i="4"/>
  <c r="C61" i="4"/>
  <c r="B61" i="4"/>
  <c r="A61" i="4"/>
  <c r="AV60" i="4"/>
  <c r="AU60" i="4"/>
  <c r="AT60" i="4"/>
  <c r="Z60" i="4"/>
  <c r="Y60" i="4"/>
  <c r="N61" i="5" s="1"/>
  <c r="X60" i="4"/>
  <c r="V60" i="4"/>
  <c r="W60" i="4" s="1"/>
  <c r="U60" i="4"/>
  <c r="O60" i="4"/>
  <c r="P60" i="4" s="1"/>
  <c r="Q60" i="4" s="1"/>
  <c r="J60" i="4"/>
  <c r="K60" i="4" s="1"/>
  <c r="I60" i="4"/>
  <c r="C60" i="4"/>
  <c r="B60" i="4"/>
  <c r="A60" i="4"/>
  <c r="AV59" i="4"/>
  <c r="AU59" i="4"/>
  <c r="AT59" i="4"/>
  <c r="Z59" i="4"/>
  <c r="Y59" i="4"/>
  <c r="N60" i="5" s="1"/>
  <c r="X59" i="4"/>
  <c r="U59" i="4"/>
  <c r="V59" i="4" s="1"/>
  <c r="W59" i="4" s="1"/>
  <c r="Q59" i="4"/>
  <c r="O59" i="4"/>
  <c r="P59" i="4" s="1"/>
  <c r="I59" i="4"/>
  <c r="J59" i="4" s="1"/>
  <c r="K59" i="4" s="1"/>
  <c r="C59" i="4"/>
  <c r="B59" i="4"/>
  <c r="A59" i="4"/>
  <c r="AV58" i="4"/>
  <c r="AU58" i="4"/>
  <c r="AT58" i="4"/>
  <c r="Y58" i="4"/>
  <c r="N59" i="5" s="1"/>
  <c r="X58" i="4"/>
  <c r="W58" i="4"/>
  <c r="V58" i="4"/>
  <c r="U58" i="4"/>
  <c r="Q58" i="4"/>
  <c r="P58" i="4"/>
  <c r="O58" i="4"/>
  <c r="J58" i="4"/>
  <c r="K58" i="4" s="1"/>
  <c r="I58" i="4"/>
  <c r="C58" i="4"/>
  <c r="B58" i="4"/>
  <c r="A58" i="4"/>
  <c r="AV57" i="4"/>
  <c r="AU57" i="4"/>
  <c r="AT57" i="4"/>
  <c r="Y57" i="4"/>
  <c r="X57" i="4"/>
  <c r="V57" i="4"/>
  <c r="W57" i="4" s="1"/>
  <c r="U57" i="4"/>
  <c r="P57" i="4"/>
  <c r="Q57" i="4" s="1"/>
  <c r="O57" i="4"/>
  <c r="I57" i="4"/>
  <c r="J57" i="4" s="1"/>
  <c r="K57" i="4" s="1"/>
  <c r="C57" i="4"/>
  <c r="B57" i="4"/>
  <c r="A57" i="4"/>
  <c r="AV56" i="4"/>
  <c r="AU56" i="4"/>
  <c r="AT56" i="4"/>
  <c r="Z56" i="4"/>
  <c r="Y56" i="4"/>
  <c r="N57" i="5" s="1"/>
  <c r="X56" i="4"/>
  <c r="U56" i="4"/>
  <c r="V56" i="4" s="1"/>
  <c r="W56" i="4" s="1"/>
  <c r="P56" i="4"/>
  <c r="Q56" i="4" s="1"/>
  <c r="O56" i="4"/>
  <c r="J56" i="4"/>
  <c r="K56" i="4" s="1"/>
  <c r="I56" i="4"/>
  <c r="C56" i="4"/>
  <c r="B56" i="4"/>
  <c r="A56" i="4"/>
  <c r="AV55" i="4"/>
  <c r="AU55" i="4"/>
  <c r="AT55" i="4"/>
  <c r="Z55" i="4"/>
  <c r="Y55" i="4"/>
  <c r="N56" i="5" s="1"/>
  <c r="X55" i="4"/>
  <c r="U55" i="4"/>
  <c r="V55" i="4" s="1"/>
  <c r="W55" i="4" s="1"/>
  <c r="O55" i="4"/>
  <c r="P55" i="4" s="1"/>
  <c r="Q55" i="4" s="1"/>
  <c r="J55" i="4"/>
  <c r="K55" i="4" s="1"/>
  <c r="I55" i="4"/>
  <c r="C55" i="4"/>
  <c r="B55" i="4"/>
  <c r="A55" i="4"/>
  <c r="AV54" i="4"/>
  <c r="AU54" i="4"/>
  <c r="AT54" i="4"/>
  <c r="Y54" i="4"/>
  <c r="X54" i="4"/>
  <c r="U54" i="4"/>
  <c r="V54" i="4" s="1"/>
  <c r="W54" i="4" s="1"/>
  <c r="Q54" i="4"/>
  <c r="O54" i="4"/>
  <c r="P54" i="4" s="1"/>
  <c r="I54" i="4"/>
  <c r="J54" i="4" s="1"/>
  <c r="K54" i="4" s="1"/>
  <c r="C54" i="4"/>
  <c r="B54" i="4"/>
  <c r="A54" i="4"/>
  <c r="AV53" i="4"/>
  <c r="AU53" i="4"/>
  <c r="AT53" i="4"/>
  <c r="Y53" i="4"/>
  <c r="N54" i="5" s="1"/>
  <c r="X53" i="4"/>
  <c r="W53" i="4"/>
  <c r="V53" i="4"/>
  <c r="U53" i="4"/>
  <c r="O53" i="4"/>
  <c r="P53" i="4" s="1"/>
  <c r="Q53" i="4" s="1"/>
  <c r="K53" i="4"/>
  <c r="J53" i="4"/>
  <c r="I53" i="4"/>
  <c r="C53" i="4"/>
  <c r="B53" i="4"/>
  <c r="A53" i="4"/>
  <c r="AV52" i="4"/>
  <c r="AU52" i="4"/>
  <c r="AT52" i="4"/>
  <c r="Z52" i="4"/>
  <c r="Y52" i="4"/>
  <c r="N53" i="5" s="1"/>
  <c r="X52" i="4"/>
  <c r="V52" i="4"/>
  <c r="W52" i="4" s="1"/>
  <c r="U52" i="4"/>
  <c r="O52" i="4"/>
  <c r="P52" i="4" s="1"/>
  <c r="Q52" i="4" s="1"/>
  <c r="J52" i="4"/>
  <c r="K52" i="4" s="1"/>
  <c r="I52" i="4"/>
  <c r="C52" i="4"/>
  <c r="B52" i="4"/>
  <c r="A52" i="4"/>
  <c r="AV51" i="4"/>
  <c r="AU51" i="4"/>
  <c r="AT51" i="4"/>
  <c r="Z51" i="4"/>
  <c r="Y51" i="4"/>
  <c r="N52" i="5" s="1"/>
  <c r="X51" i="4"/>
  <c r="W51" i="4"/>
  <c r="V51" i="4"/>
  <c r="U51" i="4"/>
  <c r="O51" i="4"/>
  <c r="P51" i="4" s="1"/>
  <c r="Q51" i="4" s="1"/>
  <c r="I51" i="4"/>
  <c r="J51" i="4" s="1"/>
  <c r="K51" i="4" s="1"/>
  <c r="C51" i="4"/>
  <c r="B51" i="4"/>
  <c r="A51" i="4"/>
  <c r="AV50" i="4"/>
  <c r="AU50" i="4"/>
  <c r="AT50" i="4"/>
  <c r="Y50" i="4"/>
  <c r="N51" i="5" s="1"/>
  <c r="X50" i="4"/>
  <c r="V50" i="4"/>
  <c r="W50" i="4" s="1"/>
  <c r="U50" i="4"/>
  <c r="Q50" i="4"/>
  <c r="P50" i="4"/>
  <c r="O50" i="4"/>
  <c r="I50" i="4"/>
  <c r="J50" i="4" s="1"/>
  <c r="K50" i="4" s="1"/>
  <c r="C50" i="4"/>
  <c r="B50" i="4"/>
  <c r="A50" i="4"/>
  <c r="AV49" i="4"/>
  <c r="AU49" i="4"/>
  <c r="AT49" i="4"/>
  <c r="Z49" i="4"/>
  <c r="Y49" i="4"/>
  <c r="N50" i="5" s="1"/>
  <c r="X49" i="4"/>
  <c r="V49" i="4"/>
  <c r="W49" i="4" s="1"/>
  <c r="U49" i="4"/>
  <c r="O49" i="4"/>
  <c r="P49" i="4" s="1"/>
  <c r="Q49" i="4" s="1"/>
  <c r="I49" i="4"/>
  <c r="J49" i="4" s="1"/>
  <c r="K49" i="4" s="1"/>
  <c r="C49" i="4"/>
  <c r="B49" i="4"/>
  <c r="A49" i="4"/>
  <c r="AV48" i="4"/>
  <c r="AU48" i="4"/>
  <c r="AT48" i="4"/>
  <c r="Z48" i="4"/>
  <c r="Y48" i="4"/>
  <c r="N49" i="5" s="1"/>
  <c r="X48" i="4"/>
  <c r="W48" i="4"/>
  <c r="U48" i="4"/>
  <c r="V48" i="4" s="1"/>
  <c r="P48" i="4"/>
  <c r="Q48" i="4" s="1"/>
  <c r="O48" i="4"/>
  <c r="J48" i="4"/>
  <c r="K48" i="4" s="1"/>
  <c r="I48" i="4"/>
  <c r="C48" i="4"/>
  <c r="B48" i="4"/>
  <c r="A48" i="4"/>
  <c r="AV47" i="4"/>
  <c r="AU47" i="4"/>
  <c r="AT47" i="4"/>
  <c r="Y47" i="4"/>
  <c r="N48" i="5" s="1"/>
  <c r="X47" i="4"/>
  <c r="U47" i="4"/>
  <c r="V47" i="4" s="1"/>
  <c r="W47" i="4" s="1"/>
  <c r="O47" i="4"/>
  <c r="P47" i="4" s="1"/>
  <c r="Q47" i="4" s="1"/>
  <c r="I47" i="4"/>
  <c r="J47" i="4" s="1"/>
  <c r="K47" i="4" s="1"/>
  <c r="C47" i="4"/>
  <c r="B47" i="4"/>
  <c r="A47" i="4"/>
  <c r="AV46" i="4"/>
  <c r="AU46" i="4"/>
  <c r="AT46" i="4"/>
  <c r="Y46" i="4"/>
  <c r="X46" i="4"/>
  <c r="U46" i="4"/>
  <c r="V46" i="4" s="1"/>
  <c r="W46" i="4" s="1"/>
  <c r="Q46" i="4"/>
  <c r="O46" i="4"/>
  <c r="P46" i="4" s="1"/>
  <c r="K46" i="4"/>
  <c r="I46" i="4"/>
  <c r="J46" i="4" s="1"/>
  <c r="C46" i="4"/>
  <c r="B46" i="4"/>
  <c r="A46" i="4"/>
  <c r="AV45" i="4"/>
  <c r="AU45" i="4"/>
  <c r="AT45" i="4"/>
  <c r="Z45" i="4"/>
  <c r="Y45" i="4"/>
  <c r="N46" i="5" s="1"/>
  <c r="X45" i="4"/>
  <c r="V45" i="4"/>
  <c r="W45" i="4" s="1"/>
  <c r="U45" i="4"/>
  <c r="P45" i="4"/>
  <c r="Q45" i="4" s="1"/>
  <c r="O45" i="4"/>
  <c r="K45" i="4"/>
  <c r="J45" i="4"/>
  <c r="I45" i="4"/>
  <c r="C45" i="4"/>
  <c r="B45" i="4"/>
  <c r="A45" i="4"/>
  <c r="AV44" i="4"/>
  <c r="AU44" i="4"/>
  <c r="AT44" i="4"/>
  <c r="Y44" i="4"/>
  <c r="N45" i="5" s="1"/>
  <c r="X44" i="4"/>
  <c r="V44" i="4"/>
  <c r="W44" i="4" s="1"/>
  <c r="U44" i="4"/>
  <c r="O44" i="4"/>
  <c r="P44" i="4" s="1"/>
  <c r="Q44" i="4" s="1"/>
  <c r="I44" i="4"/>
  <c r="J44" i="4" s="1"/>
  <c r="K44" i="4" s="1"/>
  <c r="C44" i="4"/>
  <c r="B44" i="4"/>
  <c r="A44" i="4"/>
  <c r="AV43" i="4"/>
  <c r="AU43" i="4"/>
  <c r="AT43" i="4"/>
  <c r="Z43" i="4"/>
  <c r="Y43" i="4"/>
  <c r="N44" i="5" s="1"/>
  <c r="X43" i="4"/>
  <c r="U43" i="4"/>
  <c r="V43" i="4" s="1"/>
  <c r="W43" i="4" s="1"/>
  <c r="O43" i="4"/>
  <c r="P43" i="4" s="1"/>
  <c r="Q43" i="4" s="1"/>
  <c r="I43" i="4"/>
  <c r="J43" i="4" s="1"/>
  <c r="K43" i="4" s="1"/>
  <c r="C43" i="4"/>
  <c r="B43" i="4"/>
  <c r="A43" i="4"/>
  <c r="AV42" i="4"/>
  <c r="AU42" i="4"/>
  <c r="AT42" i="4"/>
  <c r="Y42" i="4"/>
  <c r="N43" i="5" s="1"/>
  <c r="X42" i="4"/>
  <c r="W42" i="4"/>
  <c r="V42" i="4"/>
  <c r="U42" i="4"/>
  <c r="P42" i="4"/>
  <c r="Q42" i="4" s="1"/>
  <c r="O42" i="4"/>
  <c r="I42" i="4"/>
  <c r="J42" i="4" s="1"/>
  <c r="K42" i="4" s="1"/>
  <c r="C42" i="4"/>
  <c r="B42" i="4"/>
  <c r="A42" i="4"/>
  <c r="AV41" i="4"/>
  <c r="AU41" i="4"/>
  <c r="AT41" i="4"/>
  <c r="Z41" i="4"/>
  <c r="Y41" i="4"/>
  <c r="N42" i="5" s="1"/>
  <c r="X41" i="4"/>
  <c r="V41" i="4"/>
  <c r="W41" i="4" s="1"/>
  <c r="U41" i="4"/>
  <c r="P41" i="4"/>
  <c r="Q41" i="4" s="1"/>
  <c r="O41" i="4"/>
  <c r="I41" i="4"/>
  <c r="J41" i="4" s="1"/>
  <c r="K41" i="4" s="1"/>
  <c r="C41" i="4"/>
  <c r="B41" i="4"/>
  <c r="A41" i="4"/>
  <c r="AV40" i="4"/>
  <c r="AU40" i="4"/>
  <c r="AT40" i="4"/>
  <c r="Z40" i="4"/>
  <c r="Y40" i="4"/>
  <c r="N41" i="5" s="1"/>
  <c r="X40" i="4"/>
  <c r="W40" i="4"/>
  <c r="U40" i="4"/>
  <c r="V40" i="4" s="1"/>
  <c r="Q40" i="4"/>
  <c r="O40" i="4"/>
  <c r="P40" i="4" s="1"/>
  <c r="J40" i="4"/>
  <c r="K40" i="4" s="1"/>
  <c r="I40" i="4"/>
  <c r="C40" i="4"/>
  <c r="B40" i="4"/>
  <c r="A40" i="4"/>
  <c r="AV39" i="4"/>
  <c r="AU39" i="4"/>
  <c r="AT39" i="4"/>
  <c r="Z39" i="4"/>
  <c r="Y39" i="4"/>
  <c r="N40" i="5" s="1"/>
  <c r="X39" i="4"/>
  <c r="V39" i="4"/>
  <c r="W39" i="4" s="1"/>
  <c r="U39" i="4"/>
  <c r="O39" i="4"/>
  <c r="P39" i="4" s="1"/>
  <c r="Q39" i="4" s="1"/>
  <c r="I39" i="4"/>
  <c r="J39" i="4" s="1"/>
  <c r="K39" i="4" s="1"/>
  <c r="C39" i="4"/>
  <c r="B39" i="4"/>
  <c r="A39" i="4"/>
  <c r="AV38" i="4"/>
  <c r="AU38" i="4"/>
  <c r="AT38" i="4"/>
  <c r="Z38" i="4"/>
  <c r="Y38" i="4"/>
  <c r="N39" i="5" s="1"/>
  <c r="X38" i="4"/>
  <c r="U38" i="4"/>
  <c r="V38" i="4" s="1"/>
  <c r="W38" i="4" s="1"/>
  <c r="Q38" i="4"/>
  <c r="P38" i="4"/>
  <c r="O38" i="4"/>
  <c r="K38" i="4"/>
  <c r="J38" i="4"/>
  <c r="I38" i="4"/>
  <c r="C38" i="4"/>
  <c r="B38" i="4"/>
  <c r="A38" i="4"/>
  <c r="AV37" i="4"/>
  <c r="AU37" i="4"/>
  <c r="AT37" i="4"/>
  <c r="Z37" i="4"/>
  <c r="Y37" i="4"/>
  <c r="N38" i="5" s="1"/>
  <c r="X37" i="4"/>
  <c r="V37" i="4"/>
  <c r="W37" i="4" s="1"/>
  <c r="U37" i="4"/>
  <c r="P37" i="4"/>
  <c r="Q37" i="4" s="1"/>
  <c r="O37" i="4"/>
  <c r="I37" i="4"/>
  <c r="J37" i="4" s="1"/>
  <c r="K37" i="4" s="1"/>
  <c r="C37" i="4"/>
  <c r="B37" i="4"/>
  <c r="A37" i="4"/>
  <c r="AV36" i="4"/>
  <c r="AU36" i="4"/>
  <c r="AT36" i="4"/>
  <c r="Y36" i="4"/>
  <c r="N37" i="5" s="1"/>
  <c r="X36" i="4"/>
  <c r="U36" i="4"/>
  <c r="V36" i="4" s="1"/>
  <c r="W36" i="4" s="1"/>
  <c r="O36" i="4"/>
  <c r="P36" i="4" s="1"/>
  <c r="Q36" i="4" s="1"/>
  <c r="K36" i="4"/>
  <c r="J36" i="4"/>
  <c r="I36" i="4"/>
  <c r="C36" i="4"/>
  <c r="B36" i="4"/>
  <c r="A36" i="4"/>
  <c r="AV35" i="4"/>
  <c r="AU35" i="4"/>
  <c r="AT35" i="4"/>
  <c r="Z35" i="4"/>
  <c r="Y35" i="4"/>
  <c r="N36" i="5" s="1"/>
  <c r="X35" i="4"/>
  <c r="W35" i="4"/>
  <c r="V35" i="4"/>
  <c r="U35" i="4"/>
  <c r="P35" i="4"/>
  <c r="Q35" i="4" s="1"/>
  <c r="O35" i="4"/>
  <c r="J35" i="4"/>
  <c r="K35" i="4" s="1"/>
  <c r="I35" i="4"/>
  <c r="C35" i="4"/>
  <c r="B35" i="4"/>
  <c r="A35" i="4"/>
  <c r="AV34" i="4"/>
  <c r="AU34" i="4"/>
  <c r="AT34" i="4"/>
  <c r="Y34" i="4"/>
  <c r="N35" i="5" s="1"/>
  <c r="X34" i="4"/>
  <c r="U34" i="4"/>
  <c r="V34" i="4" s="1"/>
  <c r="W34" i="4" s="1"/>
  <c r="O34" i="4"/>
  <c r="P34" i="4" s="1"/>
  <c r="Q34" i="4" s="1"/>
  <c r="J34" i="4"/>
  <c r="K34" i="4" s="1"/>
  <c r="I34" i="4"/>
  <c r="C34" i="4"/>
  <c r="B34" i="4"/>
  <c r="A34" i="4"/>
  <c r="AV33" i="4"/>
  <c r="AU33" i="4"/>
  <c r="AT33" i="4"/>
  <c r="AE33" i="4"/>
  <c r="AD33" i="4"/>
  <c r="AC33" i="4"/>
  <c r="Z33" i="4"/>
  <c r="Y33" i="4"/>
  <c r="N34" i="5" s="1"/>
  <c r="X33" i="4"/>
  <c r="U33" i="4"/>
  <c r="V33" i="4" s="1"/>
  <c r="W33" i="4" s="1"/>
  <c r="O33" i="4"/>
  <c r="P33" i="4" s="1"/>
  <c r="Q33" i="4" s="1"/>
  <c r="K33" i="4"/>
  <c r="J33" i="4"/>
  <c r="I33" i="4"/>
  <c r="C33" i="4"/>
  <c r="B33" i="4"/>
  <c r="A33" i="4"/>
  <c r="AV32" i="4"/>
  <c r="AU32" i="4"/>
  <c r="AT32" i="4"/>
  <c r="AE32" i="4"/>
  <c r="AD32" i="4"/>
  <c r="AC32" i="4"/>
  <c r="Z32" i="4"/>
  <c r="Y32" i="4"/>
  <c r="N33" i="5" s="1"/>
  <c r="X32" i="4"/>
  <c r="V32" i="4"/>
  <c r="W32" i="4" s="1"/>
  <c r="U32" i="4"/>
  <c r="P32" i="4"/>
  <c r="Q32" i="4" s="1"/>
  <c r="O32" i="4"/>
  <c r="I32" i="4"/>
  <c r="J32" i="4" s="1"/>
  <c r="K32" i="4" s="1"/>
  <c r="C32" i="4"/>
  <c r="B32" i="4"/>
  <c r="A32" i="4"/>
  <c r="AV31" i="4"/>
  <c r="AU31" i="4"/>
  <c r="AT31" i="4"/>
  <c r="AE31" i="4"/>
  <c r="AD31" i="4"/>
  <c r="AC31" i="4"/>
  <c r="Z31" i="4"/>
  <c r="Y31" i="4"/>
  <c r="N32" i="5" s="1"/>
  <c r="X31" i="4"/>
  <c r="U31" i="4"/>
  <c r="V31" i="4" s="1"/>
  <c r="W31" i="4" s="1"/>
  <c r="Q31" i="4"/>
  <c r="P31" i="4"/>
  <c r="O31" i="4"/>
  <c r="K31" i="4"/>
  <c r="I31" i="4"/>
  <c r="J31" i="4" s="1"/>
  <c r="C31" i="4"/>
  <c r="B31" i="4"/>
  <c r="A31" i="4"/>
  <c r="AV30" i="4"/>
  <c r="AU30" i="4"/>
  <c r="AT30" i="4"/>
  <c r="Z30" i="4"/>
  <c r="Y30" i="4"/>
  <c r="N31" i="5" s="1"/>
  <c r="X30" i="4"/>
  <c r="V30" i="4"/>
  <c r="W30" i="4" s="1"/>
  <c r="U30" i="4"/>
  <c r="P30" i="4"/>
  <c r="Q30" i="4" s="1"/>
  <c r="O30" i="4"/>
  <c r="I30" i="4"/>
  <c r="J30" i="4" s="1"/>
  <c r="K30" i="4" s="1"/>
  <c r="C30" i="4"/>
  <c r="B30" i="4"/>
  <c r="A30" i="4"/>
  <c r="AV29" i="4"/>
  <c r="AU29" i="4"/>
  <c r="AT29" i="4"/>
  <c r="Y29" i="4"/>
  <c r="N30" i="5" s="1"/>
  <c r="X29" i="4"/>
  <c r="U29" i="4"/>
  <c r="V29" i="4" s="1"/>
  <c r="W29" i="4" s="1"/>
  <c r="P29" i="4"/>
  <c r="Q29" i="4" s="1"/>
  <c r="O29" i="4"/>
  <c r="I29" i="4"/>
  <c r="J29" i="4" s="1"/>
  <c r="K29" i="4" s="1"/>
  <c r="C29" i="4"/>
  <c r="B29" i="4"/>
  <c r="A29" i="4"/>
  <c r="AV28" i="4"/>
  <c r="AU28" i="4"/>
  <c r="AT28" i="4"/>
  <c r="Z28" i="4"/>
  <c r="Y28" i="4"/>
  <c r="N29" i="5" s="1"/>
  <c r="X28" i="4"/>
  <c r="U28" i="4"/>
  <c r="V28" i="4" s="1"/>
  <c r="W28" i="4" s="1"/>
  <c r="Q28" i="4"/>
  <c r="P28" i="4"/>
  <c r="O28" i="4"/>
  <c r="K28" i="4"/>
  <c r="J28" i="4"/>
  <c r="I28" i="4"/>
  <c r="C28" i="4"/>
  <c r="B28" i="4"/>
  <c r="A28" i="4"/>
  <c r="AV27" i="4"/>
  <c r="AU27" i="4"/>
  <c r="AT27" i="4"/>
  <c r="AE27" i="4"/>
  <c r="AD27" i="4"/>
  <c r="AC27" i="4"/>
  <c r="Y27" i="4"/>
  <c r="X27" i="4"/>
  <c r="V27" i="4"/>
  <c r="W27" i="4" s="1"/>
  <c r="U27" i="4"/>
  <c r="O27" i="4"/>
  <c r="P27" i="4" s="1"/>
  <c r="Q27" i="4" s="1"/>
  <c r="I27" i="4"/>
  <c r="J27" i="4" s="1"/>
  <c r="K27" i="4" s="1"/>
  <c r="C27" i="4"/>
  <c r="B27" i="4"/>
  <c r="A27" i="4"/>
  <c r="AV26" i="4"/>
  <c r="AU26" i="4"/>
  <c r="AT26" i="4"/>
  <c r="AC19" i="4" s="1"/>
  <c r="AC20" i="4" s="1"/>
  <c r="AC22" i="4" s="1"/>
  <c r="AE26" i="4"/>
  <c r="AD26" i="4"/>
  <c r="AC26" i="4"/>
  <c r="Z26" i="4"/>
  <c r="Y26" i="4"/>
  <c r="N27" i="5" s="1"/>
  <c r="X26" i="4"/>
  <c r="W26" i="4"/>
  <c r="V26" i="4"/>
  <c r="U26" i="4"/>
  <c r="Q26" i="4"/>
  <c r="O26" i="4"/>
  <c r="P26" i="4" s="1"/>
  <c r="J26" i="4"/>
  <c r="K26" i="4" s="1"/>
  <c r="I26" i="4"/>
  <c r="C26" i="4"/>
  <c r="B26" i="4"/>
  <c r="A26" i="4"/>
  <c r="AV25" i="4"/>
  <c r="AU25" i="4"/>
  <c r="AT25" i="4"/>
  <c r="AE25" i="4"/>
  <c r="AD25" i="4"/>
  <c r="AD28" i="4" s="1"/>
  <c r="AC25" i="4"/>
  <c r="AC28" i="4" s="1"/>
  <c r="Y25" i="4"/>
  <c r="X25" i="4"/>
  <c r="U25" i="4"/>
  <c r="V25" i="4" s="1"/>
  <c r="W25" i="4" s="1"/>
  <c r="P25" i="4"/>
  <c r="Q25" i="4" s="1"/>
  <c r="O25" i="4"/>
  <c r="K25" i="4"/>
  <c r="J25" i="4"/>
  <c r="I25" i="4"/>
  <c r="C25" i="4"/>
  <c r="B25" i="4"/>
  <c r="A25" i="4"/>
  <c r="AV24" i="4"/>
  <c r="AU24" i="4"/>
  <c r="AT24" i="4"/>
  <c r="Y24" i="4"/>
  <c r="X24" i="4"/>
  <c r="U24" i="4"/>
  <c r="V24" i="4" s="1"/>
  <c r="W24" i="4" s="1"/>
  <c r="Q24" i="4"/>
  <c r="P24" i="4"/>
  <c r="O24" i="4"/>
  <c r="I24" i="4"/>
  <c r="J24" i="4" s="1"/>
  <c r="K24" i="4" s="1"/>
  <c r="C24" i="4"/>
  <c r="B24" i="4"/>
  <c r="A24" i="4"/>
  <c r="AV23" i="4"/>
  <c r="AU23" i="4"/>
  <c r="AT23" i="4"/>
  <c r="Y23" i="4"/>
  <c r="N24" i="5" s="1"/>
  <c r="X23" i="4"/>
  <c r="W23" i="4"/>
  <c r="V23" i="4"/>
  <c r="U23" i="4"/>
  <c r="Q23" i="4"/>
  <c r="P23" i="4"/>
  <c r="O23" i="4"/>
  <c r="J23" i="4"/>
  <c r="K23" i="4" s="1"/>
  <c r="I23" i="4"/>
  <c r="C23" i="4"/>
  <c r="B23" i="4"/>
  <c r="A23" i="4"/>
  <c r="AV22" i="4"/>
  <c r="AU22" i="4"/>
  <c r="AT22" i="4"/>
  <c r="Z22" i="4"/>
  <c r="Y22" i="4"/>
  <c r="N23" i="5" s="1"/>
  <c r="X22" i="4"/>
  <c r="U22" i="4"/>
  <c r="V22" i="4" s="1"/>
  <c r="W22" i="4" s="1"/>
  <c r="O22" i="4"/>
  <c r="P22" i="4" s="1"/>
  <c r="Q22" i="4" s="1"/>
  <c r="J22" i="4"/>
  <c r="K22" i="4" s="1"/>
  <c r="I22" i="4"/>
  <c r="C22" i="4"/>
  <c r="B22" i="4"/>
  <c r="A22" i="4"/>
  <c r="AV21" i="4"/>
  <c r="AU21" i="4"/>
  <c r="AT21" i="4"/>
  <c r="Z21" i="4"/>
  <c r="Y21" i="4"/>
  <c r="N22" i="5" s="1"/>
  <c r="X21" i="4"/>
  <c r="U21" i="4"/>
  <c r="V21" i="4" s="1"/>
  <c r="W21" i="4" s="1"/>
  <c r="P21" i="4"/>
  <c r="Q21" i="4" s="1"/>
  <c r="O21" i="4"/>
  <c r="K21" i="4"/>
  <c r="J21" i="4"/>
  <c r="I21" i="4"/>
  <c r="C21" i="4"/>
  <c r="B21" i="4"/>
  <c r="A21" i="4"/>
  <c r="AV20" i="4"/>
  <c r="AU20" i="4"/>
  <c r="AT20" i="4"/>
  <c r="Z20" i="4"/>
  <c r="Y20" i="4"/>
  <c r="N21" i="5" s="1"/>
  <c r="X20" i="4"/>
  <c r="V20" i="4"/>
  <c r="W20" i="4" s="1"/>
  <c r="U20" i="4"/>
  <c r="Q20" i="4"/>
  <c r="P20" i="4"/>
  <c r="O20" i="4"/>
  <c r="I20" i="4"/>
  <c r="J20" i="4" s="1"/>
  <c r="K20" i="4" s="1"/>
  <c r="C20" i="4"/>
  <c r="B20" i="4"/>
  <c r="A20" i="4"/>
  <c r="AV19" i="4"/>
  <c r="AU19" i="4"/>
  <c r="AT19" i="4"/>
  <c r="Z19" i="4"/>
  <c r="Y19" i="4"/>
  <c r="N20" i="5" s="1"/>
  <c r="X19" i="4"/>
  <c r="U19" i="4"/>
  <c r="V19" i="4" s="1"/>
  <c r="W19" i="4" s="1"/>
  <c r="Q19" i="4"/>
  <c r="P19" i="4"/>
  <c r="O19" i="4"/>
  <c r="I19" i="4"/>
  <c r="J19" i="4" s="1"/>
  <c r="K19" i="4" s="1"/>
  <c r="C19" i="4"/>
  <c r="B19" i="4"/>
  <c r="A19" i="4"/>
  <c r="AV18" i="4"/>
  <c r="AU18" i="4"/>
  <c r="AT18" i="4"/>
  <c r="Z18" i="4"/>
  <c r="Y18" i="4"/>
  <c r="N19" i="5" s="1"/>
  <c r="X18" i="4"/>
  <c r="V18" i="4"/>
  <c r="W18" i="4" s="1"/>
  <c r="U18" i="4"/>
  <c r="P18" i="4"/>
  <c r="Q18" i="4" s="1"/>
  <c r="O18" i="4"/>
  <c r="K18" i="4"/>
  <c r="I18" i="4"/>
  <c r="J18" i="4" s="1"/>
  <c r="C18" i="4"/>
  <c r="B18" i="4"/>
  <c r="A18" i="4"/>
  <c r="AV17" i="4"/>
  <c r="AU17" i="4"/>
  <c r="AT17" i="4"/>
  <c r="Y17" i="4"/>
  <c r="N18" i="5" s="1"/>
  <c r="X17" i="4"/>
  <c r="U17" i="4"/>
  <c r="V17" i="4" s="1"/>
  <c r="W17" i="4" s="1"/>
  <c r="P17" i="4"/>
  <c r="Q17" i="4" s="1"/>
  <c r="O17" i="4"/>
  <c r="I17" i="4"/>
  <c r="J17" i="4" s="1"/>
  <c r="K17" i="4" s="1"/>
  <c r="C17" i="4"/>
  <c r="B17" i="4"/>
  <c r="A17" i="4"/>
  <c r="AV16" i="4"/>
  <c r="AU16" i="4"/>
  <c r="AT16" i="4"/>
  <c r="AE16" i="4"/>
  <c r="AE28" i="4" s="1"/>
  <c r="AD16" i="4"/>
  <c r="AC16" i="4"/>
  <c r="Z16" i="4"/>
  <c r="Y16" i="4"/>
  <c r="N17" i="5" s="1"/>
  <c r="X16" i="4"/>
  <c r="U16" i="4"/>
  <c r="V16" i="4" s="1"/>
  <c r="W16" i="4" s="1"/>
  <c r="Q16" i="4"/>
  <c r="P16" i="4"/>
  <c r="O16" i="4"/>
  <c r="K16" i="4"/>
  <c r="J16" i="4"/>
  <c r="I16" i="4"/>
  <c r="C16" i="4"/>
  <c r="B16" i="4"/>
  <c r="A16" i="4"/>
  <c r="AV15" i="4"/>
  <c r="AU15" i="4"/>
  <c r="AT15" i="4"/>
  <c r="AE15" i="4"/>
  <c r="AD15" i="4"/>
  <c r="AC15" i="4"/>
  <c r="Z15" i="4"/>
  <c r="Y15" i="4"/>
  <c r="N16" i="5" s="1"/>
  <c r="X15" i="4"/>
  <c r="W15" i="4"/>
  <c r="V15" i="4"/>
  <c r="U15" i="4"/>
  <c r="O15" i="4"/>
  <c r="P15" i="4" s="1"/>
  <c r="Q15" i="4" s="1"/>
  <c r="I15" i="4"/>
  <c r="J15" i="4" s="1"/>
  <c r="K15" i="4" s="1"/>
  <c r="C15" i="4"/>
  <c r="B15" i="4"/>
  <c r="A15" i="4"/>
  <c r="AV14" i="4"/>
  <c r="AU14" i="4"/>
  <c r="AT14" i="4"/>
  <c r="Z14" i="4"/>
  <c r="Y14" i="4"/>
  <c r="N15" i="5" s="1"/>
  <c r="X14" i="4"/>
  <c r="U14" i="4"/>
  <c r="V14" i="4" s="1"/>
  <c r="W14" i="4" s="1"/>
  <c r="Q14" i="4"/>
  <c r="P14" i="4"/>
  <c r="O14" i="4"/>
  <c r="K14" i="4"/>
  <c r="I14" i="4"/>
  <c r="J14" i="4" s="1"/>
  <c r="C14" i="4"/>
  <c r="B14" i="4"/>
  <c r="A14" i="4"/>
  <c r="AV13" i="4"/>
  <c r="AU13" i="4"/>
  <c r="AT13" i="4"/>
  <c r="Z13" i="4"/>
  <c r="Y13" i="4"/>
  <c r="N14" i="5" s="1"/>
  <c r="V13" i="4"/>
  <c r="W13" i="4" s="1"/>
  <c r="U13" i="4"/>
  <c r="X13" i="4" s="1"/>
  <c r="P13" i="4"/>
  <c r="Q13" i="4" s="1"/>
  <c r="O13" i="4"/>
  <c r="K13" i="4"/>
  <c r="I13" i="4"/>
  <c r="J13" i="4" s="1"/>
  <c r="C13" i="4"/>
  <c r="B13" i="4"/>
  <c r="A13" i="4"/>
  <c r="W10" i="4"/>
  <c r="U10" i="4"/>
  <c r="Q10" i="4"/>
  <c r="O10" i="4"/>
  <c r="K10" i="4"/>
  <c r="I10" i="4"/>
  <c r="R8" i="4"/>
  <c r="L8" i="4"/>
  <c r="D8" i="4"/>
  <c r="U7" i="4"/>
  <c r="O7" i="4"/>
  <c r="I7" i="4"/>
  <c r="W5" i="4"/>
  <c r="P5" i="4"/>
  <c r="D5" i="4"/>
  <c r="I4" i="4"/>
  <c r="D4" i="4"/>
  <c r="AV116" i="3"/>
  <c r="AU116" i="3"/>
  <c r="AT116" i="3"/>
  <c r="Y116" i="3"/>
  <c r="Z116" i="3" s="1"/>
  <c r="X116" i="3"/>
  <c r="V116" i="3"/>
  <c r="W116" i="3" s="1"/>
  <c r="U116" i="3"/>
  <c r="Q116" i="3"/>
  <c r="O116" i="3"/>
  <c r="P116" i="3" s="1"/>
  <c r="J116" i="3"/>
  <c r="K116" i="3" s="1"/>
  <c r="I116" i="3"/>
  <c r="AV115" i="3"/>
  <c r="AU115" i="3"/>
  <c r="AT115" i="3"/>
  <c r="Y115" i="3"/>
  <c r="J116" i="5" s="1"/>
  <c r="X115" i="3"/>
  <c r="U115" i="3"/>
  <c r="V115" i="3" s="1"/>
  <c r="W115" i="3" s="1"/>
  <c r="P115" i="3"/>
  <c r="Q115" i="3" s="1"/>
  <c r="O115" i="3"/>
  <c r="J115" i="3"/>
  <c r="K115" i="3" s="1"/>
  <c r="I115" i="3"/>
  <c r="AV114" i="3"/>
  <c r="AU114" i="3"/>
  <c r="AT114" i="3"/>
  <c r="Z114" i="3"/>
  <c r="Y114" i="3"/>
  <c r="J115" i="5" s="1"/>
  <c r="X114" i="3"/>
  <c r="U114" i="3"/>
  <c r="V114" i="3" s="1"/>
  <c r="W114" i="3" s="1"/>
  <c r="O114" i="3"/>
  <c r="P114" i="3" s="1"/>
  <c r="Q114" i="3" s="1"/>
  <c r="I114" i="3"/>
  <c r="J114" i="3" s="1"/>
  <c r="K114" i="3" s="1"/>
  <c r="AV113" i="3"/>
  <c r="AU113" i="3"/>
  <c r="AT113" i="3"/>
  <c r="Z113" i="3"/>
  <c r="Y113" i="3"/>
  <c r="J114" i="5" s="1"/>
  <c r="X113" i="3"/>
  <c r="V113" i="3"/>
  <c r="W113" i="3" s="1"/>
  <c r="U113" i="3"/>
  <c r="P113" i="3"/>
  <c r="Q113" i="3" s="1"/>
  <c r="O113" i="3"/>
  <c r="I113" i="3"/>
  <c r="J113" i="3" s="1"/>
  <c r="K113" i="3" s="1"/>
  <c r="C113" i="3"/>
  <c r="B113" i="3"/>
  <c r="A113" i="3"/>
  <c r="AV112" i="3"/>
  <c r="AU112" i="3"/>
  <c r="AT112" i="3"/>
  <c r="Y112" i="3"/>
  <c r="J113" i="5" s="1"/>
  <c r="X112" i="3"/>
  <c r="U112" i="3"/>
  <c r="V112" i="3" s="1"/>
  <c r="W112" i="3" s="1"/>
  <c r="P112" i="3"/>
  <c r="Q112" i="3" s="1"/>
  <c r="O112" i="3"/>
  <c r="I112" i="3"/>
  <c r="J112" i="3" s="1"/>
  <c r="K112" i="3" s="1"/>
  <c r="C112" i="3"/>
  <c r="B112" i="3"/>
  <c r="A112" i="3"/>
  <c r="AV111" i="3"/>
  <c r="AU111" i="3"/>
  <c r="AT111" i="3"/>
  <c r="Z111" i="3"/>
  <c r="Y111" i="3"/>
  <c r="J112" i="5" s="1"/>
  <c r="X111" i="3"/>
  <c r="U111" i="3"/>
  <c r="V111" i="3" s="1"/>
  <c r="W111" i="3" s="1"/>
  <c r="O111" i="3"/>
  <c r="P111" i="3" s="1"/>
  <c r="Q111" i="3" s="1"/>
  <c r="K111" i="3"/>
  <c r="J111" i="3"/>
  <c r="I111" i="3"/>
  <c r="C111" i="3"/>
  <c r="B111" i="3"/>
  <c r="A111" i="3"/>
  <c r="AV110" i="3"/>
  <c r="AU110" i="3"/>
  <c r="AT110" i="3"/>
  <c r="Y110" i="3"/>
  <c r="X110" i="3"/>
  <c r="W110" i="3"/>
  <c r="U110" i="3"/>
  <c r="V110" i="3" s="1"/>
  <c r="Q110" i="3"/>
  <c r="P110" i="3"/>
  <c r="O110" i="3"/>
  <c r="K110" i="3"/>
  <c r="J110" i="3"/>
  <c r="I110" i="3"/>
  <c r="C110" i="3"/>
  <c r="B110" i="3"/>
  <c r="A110" i="3"/>
  <c r="AV109" i="3"/>
  <c r="AU109" i="3"/>
  <c r="AT109" i="3"/>
  <c r="Y109" i="3"/>
  <c r="X109" i="3"/>
  <c r="U109" i="3"/>
  <c r="V109" i="3" s="1"/>
  <c r="W109" i="3" s="1"/>
  <c r="Q109" i="3"/>
  <c r="P109" i="3"/>
  <c r="O109" i="3"/>
  <c r="I109" i="3"/>
  <c r="J109" i="3" s="1"/>
  <c r="K109" i="3" s="1"/>
  <c r="C109" i="3"/>
  <c r="B109" i="3"/>
  <c r="A109" i="3"/>
  <c r="AV108" i="3"/>
  <c r="AU108" i="3"/>
  <c r="AT108" i="3"/>
  <c r="Y108" i="3"/>
  <c r="X108" i="3"/>
  <c r="W108" i="3"/>
  <c r="V108" i="3"/>
  <c r="U108" i="3"/>
  <c r="Q108" i="3"/>
  <c r="P108" i="3"/>
  <c r="O108" i="3"/>
  <c r="K108" i="3"/>
  <c r="J108" i="3"/>
  <c r="I108" i="3"/>
  <c r="C108" i="3"/>
  <c r="B108" i="3"/>
  <c r="A108" i="3"/>
  <c r="AV107" i="3"/>
  <c r="AU107" i="3"/>
  <c r="AT107" i="3"/>
  <c r="Z107" i="3"/>
  <c r="Y107" i="3"/>
  <c r="J108" i="5" s="1"/>
  <c r="X107" i="3"/>
  <c r="W107" i="3"/>
  <c r="V107" i="3"/>
  <c r="U107" i="3"/>
  <c r="O107" i="3"/>
  <c r="P107" i="3" s="1"/>
  <c r="Q107" i="3" s="1"/>
  <c r="I107" i="3"/>
  <c r="J107" i="3" s="1"/>
  <c r="K107" i="3" s="1"/>
  <c r="C107" i="3"/>
  <c r="B107" i="3"/>
  <c r="A107" i="3"/>
  <c r="AV106" i="3"/>
  <c r="AU106" i="3"/>
  <c r="AT106" i="3"/>
  <c r="Z106" i="3"/>
  <c r="Y106" i="3"/>
  <c r="J107" i="5" s="1"/>
  <c r="X106" i="3"/>
  <c r="U106" i="3"/>
  <c r="V106" i="3" s="1"/>
  <c r="W106" i="3" s="1"/>
  <c r="Q106" i="3"/>
  <c r="P106" i="3"/>
  <c r="O106" i="3"/>
  <c r="I106" i="3"/>
  <c r="J106" i="3" s="1"/>
  <c r="K106" i="3" s="1"/>
  <c r="C106" i="3"/>
  <c r="B106" i="3"/>
  <c r="A106" i="3"/>
  <c r="AV105" i="3"/>
  <c r="AU105" i="3"/>
  <c r="AT105" i="3"/>
  <c r="Z105" i="3"/>
  <c r="Y105" i="3"/>
  <c r="J106" i="5" s="1"/>
  <c r="X105" i="3"/>
  <c r="V105" i="3"/>
  <c r="W105" i="3" s="1"/>
  <c r="U105" i="3"/>
  <c r="P105" i="3"/>
  <c r="Q105" i="3" s="1"/>
  <c r="O105" i="3"/>
  <c r="I105" i="3"/>
  <c r="J105" i="3" s="1"/>
  <c r="K105" i="3" s="1"/>
  <c r="C105" i="3"/>
  <c r="B105" i="3"/>
  <c r="A105" i="3"/>
  <c r="AV104" i="3"/>
  <c r="AU104" i="3"/>
  <c r="AT104" i="3"/>
  <c r="Y104" i="3"/>
  <c r="X104" i="3"/>
  <c r="U104" i="3"/>
  <c r="V104" i="3" s="1"/>
  <c r="W104" i="3" s="1"/>
  <c r="P104" i="3"/>
  <c r="Q104" i="3" s="1"/>
  <c r="O104" i="3"/>
  <c r="J104" i="3"/>
  <c r="K104" i="3" s="1"/>
  <c r="I104" i="3"/>
  <c r="C104" i="3"/>
  <c r="B104" i="3"/>
  <c r="A104" i="3"/>
  <c r="AV103" i="3"/>
  <c r="AU103" i="3"/>
  <c r="AT103" i="3"/>
  <c r="Z103" i="3"/>
  <c r="Y103" i="3"/>
  <c r="J104" i="5" s="1"/>
  <c r="X103" i="3"/>
  <c r="W103" i="3"/>
  <c r="U103" i="3"/>
  <c r="V103" i="3" s="1"/>
  <c r="O103" i="3"/>
  <c r="P103" i="3" s="1"/>
  <c r="Q103" i="3" s="1"/>
  <c r="K103" i="3"/>
  <c r="J103" i="3"/>
  <c r="I103" i="3"/>
  <c r="C103" i="3"/>
  <c r="B103" i="3"/>
  <c r="A103" i="3"/>
  <c r="AV102" i="3"/>
  <c r="AU102" i="3"/>
  <c r="AT102" i="3"/>
  <c r="Y102" i="3"/>
  <c r="X102" i="3"/>
  <c r="U102" i="3"/>
  <c r="V102" i="3" s="1"/>
  <c r="W102" i="3" s="1"/>
  <c r="Q102" i="3"/>
  <c r="P102" i="3"/>
  <c r="O102" i="3"/>
  <c r="K102" i="3"/>
  <c r="J102" i="3"/>
  <c r="I102" i="3"/>
  <c r="C102" i="3"/>
  <c r="B102" i="3"/>
  <c r="A102" i="3"/>
  <c r="AV101" i="3"/>
  <c r="AU101" i="3"/>
  <c r="AT101" i="3"/>
  <c r="Y101" i="3"/>
  <c r="X101" i="3"/>
  <c r="V101" i="3"/>
  <c r="W101" i="3" s="1"/>
  <c r="U101" i="3"/>
  <c r="Q101" i="3"/>
  <c r="P101" i="3"/>
  <c r="O101" i="3"/>
  <c r="I101" i="3"/>
  <c r="J101" i="3" s="1"/>
  <c r="K101" i="3" s="1"/>
  <c r="C101" i="3"/>
  <c r="B101" i="3"/>
  <c r="A101" i="3"/>
  <c r="AV100" i="3"/>
  <c r="AU100" i="3"/>
  <c r="AT100" i="3"/>
  <c r="Y100" i="3"/>
  <c r="X100" i="3"/>
  <c r="W100" i="3"/>
  <c r="V100" i="3"/>
  <c r="U100" i="3"/>
  <c r="Q100" i="3"/>
  <c r="P100" i="3"/>
  <c r="O100" i="3"/>
  <c r="J100" i="3"/>
  <c r="K100" i="3" s="1"/>
  <c r="I100" i="3"/>
  <c r="C100" i="3"/>
  <c r="B100" i="3"/>
  <c r="A100" i="3"/>
  <c r="AV99" i="3"/>
  <c r="AU99" i="3"/>
  <c r="AT99" i="3"/>
  <c r="Y99" i="3"/>
  <c r="J100" i="5" s="1"/>
  <c r="X99" i="3"/>
  <c r="W99" i="3"/>
  <c r="V99" i="3"/>
  <c r="U99" i="3"/>
  <c r="P99" i="3"/>
  <c r="Q99" i="3" s="1"/>
  <c r="O99" i="3"/>
  <c r="I99" i="3"/>
  <c r="J99" i="3" s="1"/>
  <c r="K99" i="3" s="1"/>
  <c r="C99" i="3"/>
  <c r="B99" i="3"/>
  <c r="A99" i="3"/>
  <c r="AV98" i="3"/>
  <c r="AU98" i="3"/>
  <c r="AT98" i="3"/>
  <c r="Z98" i="3"/>
  <c r="Y98" i="3"/>
  <c r="J99" i="5" s="1"/>
  <c r="X98" i="3"/>
  <c r="U98" i="3"/>
  <c r="V98" i="3" s="1"/>
  <c r="W98" i="3" s="1"/>
  <c r="Q98" i="3"/>
  <c r="P98" i="3"/>
  <c r="O98" i="3"/>
  <c r="K98" i="3"/>
  <c r="I98" i="3"/>
  <c r="J98" i="3" s="1"/>
  <c r="C98" i="3"/>
  <c r="B98" i="3"/>
  <c r="A98" i="3"/>
  <c r="AV97" i="3"/>
  <c r="AU97" i="3"/>
  <c r="AT97" i="3"/>
  <c r="Z97" i="3"/>
  <c r="Y97" i="3"/>
  <c r="J98" i="5" s="1"/>
  <c r="X97" i="3"/>
  <c r="W97" i="3"/>
  <c r="V97" i="3"/>
  <c r="U97" i="3"/>
  <c r="P97" i="3"/>
  <c r="Q97" i="3" s="1"/>
  <c r="O97" i="3"/>
  <c r="K97" i="3"/>
  <c r="I97" i="3"/>
  <c r="J97" i="3" s="1"/>
  <c r="C97" i="3"/>
  <c r="B97" i="3"/>
  <c r="A97" i="3"/>
  <c r="AV96" i="3"/>
  <c r="AU96" i="3"/>
  <c r="AT96" i="3"/>
  <c r="Y96" i="3"/>
  <c r="X96" i="3"/>
  <c r="U96" i="3"/>
  <c r="V96" i="3" s="1"/>
  <c r="W96" i="3" s="1"/>
  <c r="P96" i="3"/>
  <c r="Q96" i="3" s="1"/>
  <c r="O96" i="3"/>
  <c r="K96" i="3"/>
  <c r="J96" i="3"/>
  <c r="I96" i="3"/>
  <c r="C96" i="3"/>
  <c r="B96" i="3"/>
  <c r="A96" i="3"/>
  <c r="AV95" i="3"/>
  <c r="AU95" i="3"/>
  <c r="AT95" i="3"/>
  <c r="Z95" i="3"/>
  <c r="Y95" i="3"/>
  <c r="J96" i="5" s="1"/>
  <c r="X95" i="3"/>
  <c r="W95" i="3"/>
  <c r="U95" i="3"/>
  <c r="V95" i="3" s="1"/>
  <c r="P95" i="3"/>
  <c r="Q95" i="3" s="1"/>
  <c r="O95" i="3"/>
  <c r="K95" i="3"/>
  <c r="J95" i="3"/>
  <c r="I95" i="3"/>
  <c r="C95" i="3"/>
  <c r="B95" i="3"/>
  <c r="A95" i="3"/>
  <c r="AV94" i="3"/>
  <c r="AU94" i="3"/>
  <c r="AT94" i="3"/>
  <c r="Y94" i="3"/>
  <c r="X94" i="3"/>
  <c r="U94" i="3"/>
  <c r="V94" i="3" s="1"/>
  <c r="W94" i="3" s="1"/>
  <c r="P94" i="3"/>
  <c r="Q94" i="3" s="1"/>
  <c r="O94" i="3"/>
  <c r="K94" i="3"/>
  <c r="J94" i="3"/>
  <c r="I94" i="3"/>
  <c r="C94" i="3"/>
  <c r="B94" i="3"/>
  <c r="A94" i="3"/>
  <c r="AV93" i="3"/>
  <c r="AU93" i="3"/>
  <c r="AT93" i="3"/>
  <c r="Y93" i="3"/>
  <c r="X93" i="3"/>
  <c r="V93" i="3"/>
  <c r="W93" i="3" s="1"/>
  <c r="U93" i="3"/>
  <c r="Q93" i="3"/>
  <c r="P93" i="3"/>
  <c r="O93" i="3"/>
  <c r="I93" i="3"/>
  <c r="J93" i="3" s="1"/>
  <c r="K93" i="3" s="1"/>
  <c r="C93" i="3"/>
  <c r="B93" i="3"/>
  <c r="A93" i="3"/>
  <c r="AV92" i="3"/>
  <c r="AU92" i="3"/>
  <c r="AT92" i="3"/>
  <c r="Y92" i="3"/>
  <c r="X92" i="3"/>
  <c r="W92" i="3"/>
  <c r="V92" i="3"/>
  <c r="U92" i="3"/>
  <c r="Q92" i="3"/>
  <c r="P92" i="3"/>
  <c r="O92" i="3"/>
  <c r="K92" i="3"/>
  <c r="J92" i="3"/>
  <c r="I92" i="3"/>
  <c r="C92" i="3"/>
  <c r="B92" i="3"/>
  <c r="A92" i="3"/>
  <c r="AV91" i="3"/>
  <c r="AU91" i="3"/>
  <c r="AT91" i="3"/>
  <c r="Y91" i="3"/>
  <c r="X91" i="3"/>
  <c r="W91" i="3"/>
  <c r="V91" i="3"/>
  <c r="U91" i="3"/>
  <c r="O91" i="3"/>
  <c r="P91" i="3" s="1"/>
  <c r="Q91" i="3" s="1"/>
  <c r="I91" i="3"/>
  <c r="J91" i="3" s="1"/>
  <c r="K91" i="3" s="1"/>
  <c r="C91" i="3"/>
  <c r="B91" i="3"/>
  <c r="A91" i="3"/>
  <c r="AV90" i="3"/>
  <c r="AU90" i="3"/>
  <c r="AT90" i="3"/>
  <c r="Z90" i="3"/>
  <c r="Y90" i="3"/>
  <c r="J91" i="5" s="1"/>
  <c r="X90" i="3"/>
  <c r="U90" i="3"/>
  <c r="V90" i="3" s="1"/>
  <c r="W90" i="3" s="1"/>
  <c r="Q90" i="3"/>
  <c r="P90" i="3"/>
  <c r="O90" i="3"/>
  <c r="I90" i="3"/>
  <c r="J90" i="3" s="1"/>
  <c r="K90" i="3" s="1"/>
  <c r="C90" i="3"/>
  <c r="B90" i="3"/>
  <c r="A90" i="3"/>
  <c r="AV89" i="3"/>
  <c r="AU89" i="3"/>
  <c r="AT89" i="3"/>
  <c r="Z89" i="3"/>
  <c r="Y89" i="3"/>
  <c r="J90" i="5" s="1"/>
  <c r="X89" i="3"/>
  <c r="W89" i="3"/>
  <c r="V89" i="3"/>
  <c r="U89" i="3"/>
  <c r="P89" i="3"/>
  <c r="Q89" i="3" s="1"/>
  <c r="O89" i="3"/>
  <c r="I89" i="3"/>
  <c r="J89" i="3" s="1"/>
  <c r="K89" i="3" s="1"/>
  <c r="C89" i="3"/>
  <c r="B89" i="3"/>
  <c r="A89" i="3"/>
  <c r="AV88" i="3"/>
  <c r="AU88" i="3"/>
  <c r="AT88" i="3"/>
  <c r="Y88" i="3"/>
  <c r="X88" i="3"/>
  <c r="U88" i="3"/>
  <c r="V88" i="3" s="1"/>
  <c r="W88" i="3" s="1"/>
  <c r="P88" i="3"/>
  <c r="Q88" i="3" s="1"/>
  <c r="O88" i="3"/>
  <c r="I88" i="3"/>
  <c r="J88" i="3" s="1"/>
  <c r="K88" i="3" s="1"/>
  <c r="C88" i="3"/>
  <c r="B88" i="3"/>
  <c r="A88" i="3"/>
  <c r="AV87" i="3"/>
  <c r="AU87" i="3"/>
  <c r="AT87" i="3"/>
  <c r="Z87" i="3"/>
  <c r="Y87" i="3"/>
  <c r="J88" i="5" s="1"/>
  <c r="X87" i="3"/>
  <c r="W87" i="3"/>
  <c r="U87" i="3"/>
  <c r="V87" i="3" s="1"/>
  <c r="P87" i="3"/>
  <c r="Q87" i="3" s="1"/>
  <c r="O87" i="3"/>
  <c r="K87" i="3"/>
  <c r="J87" i="3"/>
  <c r="I87" i="3"/>
  <c r="C87" i="3"/>
  <c r="B87" i="3"/>
  <c r="A87" i="3"/>
  <c r="AV86" i="3"/>
  <c r="AU86" i="3"/>
  <c r="AT86" i="3"/>
  <c r="Y86" i="3"/>
  <c r="X86" i="3"/>
  <c r="U86" i="3"/>
  <c r="V86" i="3" s="1"/>
  <c r="W86" i="3" s="1"/>
  <c r="P86" i="3"/>
  <c r="Q86" i="3" s="1"/>
  <c r="O86" i="3"/>
  <c r="K86" i="3"/>
  <c r="J86" i="3"/>
  <c r="I86" i="3"/>
  <c r="C86" i="3"/>
  <c r="B86" i="3"/>
  <c r="A86" i="3"/>
  <c r="AV85" i="3"/>
  <c r="AU85" i="3"/>
  <c r="AT85" i="3"/>
  <c r="Y85" i="3"/>
  <c r="X85" i="3"/>
  <c r="V85" i="3"/>
  <c r="W85" i="3" s="1"/>
  <c r="U85" i="3"/>
  <c r="Q85" i="3"/>
  <c r="P85" i="3"/>
  <c r="O85" i="3"/>
  <c r="I85" i="3"/>
  <c r="J85" i="3" s="1"/>
  <c r="K85" i="3" s="1"/>
  <c r="C85" i="3"/>
  <c r="B85" i="3"/>
  <c r="A85" i="3"/>
  <c r="AV84" i="3"/>
  <c r="AU84" i="3"/>
  <c r="AT84" i="3"/>
  <c r="Y84" i="3"/>
  <c r="X84" i="3"/>
  <c r="V84" i="3"/>
  <c r="W84" i="3" s="1"/>
  <c r="U84" i="3"/>
  <c r="Q84" i="3"/>
  <c r="P84" i="3"/>
  <c r="O84" i="3"/>
  <c r="K84" i="3"/>
  <c r="J84" i="3"/>
  <c r="I84" i="3"/>
  <c r="C84" i="3"/>
  <c r="B84" i="3"/>
  <c r="A84" i="3"/>
  <c r="AV83" i="3"/>
  <c r="AU83" i="3"/>
  <c r="AT83" i="3"/>
  <c r="Z83" i="3"/>
  <c r="Y83" i="3"/>
  <c r="J84" i="5" s="1"/>
  <c r="X83" i="3"/>
  <c r="W83" i="3"/>
  <c r="V83" i="3"/>
  <c r="U83" i="3"/>
  <c r="O83" i="3"/>
  <c r="P83" i="3" s="1"/>
  <c r="Q83" i="3" s="1"/>
  <c r="I83" i="3"/>
  <c r="J83" i="3" s="1"/>
  <c r="K83" i="3" s="1"/>
  <c r="C83" i="3"/>
  <c r="B83" i="3"/>
  <c r="A83" i="3"/>
  <c r="AV82" i="3"/>
  <c r="AU82" i="3"/>
  <c r="AT82" i="3"/>
  <c r="Z82" i="3"/>
  <c r="Y82" i="3"/>
  <c r="J83" i="5" s="1"/>
  <c r="X82" i="3"/>
  <c r="U82" i="3"/>
  <c r="V82" i="3" s="1"/>
  <c r="W82" i="3" s="1"/>
  <c r="Q82" i="3"/>
  <c r="P82" i="3"/>
  <c r="O82" i="3"/>
  <c r="I82" i="3"/>
  <c r="J82" i="3" s="1"/>
  <c r="K82" i="3" s="1"/>
  <c r="C82" i="3"/>
  <c r="B82" i="3"/>
  <c r="A82" i="3"/>
  <c r="AV81" i="3"/>
  <c r="AU81" i="3"/>
  <c r="AT81" i="3"/>
  <c r="Z81" i="3"/>
  <c r="Y81" i="3"/>
  <c r="J82" i="5" s="1"/>
  <c r="X81" i="3"/>
  <c r="V81" i="3"/>
  <c r="W81" i="3" s="1"/>
  <c r="U81" i="3"/>
  <c r="P81" i="3"/>
  <c r="Q81" i="3" s="1"/>
  <c r="O81" i="3"/>
  <c r="I81" i="3"/>
  <c r="J81" i="3" s="1"/>
  <c r="K81" i="3" s="1"/>
  <c r="C81" i="3"/>
  <c r="B81" i="3"/>
  <c r="A81" i="3"/>
  <c r="AV80" i="3"/>
  <c r="AU80" i="3"/>
  <c r="AT80" i="3"/>
  <c r="Y80" i="3"/>
  <c r="X80" i="3"/>
  <c r="U80" i="3"/>
  <c r="V80" i="3" s="1"/>
  <c r="W80" i="3" s="1"/>
  <c r="P80" i="3"/>
  <c r="Q80" i="3" s="1"/>
  <c r="O80" i="3"/>
  <c r="I80" i="3"/>
  <c r="J80" i="3" s="1"/>
  <c r="K80" i="3" s="1"/>
  <c r="C80" i="3"/>
  <c r="B80" i="3"/>
  <c r="A80" i="3"/>
  <c r="AV79" i="3"/>
  <c r="AU79" i="3"/>
  <c r="AT79" i="3"/>
  <c r="Z79" i="3"/>
  <c r="Y79" i="3"/>
  <c r="J80" i="5" s="1"/>
  <c r="X79" i="3"/>
  <c r="U79" i="3"/>
  <c r="V79" i="3" s="1"/>
  <c r="W79" i="3" s="1"/>
  <c r="O79" i="3"/>
  <c r="P79" i="3" s="1"/>
  <c r="Q79" i="3" s="1"/>
  <c r="I79" i="3"/>
  <c r="J79" i="3" s="1"/>
  <c r="K79" i="3" s="1"/>
  <c r="C79" i="3"/>
  <c r="B79" i="3"/>
  <c r="A79" i="3"/>
  <c r="AV78" i="3"/>
  <c r="AU78" i="3"/>
  <c r="AT78" i="3"/>
  <c r="Y78" i="3"/>
  <c r="X78" i="3"/>
  <c r="W78" i="3"/>
  <c r="U78" i="3"/>
  <c r="V78" i="3" s="1"/>
  <c r="O78" i="3"/>
  <c r="P78" i="3" s="1"/>
  <c r="Q78" i="3" s="1"/>
  <c r="K78" i="3"/>
  <c r="J78" i="3"/>
  <c r="I78" i="3"/>
  <c r="C78" i="3"/>
  <c r="B78" i="3"/>
  <c r="A78" i="3"/>
  <c r="AV77" i="3"/>
  <c r="AU77" i="3"/>
  <c r="AT77" i="3"/>
  <c r="Y77" i="3"/>
  <c r="X77" i="3"/>
  <c r="U77" i="3"/>
  <c r="V77" i="3" s="1"/>
  <c r="W77" i="3" s="1"/>
  <c r="P77" i="3"/>
  <c r="Q77" i="3" s="1"/>
  <c r="O77" i="3"/>
  <c r="I77" i="3"/>
  <c r="J77" i="3" s="1"/>
  <c r="K77" i="3" s="1"/>
  <c r="C77" i="3"/>
  <c r="B77" i="3"/>
  <c r="A77" i="3"/>
  <c r="AV76" i="3"/>
  <c r="AU76" i="3"/>
  <c r="AT76" i="3"/>
  <c r="Y76" i="3"/>
  <c r="X76" i="3"/>
  <c r="V76" i="3"/>
  <c r="W76" i="3" s="1"/>
  <c r="U76" i="3"/>
  <c r="Q76" i="3"/>
  <c r="P76" i="3"/>
  <c r="O76" i="3"/>
  <c r="K76" i="3"/>
  <c r="J76" i="3"/>
  <c r="I76" i="3"/>
  <c r="C76" i="3"/>
  <c r="B76" i="3"/>
  <c r="A76" i="3"/>
  <c r="AV75" i="3"/>
  <c r="AU75" i="3"/>
  <c r="AT75" i="3"/>
  <c r="Z75" i="3"/>
  <c r="Y75" i="3"/>
  <c r="J76" i="5" s="1"/>
  <c r="X75" i="3"/>
  <c r="W75" i="3"/>
  <c r="V75" i="3"/>
  <c r="U75" i="3"/>
  <c r="O75" i="3"/>
  <c r="P75" i="3" s="1"/>
  <c r="Q75" i="3" s="1"/>
  <c r="I75" i="3"/>
  <c r="J75" i="3" s="1"/>
  <c r="K75" i="3" s="1"/>
  <c r="C75" i="3"/>
  <c r="B75" i="3"/>
  <c r="A75" i="3"/>
  <c r="AV74" i="3"/>
  <c r="AU74" i="3"/>
  <c r="AT74" i="3"/>
  <c r="Z74" i="3"/>
  <c r="Y74" i="3"/>
  <c r="J75" i="5" s="1"/>
  <c r="X74" i="3"/>
  <c r="U74" i="3"/>
  <c r="V74" i="3" s="1"/>
  <c r="W74" i="3" s="1"/>
  <c r="Q74" i="3"/>
  <c r="P74" i="3"/>
  <c r="O74" i="3"/>
  <c r="K74" i="3"/>
  <c r="I74" i="3"/>
  <c r="J74" i="3" s="1"/>
  <c r="C74" i="3"/>
  <c r="B74" i="3"/>
  <c r="A74" i="3"/>
  <c r="AV73" i="3"/>
  <c r="AU73" i="3"/>
  <c r="AT73" i="3"/>
  <c r="Z73" i="3"/>
  <c r="Y73" i="3"/>
  <c r="J74" i="5" s="1"/>
  <c r="X73" i="3"/>
  <c r="U73" i="3"/>
  <c r="V73" i="3" s="1"/>
  <c r="W73" i="3" s="1"/>
  <c r="P73" i="3"/>
  <c r="Q73" i="3" s="1"/>
  <c r="O73" i="3"/>
  <c r="K73" i="3"/>
  <c r="I73" i="3"/>
  <c r="J73" i="3" s="1"/>
  <c r="C73" i="3"/>
  <c r="B73" i="3"/>
  <c r="A73" i="3"/>
  <c r="AV72" i="3"/>
  <c r="AU72" i="3"/>
  <c r="AT72" i="3"/>
  <c r="Y72" i="3"/>
  <c r="X72" i="3"/>
  <c r="U72" i="3"/>
  <c r="V72" i="3" s="1"/>
  <c r="W72" i="3" s="1"/>
  <c r="P72" i="3"/>
  <c r="Q72" i="3" s="1"/>
  <c r="O72" i="3"/>
  <c r="I72" i="3"/>
  <c r="J72" i="3" s="1"/>
  <c r="K72" i="3" s="1"/>
  <c r="C72" i="3"/>
  <c r="B72" i="3"/>
  <c r="A72" i="3"/>
  <c r="AV71" i="3"/>
  <c r="AU71" i="3"/>
  <c r="AT71" i="3"/>
  <c r="Y71" i="3"/>
  <c r="J72" i="5" s="1"/>
  <c r="X71" i="3"/>
  <c r="U71" i="3"/>
  <c r="V71" i="3" s="1"/>
  <c r="W71" i="3" s="1"/>
  <c r="O71" i="3"/>
  <c r="P71" i="3" s="1"/>
  <c r="Q71" i="3" s="1"/>
  <c r="I71" i="3"/>
  <c r="J71" i="3" s="1"/>
  <c r="K71" i="3" s="1"/>
  <c r="C71" i="3"/>
  <c r="B71" i="3"/>
  <c r="A71" i="3"/>
  <c r="AV70" i="3"/>
  <c r="AU70" i="3"/>
  <c r="AT70" i="3"/>
  <c r="Y70" i="3"/>
  <c r="X70" i="3"/>
  <c r="W70" i="3"/>
  <c r="U70" i="3"/>
  <c r="V70" i="3" s="1"/>
  <c r="O70" i="3"/>
  <c r="P70" i="3" s="1"/>
  <c r="Q70" i="3" s="1"/>
  <c r="K70" i="3"/>
  <c r="J70" i="3"/>
  <c r="I70" i="3"/>
  <c r="C70" i="3"/>
  <c r="B70" i="3"/>
  <c r="A70" i="3"/>
  <c r="AV69" i="3"/>
  <c r="AU69" i="3"/>
  <c r="AT69" i="3"/>
  <c r="Y69" i="3"/>
  <c r="X69" i="3"/>
  <c r="U69" i="3"/>
  <c r="V69" i="3" s="1"/>
  <c r="W69" i="3" s="1"/>
  <c r="P69" i="3"/>
  <c r="Q69" i="3" s="1"/>
  <c r="O69" i="3"/>
  <c r="I69" i="3"/>
  <c r="J69" i="3" s="1"/>
  <c r="K69" i="3" s="1"/>
  <c r="C69" i="3"/>
  <c r="B69" i="3"/>
  <c r="A69" i="3"/>
  <c r="AV68" i="3"/>
  <c r="AU68" i="3"/>
  <c r="AT68" i="3"/>
  <c r="Y68" i="3"/>
  <c r="X68" i="3"/>
  <c r="W68" i="3"/>
  <c r="V68" i="3"/>
  <c r="U68" i="3"/>
  <c r="Q68" i="3"/>
  <c r="P68" i="3"/>
  <c r="O68" i="3"/>
  <c r="I68" i="3"/>
  <c r="J68" i="3" s="1"/>
  <c r="K68" i="3" s="1"/>
  <c r="C68" i="3"/>
  <c r="B68" i="3"/>
  <c r="A68" i="3"/>
  <c r="AV67" i="3"/>
  <c r="AU67" i="3"/>
  <c r="AT67" i="3"/>
  <c r="Y67" i="3"/>
  <c r="J68" i="5" s="1"/>
  <c r="X67" i="3"/>
  <c r="W67" i="3"/>
  <c r="V67" i="3"/>
  <c r="U67" i="3"/>
  <c r="P67" i="3"/>
  <c r="Q67" i="3" s="1"/>
  <c r="O67" i="3"/>
  <c r="I67" i="3"/>
  <c r="J67" i="3" s="1"/>
  <c r="K67" i="3" s="1"/>
  <c r="C67" i="3"/>
  <c r="B67" i="3"/>
  <c r="A67" i="3"/>
  <c r="AV66" i="3"/>
  <c r="AU66" i="3"/>
  <c r="AT66" i="3"/>
  <c r="Y66" i="3"/>
  <c r="J67" i="5" s="1"/>
  <c r="X66" i="3"/>
  <c r="U66" i="3"/>
  <c r="V66" i="3" s="1"/>
  <c r="W66" i="3" s="1"/>
  <c r="Q66" i="3"/>
  <c r="P66" i="3"/>
  <c r="O66" i="3"/>
  <c r="I66" i="3"/>
  <c r="J66" i="3" s="1"/>
  <c r="K66" i="3" s="1"/>
  <c r="C66" i="3"/>
  <c r="B66" i="3"/>
  <c r="A66" i="3"/>
  <c r="AV64" i="3"/>
  <c r="AU64" i="3"/>
  <c r="AT64" i="3"/>
  <c r="AV62" i="3"/>
  <c r="AU62" i="3"/>
  <c r="AT62" i="3"/>
  <c r="Z62" i="3"/>
  <c r="Y62" i="3"/>
  <c r="J63" i="5" s="1"/>
  <c r="X62" i="3"/>
  <c r="V62" i="3"/>
  <c r="W62" i="3" s="1"/>
  <c r="U62" i="3"/>
  <c r="O62" i="3"/>
  <c r="P62" i="3" s="1"/>
  <c r="Q62" i="3" s="1"/>
  <c r="I62" i="3"/>
  <c r="J62" i="3" s="1"/>
  <c r="K62" i="3" s="1"/>
  <c r="AV61" i="3"/>
  <c r="AU61" i="3"/>
  <c r="AT61" i="3"/>
  <c r="Y61" i="3"/>
  <c r="X61" i="3"/>
  <c r="W61" i="3"/>
  <c r="U61" i="3"/>
  <c r="V61" i="3" s="1"/>
  <c r="P61" i="3"/>
  <c r="Q61" i="3" s="1"/>
  <c r="O61" i="3"/>
  <c r="J61" i="3"/>
  <c r="K61" i="3" s="1"/>
  <c r="I61" i="3"/>
  <c r="C61" i="3"/>
  <c r="B61" i="3"/>
  <c r="A61" i="3"/>
  <c r="AV60" i="3"/>
  <c r="AU60" i="3"/>
  <c r="AT60" i="3"/>
  <c r="Y60" i="3"/>
  <c r="J61" i="5" s="1"/>
  <c r="X60" i="3"/>
  <c r="W60" i="3"/>
  <c r="U60" i="3"/>
  <c r="V60" i="3" s="1"/>
  <c r="O60" i="3"/>
  <c r="P60" i="3" s="1"/>
  <c r="Q60" i="3" s="1"/>
  <c r="J60" i="3"/>
  <c r="K60" i="3" s="1"/>
  <c r="I60" i="3"/>
  <c r="C60" i="3"/>
  <c r="B60" i="3"/>
  <c r="A60" i="3"/>
  <c r="AV59" i="3"/>
  <c r="AU59" i="3"/>
  <c r="AT59" i="3"/>
  <c r="Y59" i="3"/>
  <c r="X59" i="3"/>
  <c r="U59" i="3"/>
  <c r="V59" i="3" s="1"/>
  <c r="W59" i="3" s="1"/>
  <c r="O59" i="3"/>
  <c r="P59" i="3" s="1"/>
  <c r="Q59" i="3" s="1"/>
  <c r="K59" i="3"/>
  <c r="J59" i="3"/>
  <c r="I59" i="3"/>
  <c r="C59" i="3"/>
  <c r="B59" i="3"/>
  <c r="A59" i="3"/>
  <c r="AV58" i="3"/>
  <c r="AU58" i="3"/>
  <c r="AT58" i="3"/>
  <c r="Y58" i="3"/>
  <c r="X58" i="3"/>
  <c r="V58" i="3"/>
  <c r="W58" i="3" s="1"/>
  <c r="U58" i="3"/>
  <c r="P58" i="3"/>
  <c r="Q58" i="3" s="1"/>
  <c r="O58" i="3"/>
  <c r="I58" i="3"/>
  <c r="J58" i="3" s="1"/>
  <c r="K58" i="3" s="1"/>
  <c r="C58" i="3"/>
  <c r="B58" i="3"/>
  <c r="A58" i="3"/>
  <c r="AV57" i="3"/>
  <c r="AU57" i="3"/>
  <c r="AT57" i="3"/>
  <c r="Y57" i="3"/>
  <c r="X57" i="3"/>
  <c r="U57" i="3"/>
  <c r="V57" i="3" s="1"/>
  <c r="W57" i="3" s="1"/>
  <c r="Q57" i="3"/>
  <c r="P57" i="3"/>
  <c r="O57" i="3"/>
  <c r="J57" i="3"/>
  <c r="K57" i="3" s="1"/>
  <c r="I57" i="3"/>
  <c r="C57" i="3"/>
  <c r="B57" i="3"/>
  <c r="A57" i="3"/>
  <c r="AV56" i="3"/>
  <c r="AU56" i="3"/>
  <c r="AT56" i="3"/>
  <c r="Y56" i="3"/>
  <c r="J57" i="5" s="1"/>
  <c r="X56" i="3"/>
  <c r="W56" i="3"/>
  <c r="V56" i="3"/>
  <c r="U56" i="3"/>
  <c r="P56" i="3"/>
  <c r="Q56" i="3" s="1"/>
  <c r="O56" i="3"/>
  <c r="K56" i="3"/>
  <c r="I56" i="3"/>
  <c r="J56" i="3" s="1"/>
  <c r="C56" i="3"/>
  <c r="B56" i="3"/>
  <c r="A56" i="3"/>
  <c r="AV55" i="3"/>
  <c r="AU55" i="3"/>
  <c r="AT55" i="3"/>
  <c r="Y55" i="3"/>
  <c r="J56" i="5" s="1"/>
  <c r="X55" i="3"/>
  <c r="U55" i="3"/>
  <c r="V55" i="3" s="1"/>
  <c r="W55" i="3" s="1"/>
  <c r="Q55" i="3"/>
  <c r="P55" i="3"/>
  <c r="O55" i="3"/>
  <c r="I55" i="3"/>
  <c r="J55" i="3" s="1"/>
  <c r="K55" i="3" s="1"/>
  <c r="C55" i="3"/>
  <c r="B55" i="3"/>
  <c r="A55" i="3"/>
  <c r="AV54" i="3"/>
  <c r="AU54" i="3"/>
  <c r="AT54" i="3"/>
  <c r="Z54" i="3"/>
  <c r="Y54" i="3"/>
  <c r="J55" i="5" s="1"/>
  <c r="X54" i="3"/>
  <c r="V54" i="3"/>
  <c r="W54" i="3" s="1"/>
  <c r="U54" i="3"/>
  <c r="P54" i="3"/>
  <c r="Q54" i="3" s="1"/>
  <c r="O54" i="3"/>
  <c r="K54" i="3"/>
  <c r="I54" i="3"/>
  <c r="J54" i="3" s="1"/>
  <c r="C54" i="3"/>
  <c r="B54" i="3"/>
  <c r="A54" i="3"/>
  <c r="AV53" i="3"/>
  <c r="AU53" i="3"/>
  <c r="AT53" i="3"/>
  <c r="Y53" i="3"/>
  <c r="X53" i="3"/>
  <c r="V53" i="3"/>
  <c r="W53" i="3" s="1"/>
  <c r="U53" i="3"/>
  <c r="P53" i="3"/>
  <c r="Q53" i="3" s="1"/>
  <c r="O53" i="3"/>
  <c r="J53" i="3"/>
  <c r="K53" i="3" s="1"/>
  <c r="I53" i="3"/>
  <c r="C53" i="3"/>
  <c r="B53" i="3"/>
  <c r="A53" i="3"/>
  <c r="AV52" i="3"/>
  <c r="AU52" i="3"/>
  <c r="AT52" i="3"/>
  <c r="Y52" i="3"/>
  <c r="J53" i="5" s="1"/>
  <c r="X52" i="3"/>
  <c r="W52" i="3"/>
  <c r="U52" i="3"/>
  <c r="V52" i="3" s="1"/>
  <c r="O52" i="3"/>
  <c r="P52" i="3" s="1"/>
  <c r="Q52" i="3" s="1"/>
  <c r="J52" i="3"/>
  <c r="K52" i="3" s="1"/>
  <c r="I52" i="3"/>
  <c r="C52" i="3"/>
  <c r="B52" i="3"/>
  <c r="A52" i="3"/>
  <c r="AV51" i="3"/>
  <c r="AU51" i="3"/>
  <c r="AT51" i="3"/>
  <c r="Y51" i="3"/>
  <c r="J52" i="5" s="1"/>
  <c r="X51" i="3"/>
  <c r="W51" i="3"/>
  <c r="U51" i="3"/>
  <c r="V51" i="3" s="1"/>
  <c r="P51" i="3"/>
  <c r="Q51" i="3" s="1"/>
  <c r="O51" i="3"/>
  <c r="K51" i="3"/>
  <c r="J51" i="3"/>
  <c r="I51" i="3"/>
  <c r="C51" i="3"/>
  <c r="B51" i="3"/>
  <c r="A51" i="3"/>
  <c r="AV50" i="3"/>
  <c r="AU50" i="3"/>
  <c r="AT50" i="3"/>
  <c r="Y50" i="3"/>
  <c r="X50" i="3"/>
  <c r="W50" i="3"/>
  <c r="V50" i="3"/>
  <c r="U50" i="3"/>
  <c r="Q50" i="3"/>
  <c r="P50" i="3"/>
  <c r="O50" i="3"/>
  <c r="I50" i="3"/>
  <c r="J50" i="3" s="1"/>
  <c r="K50" i="3" s="1"/>
  <c r="C50" i="3"/>
  <c r="B50" i="3"/>
  <c r="A50" i="3"/>
  <c r="AV49" i="3"/>
  <c r="AU49" i="3"/>
  <c r="AT49" i="3"/>
  <c r="Y49" i="3"/>
  <c r="X49" i="3"/>
  <c r="V49" i="3"/>
  <c r="W49" i="3" s="1"/>
  <c r="U49" i="3"/>
  <c r="Q49" i="3"/>
  <c r="P49" i="3"/>
  <c r="O49" i="3"/>
  <c r="I49" i="3"/>
  <c r="J49" i="3" s="1"/>
  <c r="K49" i="3" s="1"/>
  <c r="C49" i="3"/>
  <c r="B49" i="3"/>
  <c r="A49" i="3"/>
  <c r="AV48" i="3"/>
  <c r="AU48" i="3"/>
  <c r="AT48" i="3"/>
  <c r="Z48" i="3"/>
  <c r="Y48" i="3"/>
  <c r="J49" i="5" s="1"/>
  <c r="X48" i="3"/>
  <c r="W48" i="3"/>
  <c r="V48" i="3"/>
  <c r="U48" i="3"/>
  <c r="O48" i="3"/>
  <c r="P48" i="3" s="1"/>
  <c r="Q48" i="3" s="1"/>
  <c r="I48" i="3"/>
  <c r="J48" i="3" s="1"/>
  <c r="K48" i="3" s="1"/>
  <c r="C48" i="3"/>
  <c r="B48" i="3"/>
  <c r="A48" i="3"/>
  <c r="AV47" i="3"/>
  <c r="AU47" i="3"/>
  <c r="AT47" i="3"/>
  <c r="Y47" i="3"/>
  <c r="J48" i="5" s="1"/>
  <c r="X47" i="3"/>
  <c r="U47" i="3"/>
  <c r="V47" i="3" s="1"/>
  <c r="W47" i="3" s="1"/>
  <c r="O47" i="3"/>
  <c r="P47" i="3" s="1"/>
  <c r="Q47" i="3" s="1"/>
  <c r="I47" i="3"/>
  <c r="J47" i="3" s="1"/>
  <c r="K47" i="3" s="1"/>
  <c r="C47" i="3"/>
  <c r="B47" i="3"/>
  <c r="A47" i="3"/>
  <c r="AV46" i="3"/>
  <c r="AU46" i="3"/>
  <c r="AT46" i="3"/>
  <c r="Z46" i="3"/>
  <c r="Y46" i="3"/>
  <c r="J47" i="5" s="1"/>
  <c r="X46" i="3"/>
  <c r="U46" i="3"/>
  <c r="V46" i="3" s="1"/>
  <c r="W46" i="3" s="1"/>
  <c r="P46" i="3"/>
  <c r="Q46" i="3" s="1"/>
  <c r="O46" i="3"/>
  <c r="I46" i="3"/>
  <c r="J46" i="3" s="1"/>
  <c r="K46" i="3" s="1"/>
  <c r="C46" i="3"/>
  <c r="B46" i="3"/>
  <c r="A46" i="3"/>
  <c r="AV45" i="3"/>
  <c r="AU45" i="3"/>
  <c r="AT45" i="3"/>
  <c r="Y45" i="3"/>
  <c r="X45" i="3"/>
  <c r="U45" i="3"/>
  <c r="V45" i="3" s="1"/>
  <c r="W45" i="3" s="1"/>
  <c r="P45" i="3"/>
  <c r="Q45" i="3" s="1"/>
  <c r="O45" i="3"/>
  <c r="I45" i="3"/>
  <c r="J45" i="3" s="1"/>
  <c r="K45" i="3" s="1"/>
  <c r="C45" i="3"/>
  <c r="B45" i="3"/>
  <c r="A45" i="3"/>
  <c r="AV44" i="3"/>
  <c r="AU44" i="3"/>
  <c r="AT44" i="3"/>
  <c r="Y44" i="3"/>
  <c r="J45" i="5" s="1"/>
  <c r="X44" i="3"/>
  <c r="U44" i="3"/>
  <c r="V44" i="3" s="1"/>
  <c r="W44" i="3" s="1"/>
  <c r="O44" i="3"/>
  <c r="P44" i="3" s="1"/>
  <c r="Q44" i="3" s="1"/>
  <c r="I44" i="3"/>
  <c r="J44" i="3" s="1"/>
  <c r="K44" i="3" s="1"/>
  <c r="C44" i="3"/>
  <c r="B44" i="3"/>
  <c r="A44" i="3"/>
  <c r="AV43" i="3"/>
  <c r="AU43" i="3"/>
  <c r="AT43" i="3"/>
  <c r="Y43" i="3"/>
  <c r="J44" i="5" s="1"/>
  <c r="X43" i="3"/>
  <c r="U43" i="3"/>
  <c r="V43" i="3" s="1"/>
  <c r="W43" i="3" s="1"/>
  <c r="P43" i="3"/>
  <c r="Q43" i="3" s="1"/>
  <c r="O43" i="3"/>
  <c r="J43" i="3"/>
  <c r="K43" i="3" s="1"/>
  <c r="I43" i="3"/>
  <c r="C43" i="3"/>
  <c r="B43" i="3"/>
  <c r="A43" i="3"/>
  <c r="AV42" i="3"/>
  <c r="AU42" i="3"/>
  <c r="AT42" i="3"/>
  <c r="Y42" i="3"/>
  <c r="X42" i="3"/>
  <c r="V42" i="3"/>
  <c r="W42" i="3" s="1"/>
  <c r="U42" i="3"/>
  <c r="O42" i="3"/>
  <c r="P42" i="3" s="1"/>
  <c r="Q42" i="3" s="1"/>
  <c r="I42" i="3"/>
  <c r="J42" i="3" s="1"/>
  <c r="K42" i="3" s="1"/>
  <c r="C42" i="3"/>
  <c r="B42" i="3"/>
  <c r="A42" i="3"/>
  <c r="AV41" i="3"/>
  <c r="AU41" i="3"/>
  <c r="AT41" i="3"/>
  <c r="Y41" i="3"/>
  <c r="X41" i="3"/>
  <c r="U41" i="3"/>
  <c r="V41" i="3" s="1"/>
  <c r="W41" i="3" s="1"/>
  <c r="Q41" i="3"/>
  <c r="P41" i="3"/>
  <c r="O41" i="3"/>
  <c r="J41" i="3"/>
  <c r="K41" i="3" s="1"/>
  <c r="I41" i="3"/>
  <c r="C41" i="3"/>
  <c r="B41" i="3"/>
  <c r="A41" i="3"/>
  <c r="AV40" i="3"/>
  <c r="AU40" i="3"/>
  <c r="AT40" i="3"/>
  <c r="Z40" i="3"/>
  <c r="Y40" i="3"/>
  <c r="J41" i="5" s="1"/>
  <c r="X40" i="3"/>
  <c r="W40" i="3"/>
  <c r="V40" i="3"/>
  <c r="U40" i="3"/>
  <c r="O40" i="3"/>
  <c r="P40" i="3" s="1"/>
  <c r="Q40" i="3" s="1"/>
  <c r="I40" i="3"/>
  <c r="J40" i="3" s="1"/>
  <c r="K40" i="3" s="1"/>
  <c r="C40" i="3"/>
  <c r="B40" i="3"/>
  <c r="A40" i="3"/>
  <c r="AV39" i="3"/>
  <c r="AU39" i="3"/>
  <c r="AT39" i="3"/>
  <c r="Z39" i="3"/>
  <c r="Y39" i="3"/>
  <c r="J40" i="5" s="1"/>
  <c r="X39" i="3"/>
  <c r="U39" i="3"/>
  <c r="V39" i="3" s="1"/>
  <c r="W39" i="3" s="1"/>
  <c r="O39" i="3"/>
  <c r="P39" i="3" s="1"/>
  <c r="Q39" i="3" s="1"/>
  <c r="K39" i="3"/>
  <c r="I39" i="3"/>
  <c r="J39" i="3" s="1"/>
  <c r="C39" i="3"/>
  <c r="B39" i="3"/>
  <c r="A39" i="3"/>
  <c r="AV38" i="3"/>
  <c r="AU38" i="3"/>
  <c r="AT38" i="3"/>
  <c r="Z38" i="3"/>
  <c r="Y38" i="3"/>
  <c r="J39" i="5" s="1"/>
  <c r="X38" i="3"/>
  <c r="U38" i="3"/>
  <c r="V38" i="3" s="1"/>
  <c r="W38" i="3" s="1"/>
  <c r="P38" i="3"/>
  <c r="Q38" i="3" s="1"/>
  <c r="O38" i="3"/>
  <c r="I38" i="3"/>
  <c r="J38" i="3" s="1"/>
  <c r="K38" i="3" s="1"/>
  <c r="C38" i="3"/>
  <c r="B38" i="3"/>
  <c r="A38" i="3"/>
  <c r="AV37" i="3"/>
  <c r="AU37" i="3"/>
  <c r="AT37" i="3"/>
  <c r="Y37" i="3"/>
  <c r="X37" i="3"/>
  <c r="U37" i="3"/>
  <c r="V37" i="3" s="1"/>
  <c r="W37" i="3" s="1"/>
  <c r="P37" i="3"/>
  <c r="Q37" i="3" s="1"/>
  <c r="O37" i="3"/>
  <c r="I37" i="3"/>
  <c r="J37" i="3" s="1"/>
  <c r="K37" i="3" s="1"/>
  <c r="C37" i="3"/>
  <c r="B37" i="3"/>
  <c r="A37" i="3"/>
  <c r="AV36" i="3"/>
  <c r="AU36" i="3"/>
  <c r="AT36" i="3"/>
  <c r="Z36" i="3"/>
  <c r="Y36" i="3"/>
  <c r="J37" i="5" s="1"/>
  <c r="X36" i="3"/>
  <c r="U36" i="3"/>
  <c r="V36" i="3" s="1"/>
  <c r="W36" i="3" s="1"/>
  <c r="O36" i="3"/>
  <c r="P36" i="3" s="1"/>
  <c r="Q36" i="3" s="1"/>
  <c r="I36" i="3"/>
  <c r="J36" i="3" s="1"/>
  <c r="K36" i="3" s="1"/>
  <c r="C36" i="3"/>
  <c r="B36" i="3"/>
  <c r="A36" i="3"/>
  <c r="AV35" i="3"/>
  <c r="AU35" i="3"/>
  <c r="AT35" i="3"/>
  <c r="Z35" i="3"/>
  <c r="Y35" i="3"/>
  <c r="J36" i="5" s="1"/>
  <c r="X35" i="3"/>
  <c r="U35" i="3"/>
  <c r="V35" i="3" s="1"/>
  <c r="W35" i="3" s="1"/>
  <c r="O35" i="3"/>
  <c r="P35" i="3" s="1"/>
  <c r="Q35" i="3" s="1"/>
  <c r="J35" i="3"/>
  <c r="K35" i="3" s="1"/>
  <c r="I35" i="3"/>
  <c r="C35" i="3"/>
  <c r="B35" i="3"/>
  <c r="A35" i="3"/>
  <c r="AV34" i="3"/>
  <c r="AU34" i="3"/>
  <c r="AT34" i="3"/>
  <c r="Y34" i="3"/>
  <c r="X34" i="3"/>
  <c r="V34" i="3"/>
  <c r="W34" i="3" s="1"/>
  <c r="U34" i="3"/>
  <c r="P34" i="3"/>
  <c r="Q34" i="3" s="1"/>
  <c r="O34" i="3"/>
  <c r="I34" i="3"/>
  <c r="J34" i="3" s="1"/>
  <c r="K34" i="3" s="1"/>
  <c r="C34" i="3"/>
  <c r="B34" i="3"/>
  <c r="A34" i="3"/>
  <c r="AV33" i="3"/>
  <c r="AU33" i="3"/>
  <c r="AT33" i="3"/>
  <c r="AE33" i="3"/>
  <c r="AD33" i="3"/>
  <c r="AC33" i="3"/>
  <c r="Y33" i="3"/>
  <c r="J34" i="5" s="1"/>
  <c r="X33" i="3"/>
  <c r="W33" i="3"/>
  <c r="V33" i="3"/>
  <c r="U33" i="3"/>
  <c r="Q33" i="3"/>
  <c r="O33" i="3"/>
  <c r="P33" i="3" s="1"/>
  <c r="J33" i="3"/>
  <c r="K33" i="3" s="1"/>
  <c r="I33" i="3"/>
  <c r="C33" i="3"/>
  <c r="B33" i="3"/>
  <c r="A33" i="3"/>
  <c r="AV32" i="3"/>
  <c r="AU32" i="3"/>
  <c r="AT32" i="3"/>
  <c r="AE32" i="3"/>
  <c r="AD32" i="3"/>
  <c r="AC32" i="3"/>
  <c r="Y32" i="3"/>
  <c r="X32" i="3"/>
  <c r="V32" i="3"/>
  <c r="W32" i="3" s="1"/>
  <c r="U32" i="3"/>
  <c r="P32" i="3"/>
  <c r="Q32" i="3" s="1"/>
  <c r="O32" i="3"/>
  <c r="K32" i="3"/>
  <c r="J32" i="3"/>
  <c r="I32" i="3"/>
  <c r="C32" i="3"/>
  <c r="B32" i="3"/>
  <c r="A32" i="3"/>
  <c r="AV31" i="3"/>
  <c r="AU31" i="3"/>
  <c r="AT31" i="3"/>
  <c r="AE31" i="3"/>
  <c r="AD31" i="3"/>
  <c r="AC31" i="3"/>
  <c r="Z31" i="3"/>
  <c r="Y31" i="3"/>
  <c r="J32" i="5" s="1"/>
  <c r="X31" i="3"/>
  <c r="U31" i="3"/>
  <c r="V31" i="3" s="1"/>
  <c r="W31" i="3" s="1"/>
  <c r="O31" i="3"/>
  <c r="P31" i="3" s="1"/>
  <c r="Q31" i="3" s="1"/>
  <c r="K31" i="3"/>
  <c r="J31" i="3"/>
  <c r="I31" i="3"/>
  <c r="C31" i="3"/>
  <c r="B31" i="3"/>
  <c r="A31" i="3"/>
  <c r="AV30" i="3"/>
  <c r="AU30" i="3"/>
  <c r="AT30" i="3"/>
  <c r="Z30" i="3"/>
  <c r="Y30" i="3"/>
  <c r="J31" i="5" s="1"/>
  <c r="X30" i="3"/>
  <c r="W30" i="3"/>
  <c r="V30" i="3"/>
  <c r="U30" i="3"/>
  <c r="Q30" i="3"/>
  <c r="P30" i="3"/>
  <c r="O30" i="3"/>
  <c r="I30" i="3"/>
  <c r="J30" i="3" s="1"/>
  <c r="K30" i="3" s="1"/>
  <c r="C30" i="3"/>
  <c r="B30" i="3"/>
  <c r="A30" i="3"/>
  <c r="AV29" i="3"/>
  <c r="AU29" i="3"/>
  <c r="AT29" i="3"/>
  <c r="Z29" i="3"/>
  <c r="Y29" i="3"/>
  <c r="J30" i="5" s="1"/>
  <c r="X29" i="3"/>
  <c r="U29" i="3"/>
  <c r="V29" i="3" s="1"/>
  <c r="W29" i="3" s="1"/>
  <c r="O29" i="3"/>
  <c r="P29" i="3" s="1"/>
  <c r="Q29" i="3" s="1"/>
  <c r="I29" i="3"/>
  <c r="J29" i="3" s="1"/>
  <c r="K29" i="3" s="1"/>
  <c r="C29" i="3"/>
  <c r="B29" i="3"/>
  <c r="A29" i="3"/>
  <c r="AV28" i="3"/>
  <c r="AU28" i="3"/>
  <c r="AT28" i="3"/>
  <c r="AC28" i="3"/>
  <c r="Z28" i="3"/>
  <c r="Y28" i="3"/>
  <c r="J29" i="5" s="1"/>
  <c r="X28" i="3"/>
  <c r="V28" i="3"/>
  <c r="W28" i="3" s="1"/>
  <c r="U28" i="3"/>
  <c r="P28" i="3"/>
  <c r="Q28" i="3" s="1"/>
  <c r="O28" i="3"/>
  <c r="K28" i="3"/>
  <c r="I28" i="3"/>
  <c r="J28" i="3" s="1"/>
  <c r="C28" i="3"/>
  <c r="B28" i="3"/>
  <c r="A28" i="3"/>
  <c r="AV27" i="3"/>
  <c r="AU27" i="3"/>
  <c r="AT27" i="3"/>
  <c r="AE27" i="3"/>
  <c r="AD27" i="3"/>
  <c r="AC27" i="3"/>
  <c r="Z27" i="3"/>
  <c r="Y27" i="3"/>
  <c r="J28" i="5" s="1"/>
  <c r="X27" i="3"/>
  <c r="W27" i="3"/>
  <c r="V27" i="3"/>
  <c r="U27" i="3"/>
  <c r="P27" i="3"/>
  <c r="Q27" i="3" s="1"/>
  <c r="O27" i="3"/>
  <c r="I27" i="3"/>
  <c r="J27" i="3" s="1"/>
  <c r="K27" i="3" s="1"/>
  <c r="C27" i="3"/>
  <c r="B27" i="3"/>
  <c r="A27" i="3"/>
  <c r="AV26" i="3"/>
  <c r="AU26" i="3"/>
  <c r="AT26" i="3"/>
  <c r="AE26" i="3"/>
  <c r="AD26" i="3"/>
  <c r="AC26" i="3"/>
  <c r="Y26" i="3"/>
  <c r="X26" i="3"/>
  <c r="U26" i="3"/>
  <c r="V26" i="3" s="1"/>
  <c r="W26" i="3" s="1"/>
  <c r="O26" i="3"/>
  <c r="P26" i="3" s="1"/>
  <c r="Q26" i="3" s="1"/>
  <c r="I26" i="3"/>
  <c r="J26" i="3" s="1"/>
  <c r="K26" i="3" s="1"/>
  <c r="C26" i="3"/>
  <c r="B26" i="3"/>
  <c r="A26" i="3"/>
  <c r="AV25" i="3"/>
  <c r="AU25" i="3"/>
  <c r="AT25" i="3"/>
  <c r="AE25" i="3"/>
  <c r="AE28" i="3" s="1"/>
  <c r="AD25" i="3"/>
  <c r="AC25" i="3"/>
  <c r="Y25" i="3"/>
  <c r="J26" i="5" s="1"/>
  <c r="X25" i="3"/>
  <c r="V25" i="3"/>
  <c r="W25" i="3" s="1"/>
  <c r="U25" i="3"/>
  <c r="P25" i="3"/>
  <c r="Q25" i="3" s="1"/>
  <c r="O25" i="3"/>
  <c r="K25" i="3"/>
  <c r="J25" i="3"/>
  <c r="I25" i="3"/>
  <c r="C25" i="3"/>
  <c r="B25" i="3"/>
  <c r="A25" i="3"/>
  <c r="AV24" i="3"/>
  <c r="AU24" i="3"/>
  <c r="AT24" i="3"/>
  <c r="Y24" i="3"/>
  <c r="J25" i="5" s="1"/>
  <c r="X24" i="3"/>
  <c r="W24" i="3"/>
  <c r="V24" i="3"/>
  <c r="U24" i="3"/>
  <c r="O24" i="3"/>
  <c r="P24" i="3" s="1"/>
  <c r="Q24" i="3" s="1"/>
  <c r="I24" i="3"/>
  <c r="J24" i="3" s="1"/>
  <c r="K24" i="3" s="1"/>
  <c r="C24" i="3"/>
  <c r="B24" i="3"/>
  <c r="A24" i="3"/>
  <c r="AV23" i="3"/>
  <c r="AU23" i="3"/>
  <c r="AT23" i="3"/>
  <c r="Z23" i="3"/>
  <c r="Y23" i="3"/>
  <c r="J24" i="5" s="1"/>
  <c r="X23" i="3"/>
  <c r="U23" i="3"/>
  <c r="V23" i="3" s="1"/>
  <c r="W23" i="3" s="1"/>
  <c r="O23" i="3"/>
  <c r="P23" i="3" s="1"/>
  <c r="Q23" i="3" s="1"/>
  <c r="I23" i="3"/>
  <c r="J23" i="3" s="1"/>
  <c r="K23" i="3" s="1"/>
  <c r="C23" i="3"/>
  <c r="B23" i="3"/>
  <c r="A23" i="3"/>
  <c r="AV22" i="3"/>
  <c r="AU22" i="3"/>
  <c r="AT22" i="3"/>
  <c r="Y22" i="3"/>
  <c r="J23" i="5" s="1"/>
  <c r="X22" i="3"/>
  <c r="U22" i="3"/>
  <c r="V22" i="3" s="1"/>
  <c r="W22" i="3" s="1"/>
  <c r="O22" i="3"/>
  <c r="P22" i="3" s="1"/>
  <c r="Q22" i="3" s="1"/>
  <c r="I22" i="3"/>
  <c r="J22" i="3" s="1"/>
  <c r="K22" i="3" s="1"/>
  <c r="C22" i="3"/>
  <c r="B22" i="3"/>
  <c r="A22" i="3"/>
  <c r="AV21" i="3"/>
  <c r="AU21" i="3"/>
  <c r="AT21" i="3"/>
  <c r="Y21" i="3"/>
  <c r="J22" i="5" s="1"/>
  <c r="X21" i="3"/>
  <c r="U21" i="3"/>
  <c r="V21" i="3" s="1"/>
  <c r="W21" i="3" s="1"/>
  <c r="P21" i="3"/>
  <c r="Q21" i="3" s="1"/>
  <c r="O21" i="3"/>
  <c r="I21" i="3"/>
  <c r="J21" i="3" s="1"/>
  <c r="K21" i="3" s="1"/>
  <c r="C21" i="3"/>
  <c r="B21" i="3"/>
  <c r="A21" i="3"/>
  <c r="AV20" i="3"/>
  <c r="AU20" i="3"/>
  <c r="AT20" i="3"/>
  <c r="Y20" i="3"/>
  <c r="X20" i="3"/>
  <c r="V20" i="3"/>
  <c r="W20" i="3" s="1"/>
  <c r="U20" i="3"/>
  <c r="Q20" i="3"/>
  <c r="P20" i="3"/>
  <c r="O20" i="3"/>
  <c r="J20" i="3"/>
  <c r="K20" i="3" s="1"/>
  <c r="I20" i="3"/>
  <c r="C20" i="3"/>
  <c r="B20" i="3"/>
  <c r="A20" i="3"/>
  <c r="AV19" i="3"/>
  <c r="AU19" i="3"/>
  <c r="AT19" i="3"/>
  <c r="AC19" i="3"/>
  <c r="Y19" i="3"/>
  <c r="J20" i="5" s="1"/>
  <c r="X19" i="3"/>
  <c r="V19" i="3"/>
  <c r="W19" i="3" s="1"/>
  <c r="U19" i="3"/>
  <c r="Q19" i="3"/>
  <c r="P19" i="3"/>
  <c r="O19" i="3"/>
  <c r="K19" i="3"/>
  <c r="I19" i="3"/>
  <c r="J19" i="3" s="1"/>
  <c r="C19" i="3"/>
  <c r="B19" i="3"/>
  <c r="A19" i="3"/>
  <c r="AV18" i="3"/>
  <c r="AU18" i="3"/>
  <c r="AT18" i="3"/>
  <c r="Z18" i="3"/>
  <c r="Y18" i="3"/>
  <c r="J19" i="5" s="1"/>
  <c r="X18" i="3"/>
  <c r="U18" i="3"/>
  <c r="V18" i="3" s="1"/>
  <c r="W18" i="3" s="1"/>
  <c r="Q18" i="3"/>
  <c r="P18" i="3"/>
  <c r="O18" i="3"/>
  <c r="J18" i="3"/>
  <c r="K18" i="3" s="1"/>
  <c r="I18" i="3"/>
  <c r="C18" i="3"/>
  <c r="B18" i="3"/>
  <c r="A18" i="3"/>
  <c r="AV17" i="3"/>
  <c r="AU17" i="3"/>
  <c r="AT17" i="3"/>
  <c r="Y17" i="3"/>
  <c r="J18" i="5" s="1"/>
  <c r="X17" i="3"/>
  <c r="W17" i="3"/>
  <c r="V17" i="3"/>
  <c r="U17" i="3"/>
  <c r="O17" i="3"/>
  <c r="P17" i="3" s="1"/>
  <c r="Q17" i="3" s="1"/>
  <c r="I17" i="3"/>
  <c r="J17" i="3" s="1"/>
  <c r="K17" i="3" s="1"/>
  <c r="C17" i="3"/>
  <c r="B17" i="3"/>
  <c r="A17" i="3"/>
  <c r="AV16" i="3"/>
  <c r="AU16" i="3"/>
  <c r="AT16" i="3"/>
  <c r="AE16" i="3"/>
  <c r="AD16" i="3"/>
  <c r="AD28" i="3" s="1"/>
  <c r="AC16" i="3"/>
  <c r="Y16" i="3"/>
  <c r="J17" i="5" s="1"/>
  <c r="X16" i="3"/>
  <c r="U16" i="3"/>
  <c r="V16" i="3" s="1"/>
  <c r="W16" i="3" s="1"/>
  <c r="O16" i="3"/>
  <c r="P16" i="3" s="1"/>
  <c r="Q16" i="3" s="1"/>
  <c r="J16" i="3"/>
  <c r="K16" i="3" s="1"/>
  <c r="I16" i="3"/>
  <c r="C16" i="3"/>
  <c r="B16" i="3"/>
  <c r="A16" i="3"/>
  <c r="AV15" i="3"/>
  <c r="AU15" i="3"/>
  <c r="AT15" i="3"/>
  <c r="AE15" i="3"/>
  <c r="AD15" i="3"/>
  <c r="AC15" i="3"/>
  <c r="Y15" i="3"/>
  <c r="J16" i="5" s="1"/>
  <c r="X15" i="3"/>
  <c r="U15" i="3"/>
  <c r="V15" i="3" s="1"/>
  <c r="W15" i="3" s="1"/>
  <c r="P15" i="3"/>
  <c r="Q15" i="3" s="1"/>
  <c r="O15" i="3"/>
  <c r="K15" i="3"/>
  <c r="J15" i="3"/>
  <c r="I15" i="3"/>
  <c r="C15" i="3"/>
  <c r="B15" i="3"/>
  <c r="A15" i="3"/>
  <c r="AV14" i="3"/>
  <c r="AU14" i="3"/>
  <c r="AT14" i="3"/>
  <c r="Y14" i="3"/>
  <c r="X14" i="3"/>
  <c r="U14" i="3"/>
  <c r="V14" i="3" s="1"/>
  <c r="W14" i="3" s="1"/>
  <c r="P14" i="3"/>
  <c r="Q14" i="3" s="1"/>
  <c r="O14" i="3"/>
  <c r="J14" i="3"/>
  <c r="K14" i="3" s="1"/>
  <c r="I14" i="3"/>
  <c r="C14" i="3"/>
  <c r="B14" i="3"/>
  <c r="A14" i="3"/>
  <c r="AV13" i="3"/>
  <c r="AU13" i="3"/>
  <c r="AD19" i="3" s="1"/>
  <c r="AD20" i="3" s="1"/>
  <c r="AD22" i="3" s="1"/>
  <c r="AT13" i="3"/>
  <c r="U13" i="3"/>
  <c r="X13" i="3" s="1"/>
  <c r="O13" i="3"/>
  <c r="P13" i="3" s="1"/>
  <c r="Q13" i="3" s="1"/>
  <c r="J13" i="3"/>
  <c r="K13" i="3" s="1"/>
  <c r="I13" i="3"/>
  <c r="C13" i="3"/>
  <c r="B13" i="3"/>
  <c r="A13" i="3"/>
  <c r="W10" i="3"/>
  <c r="U10" i="3"/>
  <c r="Q10" i="3"/>
  <c r="O10" i="3"/>
  <c r="K10" i="3"/>
  <c r="I10" i="3"/>
  <c r="R8" i="3"/>
  <c r="L8" i="3"/>
  <c r="D8" i="3"/>
  <c r="U7" i="3"/>
  <c r="O7" i="3"/>
  <c r="I7" i="3"/>
  <c r="W5" i="3"/>
  <c r="P5" i="3"/>
  <c r="D5" i="3"/>
  <c r="I4" i="3"/>
  <c r="D4" i="3"/>
  <c r="AV116" i="2"/>
  <c r="AU116" i="2"/>
  <c r="AT116" i="2"/>
  <c r="Y116" i="2"/>
  <c r="Z116" i="2" s="1"/>
  <c r="X116" i="2"/>
  <c r="U116" i="2"/>
  <c r="V116" i="2" s="1"/>
  <c r="W116" i="2" s="1"/>
  <c r="P116" i="2"/>
  <c r="Q116" i="2" s="1"/>
  <c r="O116" i="2"/>
  <c r="J116" i="2"/>
  <c r="K116" i="2" s="1"/>
  <c r="I116" i="2"/>
  <c r="AV115" i="2"/>
  <c r="AU115" i="2"/>
  <c r="AT115" i="2"/>
  <c r="Y115" i="2"/>
  <c r="F116" i="5" s="1"/>
  <c r="X115" i="2"/>
  <c r="V115" i="2"/>
  <c r="W115" i="2" s="1"/>
  <c r="U115" i="2"/>
  <c r="O115" i="2"/>
  <c r="P115" i="2" s="1"/>
  <c r="Q115" i="2" s="1"/>
  <c r="I115" i="2"/>
  <c r="J115" i="2" s="1"/>
  <c r="K115" i="2" s="1"/>
  <c r="AV114" i="2"/>
  <c r="AU114" i="2"/>
  <c r="AT114" i="2"/>
  <c r="Y114" i="2"/>
  <c r="F115" i="5" s="1"/>
  <c r="X114" i="2"/>
  <c r="V114" i="2"/>
  <c r="W114" i="2" s="1"/>
  <c r="U114" i="2"/>
  <c r="P114" i="2"/>
  <c r="Q114" i="2" s="1"/>
  <c r="O114" i="2"/>
  <c r="I114" i="2"/>
  <c r="J114" i="2" s="1"/>
  <c r="K114" i="2" s="1"/>
  <c r="AV113" i="2"/>
  <c r="AU113" i="2"/>
  <c r="AT113" i="2"/>
  <c r="Y113" i="2"/>
  <c r="F114" i="5" s="1"/>
  <c r="X113" i="2"/>
  <c r="U113" i="2"/>
  <c r="V113" i="2" s="1"/>
  <c r="W113" i="2" s="1"/>
  <c r="O113" i="2"/>
  <c r="P113" i="2" s="1"/>
  <c r="Q113" i="2" s="1"/>
  <c r="J113" i="2"/>
  <c r="K113" i="2" s="1"/>
  <c r="I113" i="2"/>
  <c r="C113" i="2"/>
  <c r="B113" i="2"/>
  <c r="A113" i="2"/>
  <c r="AV112" i="2"/>
  <c r="AU112" i="2"/>
  <c r="AT112" i="2"/>
  <c r="Y112" i="2"/>
  <c r="F113" i="5" s="1"/>
  <c r="X112" i="2"/>
  <c r="V112" i="2"/>
  <c r="W112" i="2" s="1"/>
  <c r="U112" i="2"/>
  <c r="O112" i="2"/>
  <c r="P112" i="2" s="1"/>
  <c r="Q112" i="2" s="1"/>
  <c r="I112" i="2"/>
  <c r="J112" i="2" s="1"/>
  <c r="K112" i="2" s="1"/>
  <c r="C112" i="2"/>
  <c r="B112" i="2"/>
  <c r="A112" i="2"/>
  <c r="AV111" i="2"/>
  <c r="AU111" i="2"/>
  <c r="AT111" i="2"/>
  <c r="Y111" i="2"/>
  <c r="F112" i="5" s="1"/>
  <c r="X111" i="2"/>
  <c r="V111" i="2"/>
  <c r="W111" i="2" s="1"/>
  <c r="U111" i="2"/>
  <c r="O111" i="2"/>
  <c r="P111" i="2" s="1"/>
  <c r="Q111" i="2" s="1"/>
  <c r="I111" i="2"/>
  <c r="J111" i="2" s="1"/>
  <c r="K111" i="2" s="1"/>
  <c r="C111" i="2"/>
  <c r="B111" i="2"/>
  <c r="A111" i="2"/>
  <c r="AV110" i="2"/>
  <c r="AU110" i="2"/>
  <c r="AT110" i="2"/>
  <c r="Y110" i="2"/>
  <c r="F111" i="5" s="1"/>
  <c r="X110" i="2"/>
  <c r="V110" i="2"/>
  <c r="W110" i="2" s="1"/>
  <c r="U110" i="2"/>
  <c r="P110" i="2"/>
  <c r="Q110" i="2" s="1"/>
  <c r="O110" i="2"/>
  <c r="I110" i="2"/>
  <c r="J110" i="2" s="1"/>
  <c r="K110" i="2" s="1"/>
  <c r="C110" i="2"/>
  <c r="B110" i="2"/>
  <c r="A110" i="2"/>
  <c r="AV109" i="2"/>
  <c r="AU109" i="2"/>
  <c r="AT109" i="2"/>
  <c r="Y109" i="2"/>
  <c r="F110" i="5" s="1"/>
  <c r="X109" i="2"/>
  <c r="U109" i="2"/>
  <c r="V109" i="2" s="1"/>
  <c r="W109" i="2" s="1"/>
  <c r="P109" i="2"/>
  <c r="Q109" i="2" s="1"/>
  <c r="O109" i="2"/>
  <c r="I109" i="2"/>
  <c r="J109" i="2" s="1"/>
  <c r="K109" i="2" s="1"/>
  <c r="C109" i="2"/>
  <c r="B109" i="2"/>
  <c r="A109" i="2"/>
  <c r="AV108" i="2"/>
  <c r="AU108" i="2"/>
  <c r="AT108" i="2"/>
  <c r="Y108" i="2"/>
  <c r="F109" i="5" s="1"/>
  <c r="X108" i="2"/>
  <c r="U108" i="2"/>
  <c r="V108" i="2" s="1"/>
  <c r="W108" i="2" s="1"/>
  <c r="P108" i="2"/>
  <c r="Q108" i="2" s="1"/>
  <c r="O108" i="2"/>
  <c r="I108" i="2"/>
  <c r="J108" i="2" s="1"/>
  <c r="K108" i="2" s="1"/>
  <c r="C108" i="2"/>
  <c r="B108" i="2"/>
  <c r="A108" i="2"/>
  <c r="AV107" i="2"/>
  <c r="AU107" i="2"/>
  <c r="AT107" i="2"/>
  <c r="Y107" i="2"/>
  <c r="X107" i="2"/>
  <c r="U107" i="2"/>
  <c r="V107" i="2" s="1"/>
  <c r="W107" i="2" s="1"/>
  <c r="P107" i="2"/>
  <c r="Q107" i="2" s="1"/>
  <c r="O107" i="2"/>
  <c r="J107" i="2"/>
  <c r="K107" i="2" s="1"/>
  <c r="I107" i="2"/>
  <c r="C107" i="2"/>
  <c r="B107" i="2"/>
  <c r="A107" i="2"/>
  <c r="AV106" i="2"/>
  <c r="AU106" i="2"/>
  <c r="AT106" i="2"/>
  <c r="Y106" i="2"/>
  <c r="X106" i="2"/>
  <c r="U106" i="2"/>
  <c r="V106" i="2" s="1"/>
  <c r="W106" i="2" s="1"/>
  <c r="P106" i="2"/>
  <c r="Q106" i="2" s="1"/>
  <c r="O106" i="2"/>
  <c r="J106" i="2"/>
  <c r="K106" i="2" s="1"/>
  <c r="I106" i="2"/>
  <c r="C106" i="2"/>
  <c r="B106" i="2"/>
  <c r="A106" i="2"/>
  <c r="AV105" i="2"/>
  <c r="AU105" i="2"/>
  <c r="AT105" i="2"/>
  <c r="Y105" i="2"/>
  <c r="F106" i="5" s="1"/>
  <c r="X105" i="2"/>
  <c r="U105" i="2"/>
  <c r="V105" i="2" s="1"/>
  <c r="W105" i="2" s="1"/>
  <c r="O105" i="2"/>
  <c r="P105" i="2" s="1"/>
  <c r="Q105" i="2" s="1"/>
  <c r="J105" i="2"/>
  <c r="K105" i="2" s="1"/>
  <c r="I105" i="2"/>
  <c r="C105" i="2"/>
  <c r="B105" i="2"/>
  <c r="A105" i="2"/>
  <c r="AV104" i="2"/>
  <c r="AU104" i="2"/>
  <c r="AT104" i="2"/>
  <c r="Y104" i="2"/>
  <c r="F105" i="5" s="1"/>
  <c r="X104" i="2"/>
  <c r="V104" i="2"/>
  <c r="W104" i="2" s="1"/>
  <c r="U104" i="2"/>
  <c r="O104" i="2"/>
  <c r="P104" i="2" s="1"/>
  <c r="Q104" i="2" s="1"/>
  <c r="I104" i="2"/>
  <c r="J104" i="2" s="1"/>
  <c r="K104" i="2" s="1"/>
  <c r="C104" i="2"/>
  <c r="B104" i="2"/>
  <c r="A104" i="2"/>
  <c r="AV103" i="2"/>
  <c r="AU103" i="2"/>
  <c r="AT103" i="2"/>
  <c r="Y103" i="2"/>
  <c r="F104" i="5" s="1"/>
  <c r="X103" i="2"/>
  <c r="V103" i="2"/>
  <c r="W103" i="2" s="1"/>
  <c r="U103" i="2"/>
  <c r="O103" i="2"/>
  <c r="P103" i="2" s="1"/>
  <c r="Q103" i="2" s="1"/>
  <c r="I103" i="2"/>
  <c r="J103" i="2" s="1"/>
  <c r="K103" i="2" s="1"/>
  <c r="C103" i="2"/>
  <c r="B103" i="2"/>
  <c r="A103" i="2"/>
  <c r="AV102" i="2"/>
  <c r="AU102" i="2"/>
  <c r="AT102" i="2"/>
  <c r="Y102" i="2"/>
  <c r="F103" i="5" s="1"/>
  <c r="X102" i="2"/>
  <c r="V102" i="2"/>
  <c r="W102" i="2" s="1"/>
  <c r="U102" i="2"/>
  <c r="P102" i="2"/>
  <c r="Q102" i="2" s="1"/>
  <c r="O102" i="2"/>
  <c r="I102" i="2"/>
  <c r="J102" i="2" s="1"/>
  <c r="K102" i="2" s="1"/>
  <c r="C102" i="2"/>
  <c r="B102" i="2"/>
  <c r="A102" i="2"/>
  <c r="AV101" i="2"/>
  <c r="AU101" i="2"/>
  <c r="AT101" i="2"/>
  <c r="Y101" i="2"/>
  <c r="F102" i="5" s="1"/>
  <c r="X101" i="2"/>
  <c r="U101" i="2"/>
  <c r="V101" i="2" s="1"/>
  <c r="W101" i="2" s="1"/>
  <c r="P101" i="2"/>
  <c r="Q101" i="2" s="1"/>
  <c r="O101" i="2"/>
  <c r="I101" i="2"/>
  <c r="J101" i="2" s="1"/>
  <c r="K101" i="2" s="1"/>
  <c r="C101" i="2"/>
  <c r="B101" i="2"/>
  <c r="A101" i="2"/>
  <c r="AV100" i="2"/>
  <c r="AU100" i="2"/>
  <c r="AT100" i="2"/>
  <c r="Y100" i="2"/>
  <c r="F101" i="5" s="1"/>
  <c r="X100" i="2"/>
  <c r="U100" i="2"/>
  <c r="V100" i="2" s="1"/>
  <c r="W100" i="2" s="1"/>
  <c r="P100" i="2"/>
  <c r="Q100" i="2" s="1"/>
  <c r="O100" i="2"/>
  <c r="I100" i="2"/>
  <c r="J100" i="2" s="1"/>
  <c r="K100" i="2" s="1"/>
  <c r="C100" i="2"/>
  <c r="B100" i="2"/>
  <c r="A100" i="2"/>
  <c r="AV99" i="2"/>
  <c r="AU99" i="2"/>
  <c r="AT99" i="2"/>
  <c r="Y99" i="2"/>
  <c r="X99" i="2"/>
  <c r="U99" i="2"/>
  <c r="V99" i="2" s="1"/>
  <c r="W99" i="2" s="1"/>
  <c r="P99" i="2"/>
  <c r="Q99" i="2" s="1"/>
  <c r="O99" i="2"/>
  <c r="J99" i="2"/>
  <c r="K99" i="2" s="1"/>
  <c r="I99" i="2"/>
  <c r="C99" i="2"/>
  <c r="B99" i="2"/>
  <c r="A99" i="2"/>
  <c r="AV98" i="2"/>
  <c r="AU98" i="2"/>
  <c r="AT98" i="2"/>
  <c r="Y98" i="2"/>
  <c r="X98" i="2"/>
  <c r="U98" i="2"/>
  <c r="V98" i="2" s="1"/>
  <c r="W98" i="2" s="1"/>
  <c r="P98" i="2"/>
  <c r="Q98" i="2" s="1"/>
  <c r="O98" i="2"/>
  <c r="J98" i="2"/>
  <c r="K98" i="2" s="1"/>
  <c r="I98" i="2"/>
  <c r="C98" i="2"/>
  <c r="B98" i="2"/>
  <c r="A98" i="2"/>
  <c r="AV97" i="2"/>
  <c r="AU97" i="2"/>
  <c r="AT97" i="2"/>
  <c r="Y97" i="2"/>
  <c r="F98" i="5" s="1"/>
  <c r="X97" i="2"/>
  <c r="U97" i="2"/>
  <c r="V97" i="2" s="1"/>
  <c r="W97" i="2" s="1"/>
  <c r="O97" i="2"/>
  <c r="P97" i="2" s="1"/>
  <c r="Q97" i="2" s="1"/>
  <c r="J97" i="2"/>
  <c r="K97" i="2" s="1"/>
  <c r="I97" i="2"/>
  <c r="C97" i="2"/>
  <c r="B97" i="2"/>
  <c r="A97" i="2"/>
  <c r="AV96" i="2"/>
  <c r="AU96" i="2"/>
  <c r="AT96" i="2"/>
  <c r="Y96" i="2"/>
  <c r="F97" i="5" s="1"/>
  <c r="X96" i="2"/>
  <c r="V96" i="2"/>
  <c r="W96" i="2" s="1"/>
  <c r="U96" i="2"/>
  <c r="O96" i="2"/>
  <c r="P96" i="2" s="1"/>
  <c r="Q96" i="2" s="1"/>
  <c r="I96" i="2"/>
  <c r="J96" i="2" s="1"/>
  <c r="K96" i="2" s="1"/>
  <c r="C96" i="2"/>
  <c r="B96" i="2"/>
  <c r="A96" i="2"/>
  <c r="AV95" i="2"/>
  <c r="AU95" i="2"/>
  <c r="AT95" i="2"/>
  <c r="Y95" i="2"/>
  <c r="F96" i="5" s="1"/>
  <c r="X95" i="2"/>
  <c r="V95" i="2"/>
  <c r="W95" i="2" s="1"/>
  <c r="U95" i="2"/>
  <c r="O95" i="2"/>
  <c r="P95" i="2" s="1"/>
  <c r="Q95" i="2" s="1"/>
  <c r="I95" i="2"/>
  <c r="J95" i="2" s="1"/>
  <c r="K95" i="2" s="1"/>
  <c r="C95" i="2"/>
  <c r="B95" i="2"/>
  <c r="A95" i="2"/>
  <c r="AV94" i="2"/>
  <c r="AU94" i="2"/>
  <c r="AT94" i="2"/>
  <c r="Y94" i="2"/>
  <c r="F95" i="5" s="1"/>
  <c r="X94" i="2"/>
  <c r="V94" i="2"/>
  <c r="W94" i="2" s="1"/>
  <c r="U94" i="2"/>
  <c r="P94" i="2"/>
  <c r="Q94" i="2" s="1"/>
  <c r="O94" i="2"/>
  <c r="I94" i="2"/>
  <c r="J94" i="2" s="1"/>
  <c r="K94" i="2" s="1"/>
  <c r="C94" i="2"/>
  <c r="B94" i="2"/>
  <c r="A94" i="2"/>
  <c r="AV93" i="2"/>
  <c r="AU93" i="2"/>
  <c r="AT93" i="2"/>
  <c r="Y93" i="2"/>
  <c r="F94" i="5" s="1"/>
  <c r="X93" i="2"/>
  <c r="U93" i="2"/>
  <c r="V93" i="2" s="1"/>
  <c r="W93" i="2" s="1"/>
  <c r="P93" i="2"/>
  <c r="Q93" i="2" s="1"/>
  <c r="O93" i="2"/>
  <c r="I93" i="2"/>
  <c r="J93" i="2" s="1"/>
  <c r="K93" i="2" s="1"/>
  <c r="C93" i="2"/>
  <c r="B93" i="2"/>
  <c r="A93" i="2"/>
  <c r="AV92" i="2"/>
  <c r="AU92" i="2"/>
  <c r="AT92" i="2"/>
  <c r="Y92" i="2"/>
  <c r="F93" i="5" s="1"/>
  <c r="X92" i="2"/>
  <c r="U92" i="2"/>
  <c r="V92" i="2" s="1"/>
  <c r="W92" i="2" s="1"/>
  <c r="P92" i="2"/>
  <c r="Q92" i="2" s="1"/>
  <c r="O92" i="2"/>
  <c r="I92" i="2"/>
  <c r="J92" i="2" s="1"/>
  <c r="K92" i="2" s="1"/>
  <c r="C92" i="2"/>
  <c r="B92" i="2"/>
  <c r="A92" i="2"/>
  <c r="AV91" i="2"/>
  <c r="AU91" i="2"/>
  <c r="AT91" i="2"/>
  <c r="U91" i="2"/>
  <c r="V91" i="2" s="1"/>
  <c r="W91" i="2" s="1"/>
  <c r="X91" i="2" s="1"/>
  <c r="Y91" i="2" s="1"/>
  <c r="O91" i="2"/>
  <c r="P91" i="2" s="1"/>
  <c r="Q91" i="2" s="1"/>
  <c r="I91" i="2"/>
  <c r="J91" i="2" s="1"/>
  <c r="K91" i="2" s="1"/>
  <c r="C91" i="2"/>
  <c r="B91" i="2"/>
  <c r="A91" i="2"/>
  <c r="AV90" i="2"/>
  <c r="AU90" i="2"/>
  <c r="AT90" i="2"/>
  <c r="U90" i="2"/>
  <c r="V90" i="2" s="1"/>
  <c r="W90" i="2" s="1"/>
  <c r="X90" i="2" s="1"/>
  <c r="Y90" i="2" s="1"/>
  <c r="O90" i="2"/>
  <c r="P90" i="2" s="1"/>
  <c r="Q90" i="2" s="1"/>
  <c r="I90" i="2"/>
  <c r="J90" i="2" s="1"/>
  <c r="K90" i="2" s="1"/>
  <c r="C90" i="2"/>
  <c r="B90" i="2"/>
  <c r="A90" i="2"/>
  <c r="AV89" i="2"/>
  <c r="AU89" i="2"/>
  <c r="AT89" i="2"/>
  <c r="X89" i="2"/>
  <c r="Y89" i="2" s="1"/>
  <c r="F90" i="5" s="1"/>
  <c r="U89" i="2"/>
  <c r="V89" i="2" s="1"/>
  <c r="W89" i="2" s="1"/>
  <c r="O89" i="2"/>
  <c r="P89" i="2" s="1"/>
  <c r="Q89" i="2" s="1"/>
  <c r="I89" i="2"/>
  <c r="J89" i="2" s="1"/>
  <c r="K89" i="2" s="1"/>
  <c r="C89" i="2"/>
  <c r="B89" i="2"/>
  <c r="A89" i="2"/>
  <c r="AV88" i="2"/>
  <c r="AU88" i="2"/>
  <c r="AT88" i="2"/>
  <c r="U88" i="2"/>
  <c r="V88" i="2" s="1"/>
  <c r="W88" i="2" s="1"/>
  <c r="X88" i="2" s="1"/>
  <c r="Y88" i="2" s="1"/>
  <c r="F89" i="5" s="1"/>
  <c r="O88" i="2"/>
  <c r="P88" i="2" s="1"/>
  <c r="Q88" i="2" s="1"/>
  <c r="I88" i="2"/>
  <c r="J88" i="2" s="1"/>
  <c r="K88" i="2" s="1"/>
  <c r="C88" i="2"/>
  <c r="B88" i="2"/>
  <c r="A88" i="2"/>
  <c r="AV87" i="2"/>
  <c r="AU87" i="2"/>
  <c r="AT87" i="2"/>
  <c r="U87" i="2"/>
  <c r="V87" i="2" s="1"/>
  <c r="W87" i="2" s="1"/>
  <c r="X87" i="2" s="1"/>
  <c r="Y87" i="2" s="1"/>
  <c r="F88" i="5" s="1"/>
  <c r="O87" i="2"/>
  <c r="P87" i="2" s="1"/>
  <c r="Q87" i="2" s="1"/>
  <c r="I87" i="2"/>
  <c r="J87" i="2" s="1"/>
  <c r="K87" i="2" s="1"/>
  <c r="C87" i="2"/>
  <c r="B87" i="2"/>
  <c r="A87" i="2"/>
  <c r="AV86" i="2"/>
  <c r="AU86" i="2"/>
  <c r="AT86" i="2"/>
  <c r="Y86" i="2"/>
  <c r="F87" i="5" s="1"/>
  <c r="X86" i="2"/>
  <c r="U86" i="2"/>
  <c r="V86" i="2" s="1"/>
  <c r="W86" i="2" s="1"/>
  <c r="O86" i="2"/>
  <c r="P86" i="2" s="1"/>
  <c r="Q86" i="2" s="1"/>
  <c r="I86" i="2"/>
  <c r="J86" i="2" s="1"/>
  <c r="K86" i="2" s="1"/>
  <c r="C86" i="2"/>
  <c r="B86" i="2"/>
  <c r="A86" i="2"/>
  <c r="AV85" i="2"/>
  <c r="AU85" i="2"/>
  <c r="AT85" i="2"/>
  <c r="X85" i="2"/>
  <c r="Y85" i="2" s="1"/>
  <c r="F86" i="5" s="1"/>
  <c r="U85" i="2"/>
  <c r="V85" i="2" s="1"/>
  <c r="W85" i="2" s="1"/>
  <c r="O85" i="2"/>
  <c r="P85" i="2" s="1"/>
  <c r="Q85" i="2" s="1"/>
  <c r="I85" i="2"/>
  <c r="J85" i="2" s="1"/>
  <c r="K85" i="2" s="1"/>
  <c r="C85" i="2"/>
  <c r="B85" i="2"/>
  <c r="A85" i="2"/>
  <c r="AV84" i="2"/>
  <c r="AU84" i="2"/>
  <c r="AT84" i="2"/>
  <c r="X84" i="2"/>
  <c r="Y84" i="2" s="1"/>
  <c r="F85" i="5" s="1"/>
  <c r="U84" i="2"/>
  <c r="V84" i="2" s="1"/>
  <c r="W84" i="2" s="1"/>
  <c r="O84" i="2"/>
  <c r="P84" i="2" s="1"/>
  <c r="Q84" i="2" s="1"/>
  <c r="I84" i="2"/>
  <c r="J84" i="2" s="1"/>
  <c r="K84" i="2" s="1"/>
  <c r="C84" i="2"/>
  <c r="B84" i="2"/>
  <c r="A84" i="2"/>
  <c r="AV83" i="2"/>
  <c r="AU83" i="2"/>
  <c r="AT83" i="2"/>
  <c r="Y83" i="2"/>
  <c r="X83" i="2"/>
  <c r="U83" i="2"/>
  <c r="V83" i="2" s="1"/>
  <c r="W83" i="2" s="1"/>
  <c r="O83" i="2"/>
  <c r="P83" i="2" s="1"/>
  <c r="Q83" i="2" s="1"/>
  <c r="I83" i="2"/>
  <c r="J83" i="2" s="1"/>
  <c r="K83" i="2" s="1"/>
  <c r="C83" i="2"/>
  <c r="B83" i="2"/>
  <c r="A83" i="2"/>
  <c r="AV82" i="2"/>
  <c r="AU82" i="2"/>
  <c r="AT82" i="2"/>
  <c r="U82" i="2"/>
  <c r="V82" i="2" s="1"/>
  <c r="W82" i="2" s="1"/>
  <c r="X82" i="2" s="1"/>
  <c r="Y82" i="2" s="1"/>
  <c r="O82" i="2"/>
  <c r="P82" i="2" s="1"/>
  <c r="Q82" i="2" s="1"/>
  <c r="I82" i="2"/>
  <c r="J82" i="2" s="1"/>
  <c r="K82" i="2" s="1"/>
  <c r="C82" i="2"/>
  <c r="B82" i="2"/>
  <c r="A82" i="2"/>
  <c r="AV81" i="2"/>
  <c r="AU81" i="2"/>
  <c r="AT81" i="2"/>
  <c r="Y81" i="2"/>
  <c r="F82" i="5" s="1"/>
  <c r="X81" i="2"/>
  <c r="U81" i="2"/>
  <c r="V81" i="2" s="1"/>
  <c r="W81" i="2" s="1"/>
  <c r="O81" i="2"/>
  <c r="P81" i="2" s="1"/>
  <c r="Q81" i="2" s="1"/>
  <c r="I81" i="2"/>
  <c r="J81" i="2" s="1"/>
  <c r="K81" i="2" s="1"/>
  <c r="C81" i="2"/>
  <c r="B81" i="2"/>
  <c r="A81" i="2"/>
  <c r="AV80" i="2"/>
  <c r="AU80" i="2"/>
  <c r="AT80" i="2"/>
  <c r="X80" i="2"/>
  <c r="Y80" i="2" s="1"/>
  <c r="F81" i="5" s="1"/>
  <c r="U80" i="2"/>
  <c r="V80" i="2" s="1"/>
  <c r="W80" i="2" s="1"/>
  <c r="O80" i="2"/>
  <c r="P80" i="2" s="1"/>
  <c r="Q80" i="2" s="1"/>
  <c r="I80" i="2"/>
  <c r="J80" i="2" s="1"/>
  <c r="K80" i="2" s="1"/>
  <c r="C80" i="2"/>
  <c r="B80" i="2"/>
  <c r="A80" i="2"/>
  <c r="AV79" i="2"/>
  <c r="AU79" i="2"/>
  <c r="AT79" i="2"/>
  <c r="X79" i="2"/>
  <c r="Y79" i="2" s="1"/>
  <c r="F80" i="5" s="1"/>
  <c r="U79" i="2"/>
  <c r="V79" i="2" s="1"/>
  <c r="W79" i="2" s="1"/>
  <c r="O79" i="2"/>
  <c r="P79" i="2" s="1"/>
  <c r="Q79" i="2" s="1"/>
  <c r="I79" i="2"/>
  <c r="J79" i="2" s="1"/>
  <c r="K79" i="2" s="1"/>
  <c r="C79" i="2"/>
  <c r="B79" i="2"/>
  <c r="A79" i="2"/>
  <c r="AV78" i="2"/>
  <c r="AU78" i="2"/>
  <c r="AT78" i="2"/>
  <c r="X78" i="2"/>
  <c r="Y78" i="2" s="1"/>
  <c r="F79" i="5" s="1"/>
  <c r="U78" i="2"/>
  <c r="V78" i="2" s="1"/>
  <c r="W78" i="2" s="1"/>
  <c r="O78" i="2"/>
  <c r="P78" i="2" s="1"/>
  <c r="Q78" i="2" s="1"/>
  <c r="I78" i="2"/>
  <c r="J78" i="2" s="1"/>
  <c r="K78" i="2" s="1"/>
  <c r="C78" i="2"/>
  <c r="B78" i="2"/>
  <c r="A78" i="2"/>
  <c r="AV77" i="2"/>
  <c r="AU77" i="2"/>
  <c r="AT77" i="2"/>
  <c r="Y77" i="2"/>
  <c r="F78" i="5" s="1"/>
  <c r="X77" i="2"/>
  <c r="U77" i="2"/>
  <c r="V77" i="2" s="1"/>
  <c r="W77" i="2" s="1"/>
  <c r="O77" i="2"/>
  <c r="P77" i="2" s="1"/>
  <c r="Q77" i="2" s="1"/>
  <c r="I77" i="2"/>
  <c r="J77" i="2" s="1"/>
  <c r="K77" i="2" s="1"/>
  <c r="C77" i="2"/>
  <c r="B77" i="2"/>
  <c r="A77" i="2"/>
  <c r="AV76" i="2"/>
  <c r="AU76" i="2"/>
  <c r="AT76" i="2"/>
  <c r="U76" i="2"/>
  <c r="V76" i="2" s="1"/>
  <c r="W76" i="2" s="1"/>
  <c r="X76" i="2" s="1"/>
  <c r="Y76" i="2" s="1"/>
  <c r="F77" i="5" s="1"/>
  <c r="O76" i="2"/>
  <c r="P76" i="2" s="1"/>
  <c r="Q76" i="2" s="1"/>
  <c r="I76" i="2"/>
  <c r="J76" i="2" s="1"/>
  <c r="K76" i="2" s="1"/>
  <c r="C76" i="2"/>
  <c r="B76" i="2"/>
  <c r="A76" i="2"/>
  <c r="AV75" i="2"/>
  <c r="AU75" i="2"/>
  <c r="AT75" i="2"/>
  <c r="U75" i="2"/>
  <c r="V75" i="2" s="1"/>
  <c r="W75" i="2" s="1"/>
  <c r="X75" i="2" s="1"/>
  <c r="Y75" i="2" s="1"/>
  <c r="O75" i="2"/>
  <c r="P75" i="2" s="1"/>
  <c r="Q75" i="2" s="1"/>
  <c r="I75" i="2"/>
  <c r="J75" i="2" s="1"/>
  <c r="K75" i="2" s="1"/>
  <c r="C75" i="2"/>
  <c r="B75" i="2"/>
  <c r="A75" i="2"/>
  <c r="AV74" i="2"/>
  <c r="AU74" i="2"/>
  <c r="AT74" i="2"/>
  <c r="U74" i="2"/>
  <c r="V74" i="2" s="1"/>
  <c r="W74" i="2" s="1"/>
  <c r="X74" i="2" s="1"/>
  <c r="Y74" i="2" s="1"/>
  <c r="O74" i="2"/>
  <c r="P74" i="2" s="1"/>
  <c r="Q74" i="2" s="1"/>
  <c r="I74" i="2"/>
  <c r="J74" i="2" s="1"/>
  <c r="K74" i="2" s="1"/>
  <c r="C74" i="2"/>
  <c r="B74" i="2"/>
  <c r="A74" i="2"/>
  <c r="AV73" i="2"/>
  <c r="AU73" i="2"/>
  <c r="AT73" i="2"/>
  <c r="X73" i="2"/>
  <c r="Y73" i="2" s="1"/>
  <c r="F74" i="5" s="1"/>
  <c r="U73" i="2"/>
  <c r="V73" i="2" s="1"/>
  <c r="W73" i="2" s="1"/>
  <c r="O73" i="2"/>
  <c r="P73" i="2" s="1"/>
  <c r="Q73" i="2" s="1"/>
  <c r="I73" i="2"/>
  <c r="J73" i="2" s="1"/>
  <c r="K73" i="2" s="1"/>
  <c r="C73" i="2"/>
  <c r="B73" i="2"/>
  <c r="A73" i="2"/>
  <c r="AV72" i="2"/>
  <c r="AU72" i="2"/>
  <c r="AT72" i="2"/>
  <c r="U72" i="2"/>
  <c r="V72" i="2" s="1"/>
  <c r="W72" i="2" s="1"/>
  <c r="X72" i="2" s="1"/>
  <c r="Y72" i="2" s="1"/>
  <c r="F73" i="5" s="1"/>
  <c r="O72" i="2"/>
  <c r="P72" i="2" s="1"/>
  <c r="Q72" i="2" s="1"/>
  <c r="I72" i="2"/>
  <c r="J72" i="2" s="1"/>
  <c r="K72" i="2" s="1"/>
  <c r="C72" i="2"/>
  <c r="B72" i="2"/>
  <c r="A72" i="2"/>
  <c r="AV71" i="2"/>
  <c r="AU71" i="2"/>
  <c r="AT71" i="2"/>
  <c r="U71" i="2"/>
  <c r="V71" i="2" s="1"/>
  <c r="W71" i="2" s="1"/>
  <c r="X71" i="2" s="1"/>
  <c r="Y71" i="2" s="1"/>
  <c r="F72" i="5" s="1"/>
  <c r="O71" i="2"/>
  <c r="P71" i="2" s="1"/>
  <c r="Q71" i="2" s="1"/>
  <c r="I71" i="2"/>
  <c r="J71" i="2" s="1"/>
  <c r="K71" i="2" s="1"/>
  <c r="C71" i="2"/>
  <c r="B71" i="2"/>
  <c r="A71" i="2"/>
  <c r="AV70" i="2"/>
  <c r="AU70" i="2"/>
  <c r="AT70" i="2"/>
  <c r="Y70" i="2"/>
  <c r="F71" i="5" s="1"/>
  <c r="X70" i="2"/>
  <c r="U70" i="2"/>
  <c r="V70" i="2" s="1"/>
  <c r="W70" i="2" s="1"/>
  <c r="O70" i="2"/>
  <c r="P70" i="2" s="1"/>
  <c r="Q70" i="2" s="1"/>
  <c r="I70" i="2"/>
  <c r="J70" i="2" s="1"/>
  <c r="K70" i="2" s="1"/>
  <c r="C70" i="2"/>
  <c r="B70" i="2"/>
  <c r="A70" i="2"/>
  <c r="AV69" i="2"/>
  <c r="AU69" i="2"/>
  <c r="AT69" i="2"/>
  <c r="X69" i="2"/>
  <c r="Y69" i="2" s="1"/>
  <c r="F70" i="5" s="1"/>
  <c r="U69" i="2"/>
  <c r="V69" i="2" s="1"/>
  <c r="W69" i="2" s="1"/>
  <c r="O69" i="2"/>
  <c r="P69" i="2" s="1"/>
  <c r="Q69" i="2" s="1"/>
  <c r="I69" i="2"/>
  <c r="J69" i="2" s="1"/>
  <c r="K69" i="2" s="1"/>
  <c r="C69" i="2"/>
  <c r="B69" i="2"/>
  <c r="A69" i="2"/>
  <c r="AV68" i="2"/>
  <c r="AU68" i="2"/>
  <c r="AT68" i="2"/>
  <c r="X68" i="2"/>
  <c r="Y68" i="2" s="1"/>
  <c r="F69" i="5" s="1"/>
  <c r="U68" i="2"/>
  <c r="V68" i="2" s="1"/>
  <c r="W68" i="2" s="1"/>
  <c r="O68" i="2"/>
  <c r="P68" i="2" s="1"/>
  <c r="Q68" i="2" s="1"/>
  <c r="I68" i="2"/>
  <c r="J68" i="2" s="1"/>
  <c r="K68" i="2" s="1"/>
  <c r="C68" i="2"/>
  <c r="B68" i="2"/>
  <c r="A68" i="2"/>
  <c r="AV67" i="2"/>
  <c r="AU67" i="2"/>
  <c r="AT67" i="2"/>
  <c r="U67" i="2"/>
  <c r="V67" i="2" s="1"/>
  <c r="W67" i="2" s="1"/>
  <c r="X67" i="2" s="1"/>
  <c r="Y67" i="2" s="1"/>
  <c r="O67" i="2"/>
  <c r="P67" i="2" s="1"/>
  <c r="Q67" i="2" s="1"/>
  <c r="I67" i="2"/>
  <c r="J67" i="2" s="1"/>
  <c r="K67" i="2" s="1"/>
  <c r="C67" i="2"/>
  <c r="B67" i="2"/>
  <c r="A67" i="2"/>
  <c r="AV66" i="2"/>
  <c r="AU66" i="2"/>
  <c r="AT66" i="2"/>
  <c r="U66" i="2"/>
  <c r="V66" i="2" s="1"/>
  <c r="W66" i="2" s="1"/>
  <c r="X66" i="2" s="1"/>
  <c r="Y66" i="2" s="1"/>
  <c r="P66" i="2"/>
  <c r="Q66" i="2" s="1"/>
  <c r="O66" i="2"/>
  <c r="I66" i="2"/>
  <c r="J66" i="2" s="1"/>
  <c r="K66" i="2" s="1"/>
  <c r="C66" i="2"/>
  <c r="B66" i="2"/>
  <c r="A66" i="2"/>
  <c r="AV64" i="2"/>
  <c r="AU64" i="2"/>
  <c r="AT64" i="2"/>
  <c r="C63" i="2"/>
  <c r="B63" i="2"/>
  <c r="AV62" i="2"/>
  <c r="AU62" i="2"/>
  <c r="AT62" i="2"/>
  <c r="Y62" i="2"/>
  <c r="F63" i="5" s="1"/>
  <c r="X62" i="2"/>
  <c r="U62" i="2"/>
  <c r="V62" i="2" s="1"/>
  <c r="W62" i="2" s="1"/>
  <c r="O62" i="2"/>
  <c r="P62" i="2" s="1"/>
  <c r="Q62" i="2" s="1"/>
  <c r="J62" i="2"/>
  <c r="K62" i="2" s="1"/>
  <c r="I62" i="2"/>
  <c r="AV61" i="2"/>
  <c r="AU61" i="2"/>
  <c r="AT61" i="2"/>
  <c r="Y61" i="2"/>
  <c r="F62" i="5" s="1"/>
  <c r="X61" i="2"/>
  <c r="V61" i="2"/>
  <c r="W61" i="2" s="1"/>
  <c r="U61" i="2"/>
  <c r="O61" i="2"/>
  <c r="P61" i="2" s="1"/>
  <c r="Q61" i="2" s="1"/>
  <c r="I61" i="2"/>
  <c r="J61" i="2" s="1"/>
  <c r="K61" i="2" s="1"/>
  <c r="C61" i="2"/>
  <c r="B61" i="2"/>
  <c r="A61" i="2"/>
  <c r="AV60" i="2"/>
  <c r="AU60" i="2"/>
  <c r="AT60" i="2"/>
  <c r="Y60" i="2"/>
  <c r="F61" i="5" s="1"/>
  <c r="X60" i="2"/>
  <c r="V60" i="2"/>
  <c r="W60" i="2" s="1"/>
  <c r="U60" i="2"/>
  <c r="P60" i="2"/>
  <c r="Q60" i="2" s="1"/>
  <c r="O60" i="2"/>
  <c r="I60" i="2"/>
  <c r="J60" i="2" s="1"/>
  <c r="K60" i="2" s="1"/>
  <c r="C60" i="2"/>
  <c r="B60" i="2"/>
  <c r="A60" i="2"/>
  <c r="AV59" i="2"/>
  <c r="AU59" i="2"/>
  <c r="AT59" i="2"/>
  <c r="Y59" i="2"/>
  <c r="F60" i="5" s="1"/>
  <c r="X59" i="2"/>
  <c r="U59" i="2"/>
  <c r="V59" i="2" s="1"/>
  <c r="W59" i="2" s="1"/>
  <c r="P59" i="2"/>
  <c r="Q59" i="2" s="1"/>
  <c r="O59" i="2"/>
  <c r="I59" i="2"/>
  <c r="J59" i="2" s="1"/>
  <c r="K59" i="2" s="1"/>
  <c r="C59" i="2"/>
  <c r="B59" i="2"/>
  <c r="A59" i="2"/>
  <c r="AV58" i="2"/>
  <c r="AU58" i="2"/>
  <c r="AT58" i="2"/>
  <c r="Y58" i="2"/>
  <c r="F59" i="5" s="1"/>
  <c r="X58" i="2"/>
  <c r="U58" i="2"/>
  <c r="V58" i="2" s="1"/>
  <c r="W58" i="2" s="1"/>
  <c r="P58" i="2"/>
  <c r="Q58" i="2" s="1"/>
  <c r="O58" i="2"/>
  <c r="I58" i="2"/>
  <c r="J58" i="2" s="1"/>
  <c r="K58" i="2" s="1"/>
  <c r="C58" i="2"/>
  <c r="B58" i="2"/>
  <c r="A58" i="2"/>
  <c r="AV57" i="2"/>
  <c r="AU57" i="2"/>
  <c r="AT57" i="2"/>
  <c r="Y57" i="2"/>
  <c r="X57" i="2"/>
  <c r="U57" i="2"/>
  <c r="V57" i="2" s="1"/>
  <c r="W57" i="2" s="1"/>
  <c r="P57" i="2"/>
  <c r="Q57" i="2" s="1"/>
  <c r="O57" i="2"/>
  <c r="J57" i="2"/>
  <c r="K57" i="2" s="1"/>
  <c r="I57" i="2"/>
  <c r="C57" i="2"/>
  <c r="B57" i="2"/>
  <c r="A57" i="2"/>
  <c r="AV56" i="2"/>
  <c r="AU56" i="2"/>
  <c r="AT56" i="2"/>
  <c r="Y56" i="2"/>
  <c r="X56" i="2"/>
  <c r="U56" i="2"/>
  <c r="V56" i="2" s="1"/>
  <c r="W56" i="2" s="1"/>
  <c r="P56" i="2"/>
  <c r="Q56" i="2" s="1"/>
  <c r="O56" i="2"/>
  <c r="J56" i="2"/>
  <c r="K56" i="2" s="1"/>
  <c r="I56" i="2"/>
  <c r="C56" i="2"/>
  <c r="B56" i="2"/>
  <c r="A56" i="2"/>
  <c r="AV55" i="2"/>
  <c r="AU55" i="2"/>
  <c r="AT55" i="2"/>
  <c r="Y55" i="2"/>
  <c r="F56" i="5" s="1"/>
  <c r="X55" i="2"/>
  <c r="U55" i="2"/>
  <c r="V55" i="2" s="1"/>
  <c r="W55" i="2" s="1"/>
  <c r="O55" i="2"/>
  <c r="P55" i="2" s="1"/>
  <c r="Q55" i="2" s="1"/>
  <c r="J55" i="2"/>
  <c r="K55" i="2" s="1"/>
  <c r="I55" i="2"/>
  <c r="C55" i="2"/>
  <c r="B55" i="2"/>
  <c r="A55" i="2"/>
  <c r="AV54" i="2"/>
  <c r="AU54" i="2"/>
  <c r="AT54" i="2"/>
  <c r="Y54" i="2"/>
  <c r="F55" i="5" s="1"/>
  <c r="X54" i="2"/>
  <c r="V54" i="2"/>
  <c r="W54" i="2" s="1"/>
  <c r="U54" i="2"/>
  <c r="O54" i="2"/>
  <c r="P54" i="2" s="1"/>
  <c r="Q54" i="2" s="1"/>
  <c r="I54" i="2"/>
  <c r="J54" i="2" s="1"/>
  <c r="K54" i="2" s="1"/>
  <c r="C54" i="2"/>
  <c r="B54" i="2"/>
  <c r="A54" i="2"/>
  <c r="AV53" i="2"/>
  <c r="AU53" i="2"/>
  <c r="AT53" i="2"/>
  <c r="Y53" i="2"/>
  <c r="F54" i="5" s="1"/>
  <c r="X53" i="2"/>
  <c r="V53" i="2"/>
  <c r="W53" i="2" s="1"/>
  <c r="U53" i="2"/>
  <c r="O53" i="2"/>
  <c r="P53" i="2" s="1"/>
  <c r="Q53" i="2" s="1"/>
  <c r="I53" i="2"/>
  <c r="J53" i="2" s="1"/>
  <c r="K53" i="2" s="1"/>
  <c r="C53" i="2"/>
  <c r="B53" i="2"/>
  <c r="A53" i="2"/>
  <c r="AV52" i="2"/>
  <c r="AU52" i="2"/>
  <c r="AT52" i="2"/>
  <c r="Y52" i="2"/>
  <c r="F53" i="5" s="1"/>
  <c r="X52" i="2"/>
  <c r="V52" i="2"/>
  <c r="W52" i="2" s="1"/>
  <c r="U52" i="2"/>
  <c r="P52" i="2"/>
  <c r="Q52" i="2" s="1"/>
  <c r="O52" i="2"/>
  <c r="I52" i="2"/>
  <c r="J52" i="2" s="1"/>
  <c r="K52" i="2" s="1"/>
  <c r="C52" i="2"/>
  <c r="B52" i="2"/>
  <c r="A52" i="2"/>
  <c r="AV51" i="2"/>
  <c r="AU51" i="2"/>
  <c r="AT51" i="2"/>
  <c r="Y51" i="2"/>
  <c r="F52" i="5" s="1"/>
  <c r="X51" i="2"/>
  <c r="U51" i="2"/>
  <c r="V51" i="2" s="1"/>
  <c r="W51" i="2" s="1"/>
  <c r="P51" i="2"/>
  <c r="Q51" i="2" s="1"/>
  <c r="O51" i="2"/>
  <c r="I51" i="2"/>
  <c r="J51" i="2" s="1"/>
  <c r="K51" i="2" s="1"/>
  <c r="C51" i="2"/>
  <c r="B51" i="2"/>
  <c r="A51" i="2"/>
  <c r="AV50" i="2"/>
  <c r="AU50" i="2"/>
  <c r="AT50" i="2"/>
  <c r="Y50" i="2"/>
  <c r="F51" i="5" s="1"/>
  <c r="X50" i="2"/>
  <c r="U50" i="2"/>
  <c r="V50" i="2" s="1"/>
  <c r="W50" i="2" s="1"/>
  <c r="P50" i="2"/>
  <c r="Q50" i="2" s="1"/>
  <c r="O50" i="2"/>
  <c r="I50" i="2"/>
  <c r="J50" i="2" s="1"/>
  <c r="K50" i="2" s="1"/>
  <c r="C50" i="2"/>
  <c r="B50" i="2"/>
  <c r="A50" i="2"/>
  <c r="AV49" i="2"/>
  <c r="AU49" i="2"/>
  <c r="AT49" i="2"/>
  <c r="Y49" i="2"/>
  <c r="X49" i="2"/>
  <c r="U49" i="2"/>
  <c r="V49" i="2" s="1"/>
  <c r="W49" i="2" s="1"/>
  <c r="P49" i="2"/>
  <c r="Q49" i="2" s="1"/>
  <c r="O49" i="2"/>
  <c r="J49" i="2"/>
  <c r="K49" i="2" s="1"/>
  <c r="I49" i="2"/>
  <c r="C49" i="2"/>
  <c r="B49" i="2"/>
  <c r="A49" i="2"/>
  <c r="AV48" i="2"/>
  <c r="AU48" i="2"/>
  <c r="AT48" i="2"/>
  <c r="Y48" i="2"/>
  <c r="X48" i="2"/>
  <c r="U48" i="2"/>
  <c r="V48" i="2" s="1"/>
  <c r="W48" i="2" s="1"/>
  <c r="P48" i="2"/>
  <c r="Q48" i="2" s="1"/>
  <c r="O48" i="2"/>
  <c r="J48" i="2"/>
  <c r="K48" i="2" s="1"/>
  <c r="I48" i="2"/>
  <c r="C48" i="2"/>
  <c r="B48" i="2"/>
  <c r="A48" i="2"/>
  <c r="AV47" i="2"/>
  <c r="AU47" i="2"/>
  <c r="AT47" i="2"/>
  <c r="Y47" i="2"/>
  <c r="F48" i="5" s="1"/>
  <c r="X47" i="2"/>
  <c r="U47" i="2"/>
  <c r="V47" i="2" s="1"/>
  <c r="W47" i="2" s="1"/>
  <c r="O47" i="2"/>
  <c r="P47" i="2" s="1"/>
  <c r="Q47" i="2" s="1"/>
  <c r="J47" i="2"/>
  <c r="K47" i="2" s="1"/>
  <c r="I47" i="2"/>
  <c r="C47" i="2"/>
  <c r="B47" i="2"/>
  <c r="A47" i="2"/>
  <c r="AV46" i="2"/>
  <c r="AU46" i="2"/>
  <c r="AT46" i="2"/>
  <c r="Y46" i="2"/>
  <c r="F47" i="5" s="1"/>
  <c r="X46" i="2"/>
  <c r="V46" i="2"/>
  <c r="W46" i="2" s="1"/>
  <c r="U46" i="2"/>
  <c r="O46" i="2"/>
  <c r="P46" i="2" s="1"/>
  <c r="Q46" i="2" s="1"/>
  <c r="I46" i="2"/>
  <c r="J46" i="2" s="1"/>
  <c r="K46" i="2" s="1"/>
  <c r="C46" i="2"/>
  <c r="B46" i="2"/>
  <c r="A46" i="2"/>
  <c r="AV45" i="2"/>
  <c r="AU45" i="2"/>
  <c r="AT45" i="2"/>
  <c r="Y45" i="2"/>
  <c r="F46" i="5" s="1"/>
  <c r="X45" i="2"/>
  <c r="V45" i="2"/>
  <c r="W45" i="2" s="1"/>
  <c r="U45" i="2"/>
  <c r="O45" i="2"/>
  <c r="P45" i="2" s="1"/>
  <c r="Q45" i="2" s="1"/>
  <c r="I45" i="2"/>
  <c r="J45" i="2" s="1"/>
  <c r="K45" i="2" s="1"/>
  <c r="C45" i="2"/>
  <c r="B45" i="2"/>
  <c r="A45" i="2"/>
  <c r="AV44" i="2"/>
  <c r="AU44" i="2"/>
  <c r="AT44" i="2"/>
  <c r="Y44" i="2"/>
  <c r="F45" i="5" s="1"/>
  <c r="X44" i="2"/>
  <c r="V44" i="2"/>
  <c r="W44" i="2" s="1"/>
  <c r="U44" i="2"/>
  <c r="P44" i="2"/>
  <c r="Q44" i="2" s="1"/>
  <c r="O44" i="2"/>
  <c r="I44" i="2"/>
  <c r="J44" i="2" s="1"/>
  <c r="K44" i="2" s="1"/>
  <c r="C44" i="2"/>
  <c r="B44" i="2"/>
  <c r="A44" i="2"/>
  <c r="AV43" i="2"/>
  <c r="AU43" i="2"/>
  <c r="AT43" i="2"/>
  <c r="Y43" i="2"/>
  <c r="F44" i="5" s="1"/>
  <c r="X43" i="2"/>
  <c r="U43" i="2"/>
  <c r="V43" i="2" s="1"/>
  <c r="W43" i="2" s="1"/>
  <c r="P43" i="2"/>
  <c r="Q43" i="2" s="1"/>
  <c r="O43" i="2"/>
  <c r="I43" i="2"/>
  <c r="J43" i="2" s="1"/>
  <c r="K43" i="2" s="1"/>
  <c r="C43" i="2"/>
  <c r="B43" i="2"/>
  <c r="A43" i="2"/>
  <c r="AV42" i="2"/>
  <c r="AU42" i="2"/>
  <c r="AT42" i="2"/>
  <c r="Y42" i="2"/>
  <c r="F43" i="5" s="1"/>
  <c r="X42" i="2"/>
  <c r="U42" i="2"/>
  <c r="V42" i="2" s="1"/>
  <c r="W42" i="2" s="1"/>
  <c r="P42" i="2"/>
  <c r="Q42" i="2" s="1"/>
  <c r="O42" i="2"/>
  <c r="I42" i="2"/>
  <c r="J42" i="2" s="1"/>
  <c r="K42" i="2" s="1"/>
  <c r="C42" i="2"/>
  <c r="B42" i="2"/>
  <c r="A42" i="2"/>
  <c r="AV41" i="2"/>
  <c r="AU41" i="2"/>
  <c r="AT41" i="2"/>
  <c r="Y41" i="2"/>
  <c r="X41" i="2"/>
  <c r="U41" i="2"/>
  <c r="V41" i="2" s="1"/>
  <c r="W41" i="2" s="1"/>
  <c r="P41" i="2"/>
  <c r="Q41" i="2" s="1"/>
  <c r="O41" i="2"/>
  <c r="J41" i="2"/>
  <c r="K41" i="2" s="1"/>
  <c r="I41" i="2"/>
  <c r="C41" i="2"/>
  <c r="B41" i="2"/>
  <c r="A41" i="2"/>
  <c r="AV40" i="2"/>
  <c r="AU40" i="2"/>
  <c r="AT40" i="2"/>
  <c r="Y40" i="2"/>
  <c r="X40" i="2"/>
  <c r="U40" i="2"/>
  <c r="V40" i="2" s="1"/>
  <c r="W40" i="2" s="1"/>
  <c r="O40" i="2"/>
  <c r="P40" i="2" s="1"/>
  <c r="Q40" i="2" s="1"/>
  <c r="J40" i="2"/>
  <c r="K40" i="2" s="1"/>
  <c r="I40" i="2"/>
  <c r="C40" i="2"/>
  <c r="B40" i="2"/>
  <c r="A40" i="2"/>
  <c r="AV39" i="2"/>
  <c r="AU39" i="2"/>
  <c r="AT39" i="2"/>
  <c r="Y39" i="2"/>
  <c r="F40" i="5" s="1"/>
  <c r="X39" i="2"/>
  <c r="U39" i="2"/>
  <c r="V39" i="2" s="1"/>
  <c r="W39" i="2" s="1"/>
  <c r="O39" i="2"/>
  <c r="P39" i="2" s="1"/>
  <c r="Q39" i="2" s="1"/>
  <c r="J39" i="2"/>
  <c r="K39" i="2" s="1"/>
  <c r="I39" i="2"/>
  <c r="C39" i="2"/>
  <c r="B39" i="2"/>
  <c r="A39" i="2"/>
  <c r="AV38" i="2"/>
  <c r="AU38" i="2"/>
  <c r="AT38" i="2"/>
  <c r="Y38" i="2"/>
  <c r="Z38" i="2" s="1"/>
  <c r="X38" i="2"/>
  <c r="V38" i="2"/>
  <c r="W38" i="2" s="1"/>
  <c r="U38" i="2"/>
  <c r="O38" i="2"/>
  <c r="P38" i="2" s="1"/>
  <c r="Q38" i="2" s="1"/>
  <c r="I38" i="2"/>
  <c r="J38" i="2" s="1"/>
  <c r="K38" i="2" s="1"/>
  <c r="C38" i="2"/>
  <c r="B38" i="2"/>
  <c r="A38" i="2"/>
  <c r="AV37" i="2"/>
  <c r="AU37" i="2"/>
  <c r="AT37" i="2"/>
  <c r="Y37" i="2"/>
  <c r="F38" i="5" s="1"/>
  <c r="X37" i="2"/>
  <c r="V37" i="2"/>
  <c r="W37" i="2" s="1"/>
  <c r="U37" i="2"/>
  <c r="O37" i="2"/>
  <c r="P37" i="2" s="1"/>
  <c r="Q37" i="2" s="1"/>
  <c r="I37" i="2"/>
  <c r="J37" i="2" s="1"/>
  <c r="K37" i="2" s="1"/>
  <c r="C37" i="2"/>
  <c r="B37" i="2"/>
  <c r="A37" i="2"/>
  <c r="AV36" i="2"/>
  <c r="AU36" i="2"/>
  <c r="AT36" i="2"/>
  <c r="Y36" i="2"/>
  <c r="F37" i="5" s="1"/>
  <c r="X36" i="2"/>
  <c r="V36" i="2"/>
  <c r="W36" i="2" s="1"/>
  <c r="U36" i="2"/>
  <c r="P36" i="2"/>
  <c r="Q36" i="2" s="1"/>
  <c r="O36" i="2"/>
  <c r="I36" i="2"/>
  <c r="J36" i="2" s="1"/>
  <c r="K36" i="2" s="1"/>
  <c r="C36" i="2"/>
  <c r="B36" i="2"/>
  <c r="A36" i="2"/>
  <c r="AV35" i="2"/>
  <c r="AU35" i="2"/>
  <c r="AT35" i="2"/>
  <c r="Y35" i="2"/>
  <c r="F36" i="5" s="1"/>
  <c r="X35" i="2"/>
  <c r="U35" i="2"/>
  <c r="V35" i="2" s="1"/>
  <c r="W35" i="2" s="1"/>
  <c r="P35" i="2"/>
  <c r="Q35" i="2" s="1"/>
  <c r="O35" i="2"/>
  <c r="I35" i="2"/>
  <c r="J35" i="2" s="1"/>
  <c r="K35" i="2" s="1"/>
  <c r="C35" i="2"/>
  <c r="B35" i="2"/>
  <c r="A35" i="2"/>
  <c r="AV34" i="2"/>
  <c r="AU34" i="2"/>
  <c r="AT34" i="2"/>
  <c r="Y34" i="2"/>
  <c r="F35" i="5" s="1"/>
  <c r="X34" i="2"/>
  <c r="U34" i="2"/>
  <c r="V34" i="2" s="1"/>
  <c r="W34" i="2" s="1"/>
  <c r="P34" i="2"/>
  <c r="Q34" i="2" s="1"/>
  <c r="O34" i="2"/>
  <c r="I34" i="2"/>
  <c r="J34" i="2" s="1"/>
  <c r="K34" i="2" s="1"/>
  <c r="C34" i="2"/>
  <c r="B34" i="2"/>
  <c r="A34" i="2"/>
  <c r="AV33" i="2"/>
  <c r="AU33" i="2"/>
  <c r="AT33" i="2"/>
  <c r="AE33" i="2"/>
  <c r="AD33" i="2"/>
  <c r="AC33" i="2"/>
  <c r="Y33" i="2"/>
  <c r="F34" i="5" s="1"/>
  <c r="X33" i="2"/>
  <c r="V33" i="2"/>
  <c r="W33" i="2" s="1"/>
  <c r="U33" i="2"/>
  <c r="P33" i="2"/>
  <c r="Q33" i="2" s="1"/>
  <c r="O33" i="2"/>
  <c r="I33" i="2"/>
  <c r="J33" i="2" s="1"/>
  <c r="K33" i="2" s="1"/>
  <c r="C33" i="2"/>
  <c r="B33" i="2"/>
  <c r="A33" i="2"/>
  <c r="AV32" i="2"/>
  <c r="AU32" i="2"/>
  <c r="AT32" i="2"/>
  <c r="AE32" i="2"/>
  <c r="AD32" i="2"/>
  <c r="AC32" i="2"/>
  <c r="U32" i="2"/>
  <c r="V32" i="2" s="1"/>
  <c r="W32" i="2" s="1"/>
  <c r="X32" i="2" s="1"/>
  <c r="Y32" i="2" s="1"/>
  <c r="F33" i="5" s="1"/>
  <c r="O32" i="2"/>
  <c r="P32" i="2" s="1"/>
  <c r="Q32" i="2" s="1"/>
  <c r="I32" i="2"/>
  <c r="J32" i="2" s="1"/>
  <c r="K32" i="2" s="1"/>
  <c r="C32" i="2"/>
  <c r="B32" i="2"/>
  <c r="A32" i="2"/>
  <c r="AV31" i="2"/>
  <c r="AU31" i="2"/>
  <c r="AT31" i="2"/>
  <c r="AE31" i="2"/>
  <c r="AD31" i="2"/>
  <c r="AC31" i="2"/>
  <c r="U31" i="2"/>
  <c r="V31" i="2" s="1"/>
  <c r="W31" i="2" s="1"/>
  <c r="X31" i="2" s="1"/>
  <c r="Y31" i="2" s="1"/>
  <c r="F32" i="5" s="1"/>
  <c r="O31" i="2"/>
  <c r="P31" i="2" s="1"/>
  <c r="Q31" i="2" s="1"/>
  <c r="I31" i="2"/>
  <c r="J31" i="2" s="1"/>
  <c r="K31" i="2" s="1"/>
  <c r="C31" i="2"/>
  <c r="B31" i="2"/>
  <c r="A31" i="2"/>
  <c r="AV30" i="2"/>
  <c r="AU30" i="2"/>
  <c r="AT30" i="2"/>
  <c r="U30" i="2"/>
  <c r="V30" i="2" s="1"/>
  <c r="W30" i="2" s="1"/>
  <c r="X30" i="2" s="1"/>
  <c r="Y30" i="2" s="1"/>
  <c r="F31" i="5" s="1"/>
  <c r="O30" i="2"/>
  <c r="P30" i="2" s="1"/>
  <c r="Q30" i="2" s="1"/>
  <c r="I30" i="2"/>
  <c r="J30" i="2" s="1"/>
  <c r="K30" i="2" s="1"/>
  <c r="C30" i="2"/>
  <c r="B30" i="2"/>
  <c r="A30" i="2"/>
  <c r="AV29" i="2"/>
  <c r="AU29" i="2"/>
  <c r="AT29" i="2"/>
  <c r="U29" i="2"/>
  <c r="V29" i="2" s="1"/>
  <c r="W29" i="2" s="1"/>
  <c r="X29" i="2" s="1"/>
  <c r="Y29" i="2" s="1"/>
  <c r="F30" i="5" s="1"/>
  <c r="O29" i="2"/>
  <c r="P29" i="2" s="1"/>
  <c r="Q29" i="2" s="1"/>
  <c r="I29" i="2"/>
  <c r="J29" i="2" s="1"/>
  <c r="K29" i="2" s="1"/>
  <c r="C29" i="2"/>
  <c r="B29" i="2"/>
  <c r="A29" i="2"/>
  <c r="AV28" i="2"/>
  <c r="AU28" i="2"/>
  <c r="AT28" i="2"/>
  <c r="U28" i="2"/>
  <c r="V28" i="2" s="1"/>
  <c r="W28" i="2" s="1"/>
  <c r="X28" i="2" s="1"/>
  <c r="Y28" i="2" s="1"/>
  <c r="F29" i="5" s="1"/>
  <c r="O28" i="2"/>
  <c r="P28" i="2" s="1"/>
  <c r="Q28" i="2" s="1"/>
  <c r="I28" i="2"/>
  <c r="J28" i="2" s="1"/>
  <c r="K28" i="2" s="1"/>
  <c r="C28" i="2"/>
  <c r="B28" i="2"/>
  <c r="A28" i="2"/>
  <c r="AV27" i="2"/>
  <c r="AU27" i="2"/>
  <c r="AT27" i="2"/>
  <c r="AE27" i="2"/>
  <c r="AD27" i="2"/>
  <c r="AC27" i="2"/>
  <c r="U27" i="2"/>
  <c r="V27" i="2" s="1"/>
  <c r="W27" i="2" s="1"/>
  <c r="X27" i="2" s="1"/>
  <c r="Y27" i="2" s="1"/>
  <c r="F28" i="5" s="1"/>
  <c r="O27" i="2"/>
  <c r="P27" i="2" s="1"/>
  <c r="Q27" i="2" s="1"/>
  <c r="I27" i="2"/>
  <c r="J27" i="2" s="1"/>
  <c r="K27" i="2" s="1"/>
  <c r="C27" i="2"/>
  <c r="B27" i="2"/>
  <c r="A27" i="2"/>
  <c r="AV26" i="2"/>
  <c r="AU26" i="2"/>
  <c r="AT26" i="2"/>
  <c r="AE26" i="2"/>
  <c r="AD26" i="2"/>
  <c r="AC26" i="2"/>
  <c r="X26" i="2"/>
  <c r="Y26" i="2" s="1"/>
  <c r="U26" i="2"/>
  <c r="V26" i="2" s="1"/>
  <c r="W26" i="2" s="1"/>
  <c r="O26" i="2"/>
  <c r="P26" i="2" s="1"/>
  <c r="Q26" i="2" s="1"/>
  <c r="I26" i="2"/>
  <c r="J26" i="2" s="1"/>
  <c r="K26" i="2" s="1"/>
  <c r="C26" i="2"/>
  <c r="B26" i="2"/>
  <c r="A26" i="2"/>
  <c r="AV25" i="2"/>
  <c r="AU25" i="2"/>
  <c r="AT25" i="2"/>
  <c r="AE25" i="2"/>
  <c r="AE28" i="2" s="1"/>
  <c r="AD25" i="2"/>
  <c r="AC25" i="2"/>
  <c r="AC28" i="2" s="1"/>
  <c r="U25" i="2"/>
  <c r="V25" i="2" s="1"/>
  <c r="W25" i="2" s="1"/>
  <c r="X25" i="2" s="1"/>
  <c r="Y25" i="2" s="1"/>
  <c r="F26" i="5" s="1"/>
  <c r="O25" i="2"/>
  <c r="P25" i="2" s="1"/>
  <c r="Q25" i="2" s="1"/>
  <c r="I25" i="2"/>
  <c r="J25" i="2" s="1"/>
  <c r="K25" i="2" s="1"/>
  <c r="C25" i="2"/>
  <c r="B25" i="2"/>
  <c r="A25" i="2"/>
  <c r="AV24" i="2"/>
  <c r="AU24" i="2"/>
  <c r="AT24" i="2"/>
  <c r="X24" i="2"/>
  <c r="Y24" i="2" s="1"/>
  <c r="F25" i="5" s="1"/>
  <c r="U24" i="2"/>
  <c r="V24" i="2" s="1"/>
  <c r="W24" i="2" s="1"/>
  <c r="O24" i="2"/>
  <c r="P24" i="2" s="1"/>
  <c r="Q24" i="2" s="1"/>
  <c r="I24" i="2"/>
  <c r="J24" i="2" s="1"/>
  <c r="K24" i="2" s="1"/>
  <c r="C24" i="2"/>
  <c r="B24" i="2"/>
  <c r="A24" i="2"/>
  <c r="AV23" i="2"/>
  <c r="AU23" i="2"/>
  <c r="AT23" i="2"/>
  <c r="U23" i="2"/>
  <c r="V23" i="2" s="1"/>
  <c r="W23" i="2" s="1"/>
  <c r="X23" i="2" s="1"/>
  <c r="Y23" i="2" s="1"/>
  <c r="O23" i="2"/>
  <c r="P23" i="2" s="1"/>
  <c r="Q23" i="2" s="1"/>
  <c r="I23" i="2"/>
  <c r="J23" i="2" s="1"/>
  <c r="K23" i="2" s="1"/>
  <c r="C23" i="2"/>
  <c r="B23" i="2"/>
  <c r="A23" i="2"/>
  <c r="AV22" i="2"/>
  <c r="AU22" i="2"/>
  <c r="AT22" i="2"/>
  <c r="U22" i="2"/>
  <c r="V22" i="2" s="1"/>
  <c r="W22" i="2" s="1"/>
  <c r="X22" i="2" s="1"/>
  <c r="Y22" i="2" s="1"/>
  <c r="F23" i="5" s="1"/>
  <c r="O22" i="2"/>
  <c r="P22" i="2" s="1"/>
  <c r="Q22" i="2" s="1"/>
  <c r="I22" i="2"/>
  <c r="J22" i="2" s="1"/>
  <c r="K22" i="2" s="1"/>
  <c r="C22" i="2"/>
  <c r="B22" i="2"/>
  <c r="A22" i="2"/>
  <c r="AV21" i="2"/>
  <c r="AU21" i="2"/>
  <c r="AT21" i="2"/>
  <c r="U21" i="2"/>
  <c r="V21" i="2" s="1"/>
  <c r="W21" i="2" s="1"/>
  <c r="X21" i="2" s="1"/>
  <c r="Y21" i="2" s="1"/>
  <c r="F22" i="5" s="1"/>
  <c r="O21" i="2"/>
  <c r="P21" i="2" s="1"/>
  <c r="Q21" i="2" s="1"/>
  <c r="I21" i="2"/>
  <c r="J21" i="2" s="1"/>
  <c r="K21" i="2" s="1"/>
  <c r="C21" i="2"/>
  <c r="B21" i="2"/>
  <c r="A21" i="2"/>
  <c r="AV20" i="2"/>
  <c r="AU20" i="2"/>
  <c r="AT20" i="2"/>
  <c r="U20" i="2"/>
  <c r="V20" i="2" s="1"/>
  <c r="W20" i="2" s="1"/>
  <c r="X20" i="2" s="1"/>
  <c r="Y20" i="2" s="1"/>
  <c r="F21" i="5" s="1"/>
  <c r="O20" i="2"/>
  <c r="P20" i="2" s="1"/>
  <c r="Q20" i="2" s="1"/>
  <c r="I20" i="2"/>
  <c r="J20" i="2" s="1"/>
  <c r="K20" i="2" s="1"/>
  <c r="C20" i="2"/>
  <c r="B20" i="2"/>
  <c r="A20" i="2"/>
  <c r="AV19" i="2"/>
  <c r="AU19" i="2"/>
  <c r="AT19" i="2"/>
  <c r="X19" i="2"/>
  <c r="Y19" i="2" s="1"/>
  <c r="F20" i="5" s="1"/>
  <c r="U19" i="2"/>
  <c r="V19" i="2" s="1"/>
  <c r="W19" i="2" s="1"/>
  <c r="O19" i="2"/>
  <c r="P19" i="2" s="1"/>
  <c r="Q19" i="2" s="1"/>
  <c r="I19" i="2"/>
  <c r="J19" i="2" s="1"/>
  <c r="K19" i="2" s="1"/>
  <c r="C19" i="2"/>
  <c r="B19" i="2"/>
  <c r="A19" i="2"/>
  <c r="AV18" i="2"/>
  <c r="AU18" i="2"/>
  <c r="AT18" i="2"/>
  <c r="X18" i="2"/>
  <c r="Y18" i="2" s="1"/>
  <c r="F19" i="5" s="1"/>
  <c r="U18" i="2"/>
  <c r="V18" i="2" s="1"/>
  <c r="W18" i="2" s="1"/>
  <c r="O18" i="2"/>
  <c r="P18" i="2" s="1"/>
  <c r="Q18" i="2" s="1"/>
  <c r="I18" i="2"/>
  <c r="J18" i="2" s="1"/>
  <c r="K18" i="2" s="1"/>
  <c r="C18" i="2"/>
  <c r="B18" i="2"/>
  <c r="A18" i="2"/>
  <c r="AV17" i="2"/>
  <c r="AU17" i="2"/>
  <c r="AT17" i="2"/>
  <c r="U17" i="2"/>
  <c r="V17" i="2" s="1"/>
  <c r="W17" i="2" s="1"/>
  <c r="X17" i="2" s="1"/>
  <c r="Y17" i="2" s="1"/>
  <c r="F18" i="5" s="1"/>
  <c r="O17" i="2"/>
  <c r="P17" i="2" s="1"/>
  <c r="Q17" i="2" s="1"/>
  <c r="I17" i="2"/>
  <c r="J17" i="2" s="1"/>
  <c r="K17" i="2" s="1"/>
  <c r="C17" i="2"/>
  <c r="B17" i="2"/>
  <c r="A17" i="2"/>
  <c r="AV16" i="2"/>
  <c r="AU16" i="2"/>
  <c r="AT16" i="2"/>
  <c r="AE16" i="2"/>
  <c r="AD16" i="2"/>
  <c r="AC16" i="2"/>
  <c r="U16" i="2"/>
  <c r="V16" i="2" s="1"/>
  <c r="W16" i="2" s="1"/>
  <c r="X16" i="2" s="1"/>
  <c r="Y16" i="2" s="1"/>
  <c r="F17" i="5" s="1"/>
  <c r="O16" i="2"/>
  <c r="P16" i="2" s="1"/>
  <c r="Q16" i="2" s="1"/>
  <c r="I16" i="2"/>
  <c r="J16" i="2" s="1"/>
  <c r="K16" i="2" s="1"/>
  <c r="C16" i="2"/>
  <c r="B16" i="2"/>
  <c r="A16" i="2"/>
  <c r="AV15" i="2"/>
  <c r="AU15" i="2"/>
  <c r="AT15" i="2"/>
  <c r="AE15" i="2"/>
  <c r="AD15" i="2"/>
  <c r="AC15" i="2"/>
  <c r="U15" i="2"/>
  <c r="V15" i="2" s="1"/>
  <c r="W15" i="2" s="1"/>
  <c r="X15" i="2" s="1"/>
  <c r="Y15" i="2" s="1"/>
  <c r="O15" i="2"/>
  <c r="P15" i="2" s="1"/>
  <c r="Q15" i="2" s="1"/>
  <c r="I15" i="2"/>
  <c r="J15" i="2" s="1"/>
  <c r="K15" i="2" s="1"/>
  <c r="C15" i="2"/>
  <c r="B15" i="2"/>
  <c r="A15" i="2"/>
  <c r="AV14" i="2"/>
  <c r="AU14" i="2"/>
  <c r="AT14" i="2"/>
  <c r="U14" i="2"/>
  <c r="V14" i="2" s="1"/>
  <c r="W14" i="2" s="1"/>
  <c r="X14" i="2" s="1"/>
  <c r="Y14" i="2" s="1"/>
  <c r="F15" i="5" s="1"/>
  <c r="O14" i="2"/>
  <c r="P14" i="2" s="1"/>
  <c r="Q14" i="2" s="1"/>
  <c r="I14" i="2"/>
  <c r="J14" i="2" s="1"/>
  <c r="K14" i="2" s="1"/>
  <c r="C14" i="2"/>
  <c r="B14" i="2"/>
  <c r="A14" i="2"/>
  <c r="AV13" i="2"/>
  <c r="AU13" i="2"/>
  <c r="AT13" i="2"/>
  <c r="U13" i="2"/>
  <c r="V13" i="2" s="1"/>
  <c r="W13" i="2" s="1"/>
  <c r="X13" i="2" s="1"/>
  <c r="Y13" i="2" s="1"/>
  <c r="F14" i="5" s="1"/>
  <c r="O13" i="2"/>
  <c r="P13" i="2" s="1"/>
  <c r="Q13" i="2" s="1"/>
  <c r="I13" i="2"/>
  <c r="J13" i="2" s="1"/>
  <c r="K13" i="2" s="1"/>
  <c r="C13" i="2"/>
  <c r="B13" i="2"/>
  <c r="A13" i="2"/>
  <c r="W10" i="2"/>
  <c r="U10" i="2"/>
  <c r="Q10" i="2"/>
  <c r="O10" i="2"/>
  <c r="K10" i="2"/>
  <c r="I10" i="2"/>
  <c r="R8" i="2"/>
  <c r="L8" i="2"/>
  <c r="D8" i="2"/>
  <c r="U7" i="2"/>
  <c r="O7" i="2"/>
  <c r="I7" i="2"/>
  <c r="W5" i="2"/>
  <c r="P5" i="2"/>
  <c r="D5" i="2"/>
  <c r="I4" i="2"/>
  <c r="D4" i="2"/>
  <c r="AT111" i="1"/>
  <c r="AT110" i="1"/>
  <c r="AT109" i="1"/>
  <c r="AT108" i="1"/>
  <c r="AT107" i="1"/>
  <c r="AT106" i="1"/>
  <c r="AT105" i="1"/>
  <c r="AT104" i="1"/>
  <c r="AT103" i="1"/>
  <c r="AT102" i="1"/>
  <c r="AT101" i="1"/>
  <c r="AT100" i="1"/>
  <c r="AT99" i="1"/>
  <c r="AT98" i="1"/>
  <c r="AT97" i="1"/>
  <c r="AT96" i="1"/>
  <c r="AT95" i="1"/>
  <c r="AT94" i="1"/>
  <c r="AT93" i="1"/>
  <c r="AT92" i="1"/>
  <c r="AT91" i="1"/>
  <c r="AT90" i="1"/>
  <c r="AT89" i="1"/>
  <c r="AT88" i="1"/>
  <c r="AT87" i="1"/>
  <c r="AT86" i="1"/>
  <c r="AT85" i="1"/>
  <c r="AT84" i="1"/>
  <c r="AT83" i="1"/>
  <c r="AT82" i="1"/>
  <c r="AT81" i="1"/>
  <c r="AT80" i="1"/>
  <c r="AT79" i="1"/>
  <c r="AT78" i="1"/>
  <c r="AT77" i="1"/>
  <c r="AT76" i="1"/>
  <c r="AT75" i="1"/>
  <c r="AT74" i="1"/>
  <c r="AT73" i="1"/>
  <c r="AT51" i="1"/>
  <c r="AT50" i="1"/>
  <c r="AT49" i="1"/>
  <c r="AT48" i="1"/>
  <c r="AT47" i="1"/>
  <c r="AT46" i="1"/>
  <c r="AT45" i="1"/>
  <c r="AT44" i="1"/>
  <c r="AT43" i="1"/>
  <c r="AT42" i="1"/>
  <c r="AT41" i="1"/>
  <c r="AT40" i="1"/>
  <c r="AT39" i="1"/>
  <c r="AT38" i="1"/>
  <c r="AT37" i="1"/>
  <c r="AT36" i="1"/>
  <c r="AT35" i="1"/>
  <c r="AT34" i="1"/>
  <c r="AT33" i="1"/>
  <c r="AT32" i="1"/>
  <c r="AT31" i="1"/>
  <c r="AT30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14" i="1"/>
  <c r="AT13" i="1"/>
  <c r="AT12" i="1"/>
  <c r="U15" i="9"/>
  <c r="E4" i="9"/>
  <c r="E3" i="9"/>
  <c r="E2" i="9"/>
  <c r="AE19" i="2" l="1"/>
  <c r="AE20" i="2" s="1"/>
  <c r="AE22" i="2" s="1"/>
  <c r="AD28" i="2"/>
  <c r="AC19" i="2"/>
  <c r="AC20" i="2" s="1"/>
  <c r="AC22" i="2" s="1"/>
  <c r="Z109" i="2"/>
  <c r="Z36" i="2"/>
  <c r="Z52" i="2"/>
  <c r="Z47" i="2"/>
  <c r="Z101" i="2"/>
  <c r="Z62" i="2"/>
  <c r="Z50" i="2"/>
  <c r="Z60" i="2"/>
  <c r="Z93" i="2"/>
  <c r="Z43" i="2"/>
  <c r="Z92" i="2"/>
  <c r="Z108" i="2"/>
  <c r="Z86" i="2"/>
  <c r="Z17" i="2"/>
  <c r="Z22" i="2"/>
  <c r="Z33" i="2"/>
  <c r="Z34" i="2"/>
  <c r="Z51" i="2"/>
  <c r="Z84" i="2"/>
  <c r="Z78" i="2"/>
  <c r="Z102" i="2"/>
  <c r="Z44" i="2"/>
  <c r="Z77" i="2"/>
  <c r="F39" i="5"/>
  <c r="Z21" i="2"/>
  <c r="Z29" i="2"/>
  <c r="Z100" i="2"/>
  <c r="Z76" i="2"/>
  <c r="Z94" i="2"/>
  <c r="Z42" i="2"/>
  <c r="Z70" i="2"/>
  <c r="Z59" i="2"/>
  <c r="Z69" i="2"/>
  <c r="Z110" i="2"/>
  <c r="Z114" i="2"/>
  <c r="Z24" i="2"/>
  <c r="Z35" i="2"/>
  <c r="Z58" i="2"/>
  <c r="Z68" i="2"/>
  <c r="Z85" i="2"/>
  <c r="F76" i="5"/>
  <c r="Z75" i="2"/>
  <c r="F108" i="5"/>
  <c r="Z107" i="2"/>
  <c r="J27" i="5"/>
  <c r="Z26" i="3"/>
  <c r="F75" i="5"/>
  <c r="Z74" i="2"/>
  <c r="F107" i="5"/>
  <c r="Z106" i="2"/>
  <c r="F68" i="5"/>
  <c r="Z67" i="2"/>
  <c r="F100" i="5"/>
  <c r="Z99" i="2"/>
  <c r="AC20" i="3"/>
  <c r="AC22" i="3" s="1"/>
  <c r="AC21" i="3"/>
  <c r="F58" i="5"/>
  <c r="Z57" i="2"/>
  <c r="F67" i="5"/>
  <c r="Z66" i="2"/>
  <c r="F99" i="5"/>
  <c r="Z98" i="2"/>
  <c r="F16" i="5"/>
  <c r="Z15" i="2"/>
  <c r="R38" i="5"/>
  <c r="V38" i="5" s="1"/>
  <c r="F50" i="5"/>
  <c r="Z49" i="2"/>
  <c r="F27" i="5"/>
  <c r="Z26" i="2"/>
  <c r="F49" i="5"/>
  <c r="Z48" i="2"/>
  <c r="J15" i="5"/>
  <c r="Z14" i="3"/>
  <c r="F24" i="5"/>
  <c r="Z23" i="2"/>
  <c r="F92" i="5"/>
  <c r="Z91" i="2"/>
  <c r="AD21" i="3"/>
  <c r="F42" i="5"/>
  <c r="Z41" i="2"/>
  <c r="F91" i="5"/>
  <c r="Z90" i="2"/>
  <c r="J92" i="5"/>
  <c r="Z91" i="3"/>
  <c r="F41" i="5"/>
  <c r="Z40" i="2"/>
  <c r="F57" i="5"/>
  <c r="Z56" i="2"/>
  <c r="AD19" i="2"/>
  <c r="F84" i="5"/>
  <c r="Z83" i="2"/>
  <c r="R22" i="5"/>
  <c r="V22" i="5" s="1"/>
  <c r="F83" i="5"/>
  <c r="Z82" i="2"/>
  <c r="AE19" i="3"/>
  <c r="AE20" i="3" s="1"/>
  <c r="AE22" i="3" s="1"/>
  <c r="R88" i="5"/>
  <c r="V88" i="5" s="1"/>
  <c r="R96" i="5"/>
  <c r="V96" i="5" s="1"/>
  <c r="R112" i="5"/>
  <c r="V112" i="5" s="1"/>
  <c r="Z25" i="2"/>
  <c r="R40" i="5"/>
  <c r="V40" i="5" s="1"/>
  <c r="R48" i="5"/>
  <c r="V48" i="5" s="1"/>
  <c r="R56" i="5"/>
  <c r="V56" i="5" s="1"/>
  <c r="R82" i="5"/>
  <c r="V82" i="5" s="1"/>
  <c r="R114" i="5"/>
  <c r="V114" i="5" s="1"/>
  <c r="Y13" i="3"/>
  <c r="J58" i="5"/>
  <c r="Z57" i="3"/>
  <c r="J101" i="5"/>
  <c r="R101" i="5" s="1"/>
  <c r="Z100" i="3"/>
  <c r="Z93" i="4"/>
  <c r="N94" i="5"/>
  <c r="R21" i="5"/>
  <c r="V21" i="5" s="1"/>
  <c r="R33" i="5"/>
  <c r="V33" i="5" s="1"/>
  <c r="R80" i="5"/>
  <c r="V80" i="5" s="1"/>
  <c r="R104" i="5"/>
  <c r="V104" i="5" s="1"/>
  <c r="R34" i="5"/>
  <c r="V34" i="5" s="1"/>
  <c r="Z39" i="2"/>
  <c r="Z55" i="2"/>
  <c r="Z73" i="2"/>
  <c r="Z81" i="2"/>
  <c r="Z89" i="2"/>
  <c r="Z97" i="2"/>
  <c r="Z105" i="2"/>
  <c r="Z113" i="2"/>
  <c r="Z19" i="3"/>
  <c r="J97" i="5"/>
  <c r="Z96" i="3"/>
  <c r="R18" i="5"/>
  <c r="V18" i="5" s="1"/>
  <c r="R30" i="5"/>
  <c r="V30" i="5" s="1"/>
  <c r="J33" i="5"/>
  <c r="Z32" i="3"/>
  <c r="J94" i="5"/>
  <c r="Z93" i="3"/>
  <c r="J95" i="5"/>
  <c r="Z94" i="3"/>
  <c r="R39" i="5"/>
  <c r="V39" i="5" s="1"/>
  <c r="R19" i="5"/>
  <c r="V19" i="5" s="1"/>
  <c r="R31" i="5"/>
  <c r="V31" i="5" s="1"/>
  <c r="Z15" i="3"/>
  <c r="J21" i="5"/>
  <c r="Z20" i="3"/>
  <c r="J89" i="5"/>
  <c r="R89" i="5" s="1"/>
  <c r="Z88" i="3"/>
  <c r="N26" i="5"/>
  <c r="Z25" i="4"/>
  <c r="Z13" i="2"/>
  <c r="Z18" i="2"/>
  <c r="R23" i="5"/>
  <c r="V23" i="5" s="1"/>
  <c r="Z30" i="2"/>
  <c r="R77" i="5"/>
  <c r="V77" i="5" s="1"/>
  <c r="R85" i="5"/>
  <c r="V85" i="5" s="1"/>
  <c r="N25" i="5"/>
  <c r="Z24" i="4"/>
  <c r="J93" i="5"/>
  <c r="R93" i="5" s="1"/>
  <c r="V93" i="5" s="1"/>
  <c r="Z92" i="3"/>
  <c r="R15" i="5"/>
  <c r="V15" i="5" s="1"/>
  <c r="R20" i="5"/>
  <c r="V20" i="5" s="1"/>
  <c r="R32" i="5"/>
  <c r="V32" i="5" s="1"/>
  <c r="J86" i="5"/>
  <c r="Z85" i="3"/>
  <c r="J87" i="5"/>
  <c r="Z86" i="3"/>
  <c r="N28" i="5"/>
  <c r="Z27" i="4"/>
  <c r="Z14" i="2"/>
  <c r="Z19" i="2"/>
  <c r="Z31" i="2"/>
  <c r="R36" i="5"/>
  <c r="V36" i="5" s="1"/>
  <c r="R44" i="5"/>
  <c r="V44" i="5" s="1"/>
  <c r="R52" i="5"/>
  <c r="V52" i="5" s="1"/>
  <c r="R60" i="5"/>
  <c r="V60" i="5" s="1"/>
  <c r="R94" i="5"/>
  <c r="V94" i="5" s="1"/>
  <c r="AE21" i="3"/>
  <c r="Z21" i="3"/>
  <c r="Z33" i="3"/>
  <c r="J85" i="5"/>
  <c r="Z84" i="3"/>
  <c r="AC21" i="4"/>
  <c r="R28" i="5"/>
  <c r="V28" i="5" s="1"/>
  <c r="J81" i="5"/>
  <c r="Z80" i="3"/>
  <c r="Z27" i="2"/>
  <c r="R37" i="5"/>
  <c r="V37" i="5" s="1"/>
  <c r="R45" i="5"/>
  <c r="V45" i="5" s="1"/>
  <c r="R53" i="5"/>
  <c r="V53" i="5" s="1"/>
  <c r="R61" i="5"/>
  <c r="V61" i="5" s="1"/>
  <c r="R87" i="5"/>
  <c r="V87" i="5" s="1"/>
  <c r="R95" i="5"/>
  <c r="V95" i="5" s="1"/>
  <c r="R111" i="5"/>
  <c r="V111" i="5" s="1"/>
  <c r="Z16" i="3"/>
  <c r="Z22" i="3"/>
  <c r="J35" i="5"/>
  <c r="Z34" i="3"/>
  <c r="R63" i="5"/>
  <c r="V63" i="5" s="1"/>
  <c r="J38" i="5"/>
  <c r="Z37" i="3"/>
  <c r="J78" i="5"/>
  <c r="Z77" i="3"/>
  <c r="J79" i="5"/>
  <c r="R79" i="5" s="1"/>
  <c r="V79" i="5" s="1"/>
  <c r="Z78" i="3"/>
  <c r="J110" i="5"/>
  <c r="R110" i="5" s="1"/>
  <c r="Z109" i="3"/>
  <c r="J111" i="5"/>
  <c r="Z110" i="3"/>
  <c r="AD19" i="4"/>
  <c r="AD20" i="4" s="1"/>
  <c r="AD22" i="4" s="1"/>
  <c r="J43" i="5"/>
  <c r="Z42" i="3"/>
  <c r="J73" i="5"/>
  <c r="Z72" i="3"/>
  <c r="J77" i="5"/>
  <c r="Z76" i="3"/>
  <c r="J109" i="5"/>
  <c r="R109" i="5" s="1"/>
  <c r="V109" i="5" s="1"/>
  <c r="Z108" i="3"/>
  <c r="Z20" i="2"/>
  <c r="R25" i="5"/>
  <c r="V25" i="5" s="1"/>
  <c r="Z32" i="2"/>
  <c r="Z37" i="2"/>
  <c r="Z45" i="2"/>
  <c r="Z53" i="2"/>
  <c r="Z61" i="2"/>
  <c r="Z71" i="2"/>
  <c r="Z79" i="2"/>
  <c r="Z87" i="2"/>
  <c r="Z95" i="2"/>
  <c r="Z103" i="2"/>
  <c r="Z111" i="2"/>
  <c r="V13" i="3"/>
  <c r="W13" i="3" s="1"/>
  <c r="J42" i="5"/>
  <c r="Z41" i="3"/>
  <c r="Z43" i="3"/>
  <c r="Z44" i="3"/>
  <c r="J46" i="5"/>
  <c r="Z45" i="3"/>
  <c r="Z47" i="3"/>
  <c r="Z66" i="3"/>
  <c r="Z67" i="3"/>
  <c r="J70" i="5"/>
  <c r="Z69" i="3"/>
  <c r="J71" i="5"/>
  <c r="R71" i="5" s="1"/>
  <c r="V71" i="5" s="1"/>
  <c r="Z70" i="3"/>
  <c r="Z71" i="3"/>
  <c r="J105" i="5"/>
  <c r="Z104" i="3"/>
  <c r="AE19" i="4"/>
  <c r="AE20" i="4" s="1"/>
  <c r="AE22" i="4" s="1"/>
  <c r="Z101" i="4"/>
  <c r="N102" i="5"/>
  <c r="R46" i="5"/>
  <c r="V46" i="5" s="1"/>
  <c r="R72" i="5"/>
  <c r="V72" i="5" s="1"/>
  <c r="R73" i="5"/>
  <c r="V73" i="5" s="1"/>
  <c r="R81" i="5"/>
  <c r="V81" i="5" s="1"/>
  <c r="R97" i="5"/>
  <c r="V97" i="5" s="1"/>
  <c r="R105" i="5"/>
  <c r="V105" i="5" s="1"/>
  <c r="R113" i="5"/>
  <c r="V113" i="5" s="1"/>
  <c r="R116" i="5"/>
  <c r="V116" i="5" s="1"/>
  <c r="J51" i="5"/>
  <c r="Z50" i="3"/>
  <c r="J62" i="5"/>
  <c r="R62" i="5" s="1"/>
  <c r="V62" i="5" s="1"/>
  <c r="Z61" i="3"/>
  <c r="J69" i="5"/>
  <c r="Z68" i="3"/>
  <c r="R17" i="5"/>
  <c r="V17" i="5" s="1"/>
  <c r="R29" i="5"/>
  <c r="V29" i="5" s="1"/>
  <c r="R55" i="5"/>
  <c r="V55" i="5" s="1"/>
  <c r="Z16" i="2"/>
  <c r="R26" i="5"/>
  <c r="V26" i="5" s="1"/>
  <c r="Z28" i="2"/>
  <c r="Z46" i="2"/>
  <c r="Z54" i="2"/>
  <c r="Z72" i="2"/>
  <c r="Z80" i="2"/>
  <c r="Z88" i="2"/>
  <c r="Z96" i="2"/>
  <c r="Z104" i="2"/>
  <c r="Z112" i="2"/>
  <c r="Z115" i="2"/>
  <c r="Z17" i="3"/>
  <c r="Z25" i="3"/>
  <c r="J50" i="5"/>
  <c r="Z49" i="3"/>
  <c r="Z51" i="3"/>
  <c r="Z52" i="3"/>
  <c r="J54" i="5"/>
  <c r="Z53" i="3"/>
  <c r="Z55" i="3"/>
  <c r="Z56" i="3"/>
  <c r="J59" i="5"/>
  <c r="R59" i="5" s="1"/>
  <c r="Z58" i="3"/>
  <c r="J60" i="5"/>
  <c r="Z59" i="3"/>
  <c r="Z60" i="3"/>
  <c r="Z99" i="3"/>
  <c r="J102" i="5"/>
  <c r="Z101" i="3"/>
  <c r="J103" i="5"/>
  <c r="R103" i="5" s="1"/>
  <c r="V103" i="5" s="1"/>
  <c r="Z102" i="3"/>
  <c r="Z85" i="4"/>
  <c r="N86" i="5"/>
  <c r="Z112" i="3"/>
  <c r="Z115" i="3"/>
  <c r="Z17" i="4"/>
  <c r="Z29" i="4"/>
  <c r="Z42" i="4"/>
  <c r="Z44" i="4"/>
  <c r="Z24" i="3"/>
  <c r="N82" i="5"/>
  <c r="Z81" i="4"/>
  <c r="N47" i="5"/>
  <c r="Z46" i="4"/>
  <c r="N90" i="5"/>
  <c r="Z89" i="4"/>
  <c r="Z34" i="4"/>
  <c r="Z47" i="4"/>
  <c r="Z62" i="4"/>
  <c r="N98" i="5"/>
  <c r="Z97" i="4"/>
  <c r="N106" i="5"/>
  <c r="Z105" i="4"/>
  <c r="Z50" i="4"/>
  <c r="N55" i="5"/>
  <c r="Z54" i="4"/>
  <c r="N58" i="5"/>
  <c r="Z57" i="4"/>
  <c r="N69" i="5"/>
  <c r="Z68" i="4"/>
  <c r="N74" i="5"/>
  <c r="Z73" i="4"/>
  <c r="Z36" i="4"/>
  <c r="Z53" i="4"/>
  <c r="Z61" i="4"/>
  <c r="Z72" i="4"/>
  <c r="Z23" i="4"/>
  <c r="Z58" i="4"/>
  <c r="Z69" i="4"/>
  <c r="Z113" i="4"/>
  <c r="N116" i="5"/>
  <c r="Z76" i="4"/>
  <c r="Z84" i="4"/>
  <c r="Z92" i="4"/>
  <c r="Z100" i="4"/>
  <c r="Z108" i="4"/>
  <c r="N110" i="5"/>
  <c r="N115" i="5"/>
  <c r="AE21" i="2" l="1"/>
  <c r="AC21" i="2"/>
  <c r="Z48" i="5"/>
  <c r="Z105" i="5"/>
  <c r="Z20" i="5"/>
  <c r="Z22" i="5"/>
  <c r="Z82" i="5"/>
  <c r="Z113" i="5"/>
  <c r="Z111" i="5"/>
  <c r="Z88" i="5"/>
  <c r="Z52" i="5"/>
  <c r="Z26" i="5"/>
  <c r="Z37" i="5"/>
  <c r="Z60" i="5"/>
  <c r="Z38" i="5"/>
  <c r="Z23" i="5"/>
  <c r="Z29" i="5"/>
  <c r="Z87" i="5"/>
  <c r="Z94" i="5"/>
  <c r="Z34" i="5"/>
  <c r="Z56" i="5"/>
  <c r="Z61" i="5"/>
  <c r="Z40" i="5"/>
  <c r="Z45" i="5"/>
  <c r="Z21" i="5"/>
  <c r="Z112" i="5"/>
  <c r="Z116" i="5"/>
  <c r="Z77" i="5"/>
  <c r="Z39" i="5"/>
  <c r="Z72" i="5"/>
  <c r="Z95" i="5"/>
  <c r="V59" i="5"/>
  <c r="Z59" i="5"/>
  <c r="V110" i="5"/>
  <c r="Z110" i="5"/>
  <c r="V101" i="5"/>
  <c r="Z101" i="5"/>
  <c r="V89" i="5"/>
  <c r="Z89" i="5"/>
  <c r="Z32" i="5"/>
  <c r="Z85" i="5"/>
  <c r="R54" i="5"/>
  <c r="V54" i="5" s="1"/>
  <c r="R98" i="5"/>
  <c r="V98" i="5" s="1"/>
  <c r="R41" i="5"/>
  <c r="V41" i="5" s="1"/>
  <c r="R49" i="5"/>
  <c r="V49" i="5" s="1"/>
  <c r="Z33" i="5"/>
  <c r="R90" i="5"/>
  <c r="V90" i="5" s="1"/>
  <c r="Z96" i="5"/>
  <c r="Z44" i="5"/>
  <c r="R27" i="5"/>
  <c r="V27" i="5" s="1"/>
  <c r="R100" i="5"/>
  <c r="V100" i="5" s="1"/>
  <c r="Z46" i="5"/>
  <c r="Z103" i="5"/>
  <c r="R102" i="5"/>
  <c r="V102" i="5" s="1"/>
  <c r="Z36" i="5"/>
  <c r="Z15" i="5"/>
  <c r="R69" i="5"/>
  <c r="V69" i="5" s="1"/>
  <c r="R91" i="5"/>
  <c r="V91" i="5" s="1"/>
  <c r="R50" i="5"/>
  <c r="V50" i="5" s="1"/>
  <c r="R68" i="5"/>
  <c r="V68" i="5" s="1"/>
  <c r="R74" i="5"/>
  <c r="V74" i="5" s="1"/>
  <c r="Z53" i="5"/>
  <c r="R83" i="5"/>
  <c r="V83" i="5" s="1"/>
  <c r="R42" i="5"/>
  <c r="V42" i="5" s="1"/>
  <c r="R107" i="5"/>
  <c r="V107" i="5" s="1"/>
  <c r="AD21" i="4"/>
  <c r="R51" i="5"/>
  <c r="V51" i="5" s="1"/>
  <c r="Z30" i="5"/>
  <c r="R86" i="5"/>
  <c r="V86" i="5" s="1"/>
  <c r="R16" i="5"/>
  <c r="V16" i="5" s="1"/>
  <c r="R75" i="5"/>
  <c r="V75" i="5" s="1"/>
  <c r="R47" i="5"/>
  <c r="V47" i="5" s="1"/>
  <c r="R115" i="5"/>
  <c r="V115" i="5" s="1"/>
  <c r="Z109" i="5"/>
  <c r="R43" i="5"/>
  <c r="V43" i="5" s="1"/>
  <c r="Z18" i="5"/>
  <c r="Z104" i="5"/>
  <c r="R92" i="5"/>
  <c r="V92" i="5" s="1"/>
  <c r="Z97" i="5"/>
  <c r="Z79" i="5"/>
  <c r="Z28" i="5"/>
  <c r="R78" i="5"/>
  <c r="V78" i="5" s="1"/>
  <c r="J14" i="5"/>
  <c r="Z13" i="3"/>
  <c r="R84" i="5"/>
  <c r="V84" i="5" s="1"/>
  <c r="R99" i="5"/>
  <c r="V99" i="5" s="1"/>
  <c r="Z73" i="5"/>
  <c r="Z55" i="5"/>
  <c r="R35" i="5"/>
  <c r="V35" i="5" s="1"/>
  <c r="Z80" i="5"/>
  <c r="AD20" i="2"/>
  <c r="AD22" i="2" s="1"/>
  <c r="AD21" i="2"/>
  <c r="R24" i="5"/>
  <c r="V24" i="5" s="1"/>
  <c r="Z63" i="5"/>
  <c r="Z71" i="5"/>
  <c r="R70" i="5"/>
  <c r="V70" i="5" s="1"/>
  <c r="Z31" i="5"/>
  <c r="Z62" i="5"/>
  <c r="Z114" i="5"/>
  <c r="R67" i="5"/>
  <c r="V67" i="5" s="1"/>
  <c r="R108" i="5"/>
  <c r="V108" i="5" s="1"/>
  <c r="Z25" i="5"/>
  <c r="Z17" i="5"/>
  <c r="AE21" i="4"/>
  <c r="Z93" i="5"/>
  <c r="R106" i="5"/>
  <c r="V106" i="5" s="1"/>
  <c r="R57" i="5"/>
  <c r="V57" i="5" s="1"/>
  <c r="Z81" i="5"/>
  <c r="Z19" i="5"/>
  <c r="R58" i="5"/>
  <c r="V58" i="5" s="1"/>
  <c r="R76" i="5"/>
  <c r="V76" i="5" s="1"/>
  <c r="Z24" i="5" l="1"/>
  <c r="Z67" i="5"/>
  <c r="Z99" i="5"/>
  <c r="Z75" i="5"/>
  <c r="Z107" i="5"/>
  <c r="Z102" i="5"/>
  <c r="Z90" i="5"/>
  <c r="Z83" i="5"/>
  <c r="Z115" i="5"/>
  <c r="Z98" i="5"/>
  <c r="Z49" i="5"/>
  <c r="Z74" i="5"/>
  <c r="Z91" i="5"/>
  <c r="Z41" i="5"/>
  <c r="Z35" i="5"/>
  <c r="Z42" i="5"/>
  <c r="Z106" i="5"/>
  <c r="R14" i="5"/>
  <c r="V14" i="5" s="1"/>
  <c r="Z70" i="5"/>
  <c r="Z57" i="5"/>
  <c r="Z108" i="5"/>
  <c r="Z100" i="5"/>
  <c r="Z27" i="5"/>
  <c r="Z86" i="5"/>
  <c r="Z43" i="5"/>
  <c r="Z58" i="5"/>
  <c r="Z84" i="5"/>
  <c r="Z68" i="5"/>
  <c r="Z69" i="5"/>
  <c r="Z51" i="5"/>
  <c r="Z92" i="5"/>
  <c r="Z78" i="5"/>
  <c r="Z76" i="5"/>
  <c r="Z16" i="5"/>
  <c r="Z50" i="5"/>
  <c r="Z47" i="5"/>
  <c r="Z54" i="5"/>
  <c r="Z14" i="5" l="1"/>
</calcChain>
</file>

<file path=xl/sharedStrings.xml><?xml version="1.0" encoding="utf-8"?>
<sst xmlns="http://schemas.openxmlformats.org/spreadsheetml/2006/main" count="643" uniqueCount="256">
  <si>
    <t xml:space="preserve">Class Record </t>
  </si>
  <si>
    <t>(Waiting for the Official DepEd Order)</t>
  </si>
  <si>
    <t>REGION</t>
  </si>
  <si>
    <t>DIVISION</t>
  </si>
  <si>
    <t>CDO</t>
  </si>
  <si>
    <t>SCHOOL NAME</t>
  </si>
  <si>
    <t>Bridgette School Management System</t>
  </si>
  <si>
    <t>SCHOOL ID</t>
  </si>
  <si>
    <t>SCHOOL YEAR</t>
  </si>
  <si>
    <t>{school_year}</t>
  </si>
  <si>
    <t xml:space="preserve">GRADE &amp; SECTION: </t>
  </si>
  <si>
    <t>Grade 8 Diamond</t>
  </si>
  <si>
    <t>TEACHER:</t>
  </si>
  <si>
    <t>Abueva, Apple Joy Middle Name</t>
  </si>
  <si>
    <t>SUBJECT:</t>
  </si>
  <si>
    <t>Science 8</t>
  </si>
  <si>
    <t>WRITTEN / ORAL WORKS</t>
  </si>
  <si>
    <t>ID NO.</t>
  </si>
  <si>
    <t>LEARNERS' NAMES</t>
  </si>
  <si>
    <t>PRODUCT / PERFORMANCE TASKS</t>
  </si>
  <si>
    <t>HIGHEST POSSIBLE SCORE</t>
  </si>
  <si>
    <t>PLACEHOLDER</t>
  </si>
  <si>
    <t xml:space="preserve">MALE </t>
  </si>
  <si>
    <t>{start_boys_numbering}</t>
  </si>
  <si>
    <t>{boys_start_id}</t>
  </si>
  <si>
    <t>{start_boys}</t>
  </si>
  <si>
    <t>2022-00001</t>
  </si>
  <si>
    <t>Ando, Ryanjel</t>
  </si>
  <si>
    <t>2022-00044</t>
  </si>
  <si>
    <t>Arante, Cobe Mc Daniel</t>
  </si>
  <si>
    <t>2022-00418</t>
  </si>
  <si>
    <t>Barnido, Charllys Moore</t>
  </si>
  <si>
    <t>2023-00532</t>
  </si>
  <si>
    <t>CAPILI, SCHAN MARC STEVEN</t>
  </si>
  <si>
    <t>2022-00002</t>
  </si>
  <si>
    <t>Cuizon, Cyril</t>
  </si>
  <si>
    <t>2022-00003</t>
  </si>
  <si>
    <t>Deguiñon, Paul Jhon</t>
  </si>
  <si>
    <t>002026-000193</t>
  </si>
  <si>
    <t>Dela Cruz, Juan</t>
  </si>
  <si>
    <t>2022-00047</t>
  </si>
  <si>
    <t>Dela Cruz, Stacey Samson</t>
  </si>
  <si>
    <t>2023-00510</t>
  </si>
  <si>
    <t>DURIAS, KIRK ADRIANE</t>
  </si>
  <si>
    <t>2022-00005</t>
  </si>
  <si>
    <t>Fernandez, Jhon Kenneth</t>
  </si>
  <si>
    <t>2022-00006</t>
  </si>
  <si>
    <t>Figueroa, John Rech</t>
  </si>
  <si>
    <t>2022-00007</t>
  </si>
  <si>
    <t>Intes, TJ Philip</t>
  </si>
  <si>
    <t>2022-00008</t>
  </si>
  <si>
    <t>Jarabe, Andrei Anthony</t>
  </si>
  <si>
    <t>2022-00012</t>
  </si>
  <si>
    <t>Mumar, Terence Hunter</t>
  </si>
  <si>
    <t>2022-00013</t>
  </si>
  <si>
    <t>Narita, JD Ariel</t>
  </si>
  <si>
    <t>2022-00014</t>
  </si>
  <si>
    <t>Ofngol, Prince Ryder</t>
  </si>
  <si>
    <t>2022-00015</t>
  </si>
  <si>
    <t>Pañega, Roland Josh</t>
  </si>
  <si>
    <t>2022-00018</t>
  </si>
  <si>
    <t>Sayson, Aianne Anthony</t>
  </si>
  <si>
    <t>2022-00019</t>
  </si>
  <si>
    <t>Vestidas, Rique Mart</t>
  </si>
  <si>
    <t>2023-00512</t>
  </si>
  <si>
    <t>WENCESLAO, EC WHISTLER</t>
  </si>
  <si>
    <t>{end_boys_numbering}</t>
  </si>
  <si>
    <t>{boys_end_id}</t>
  </si>
  <si>
    <t>{end_boys}</t>
  </si>
  <si>
    <t xml:space="preserve">FEMALE </t>
  </si>
  <si>
    <t>{start_girls_numbering}</t>
  </si>
  <si>
    <t>{girls_start_id}</t>
  </si>
  <si>
    <t>{start_girls}</t>
  </si>
  <si>
    <t>2022-00020</t>
  </si>
  <si>
    <t>Araquil, Jheane Joel</t>
  </si>
  <si>
    <t>2022-00021</t>
  </si>
  <si>
    <t>Balacuit, Kyle Anjheilee</t>
  </si>
  <si>
    <t>2022-00022</t>
  </si>
  <si>
    <t>Barcelona, Jannah  Grich</t>
  </si>
  <si>
    <t>2022-00421</t>
  </si>
  <si>
    <t>Bartonico, Flenzeu</t>
  </si>
  <si>
    <t>2022-00422</t>
  </si>
  <si>
    <t>Bernaldo, Rutchyl Gem</t>
  </si>
  <si>
    <t>2022-00023</t>
  </si>
  <si>
    <t>Borja, Wins Daughter</t>
  </si>
  <si>
    <t>2023-00520</t>
  </si>
  <si>
    <t>CABIGAS, HUETTE EVANNY</t>
  </si>
  <si>
    <t>2023-00518</t>
  </si>
  <si>
    <t>CAHANAP, ALESSA KRISTINE</t>
  </si>
  <si>
    <t>2022-00025</t>
  </si>
  <si>
    <t>Catubay, Cyril Jhean</t>
  </si>
  <si>
    <t>2022-00026</t>
  </si>
  <si>
    <t>Dolotallas, Ashanti Leigh</t>
  </si>
  <si>
    <t>2022-00027</t>
  </si>
  <si>
    <t>Egay, Charice</t>
  </si>
  <si>
    <t>2022-00028</t>
  </si>
  <si>
    <t>Ferraren, Abegail Jane</t>
  </si>
  <si>
    <t>2022-00029</t>
  </si>
  <si>
    <t>Gales, Jillian</t>
  </si>
  <si>
    <t>2022-00030</t>
  </si>
  <si>
    <t>Logronio, Cherry Pearl</t>
  </si>
  <si>
    <t>2022-00031</t>
  </si>
  <si>
    <t>Mayo, Hershey Lhe</t>
  </si>
  <si>
    <t>2023-00591</t>
  </si>
  <si>
    <t>Minguito, Vibriel</t>
  </si>
  <si>
    <t>2023-00513</t>
  </si>
  <si>
    <t>OCASION, ELISHA MAE</t>
  </si>
  <si>
    <t>2022-00032</t>
  </si>
  <si>
    <t>Omega, Jabeah Kharla</t>
  </si>
  <si>
    <t>2022-00077</t>
  </si>
  <si>
    <t>Pacli-an, Quennie Joy</t>
  </si>
  <si>
    <t>2022-00033</t>
  </si>
  <si>
    <t>Pasco, Raechelle Vyene</t>
  </si>
  <si>
    <t>2022-00036</t>
  </si>
  <si>
    <t>Sagadsad, Daphney</t>
  </si>
  <si>
    <t>2022-00037</t>
  </si>
  <si>
    <t>Sendrijas, Zeleen</t>
  </si>
  <si>
    <t>2023-00429</t>
  </si>
  <si>
    <t>Tero, Samantha Nichole</t>
  </si>
  <si>
    <t>2022-00039</t>
  </si>
  <si>
    <t>Toledo, Sarah Mae</t>
  </si>
  <si>
    <t>2022-00040</t>
  </si>
  <si>
    <t>Urdaneta, Khloue Aysel</t>
  </si>
  <si>
    <t>2022-00042</t>
  </si>
  <si>
    <t>Villacencio, Kharla</t>
  </si>
  <si>
    <t>{end_girls_numbering}</t>
  </si>
  <si>
    <t>{girls_end_id}</t>
  </si>
  <si>
    <t>{end_girls}</t>
  </si>
  <si>
    <t>TERM 1</t>
  </si>
  <si>
    <t>Initial Grade</t>
  </si>
  <si>
    <t>Term Grade</t>
  </si>
  <si>
    <t>DESCRIPTOR</t>
  </si>
  <si>
    <t>Total</t>
  </si>
  <si>
    <t>PS</t>
  </si>
  <si>
    <t>WS</t>
  </si>
  <si>
    <t>EE1</t>
  </si>
  <si>
    <t>EE2</t>
  </si>
  <si>
    <t>TFE</t>
  </si>
  <si>
    <t>{ww}</t>
  </si>
  <si>
    <t>{wwt}</t>
  </si>
  <si>
    <t>{wwps}</t>
  </si>
  <si>
    <t>{wwws}</t>
  </si>
  <si>
    <t>{pt}</t>
  </si>
  <si>
    <t>{ptt}</t>
  </si>
  <si>
    <t>{ptps}</t>
  </si>
  <si>
    <t>{ptws}</t>
  </si>
  <si>
    <t>{ee1}</t>
  </si>
  <si>
    <t>{ee2}</t>
  </si>
  <si>
    <t>{tfe}</t>
  </si>
  <si>
    <t>{qa}</t>
  </si>
  <si>
    <t>{qaps}</t>
  </si>
  <si>
    <t>{qaws}</t>
  </si>
  <si>
    <t>{ini-grade}</t>
  </si>
  <si>
    <t>{grade}</t>
  </si>
  <si>
    <t>{descriptor}</t>
  </si>
  <si>
    <t>Number of Examinees:</t>
  </si>
  <si>
    <t>Highest Possible Score:</t>
  </si>
  <si>
    <t>CRITERION-REFERENCED</t>
  </si>
  <si>
    <t xml:space="preserve"> Got 75% &amp; above</t>
  </si>
  <si>
    <t>Percentage</t>
  </si>
  <si>
    <t>Got below 75%</t>
  </si>
  <si>
    <t>NORM-REFERENCED</t>
  </si>
  <si>
    <t>Mean</t>
  </si>
  <si>
    <t>Median</t>
  </si>
  <si>
    <t>SD</t>
  </si>
  <si>
    <t>MPS/PL</t>
  </si>
  <si>
    <t>OTHER INFO</t>
  </si>
  <si>
    <t>Highest Score</t>
  </si>
  <si>
    <t>Lowest Score</t>
  </si>
  <si>
    <t>Total Score</t>
  </si>
  <si>
    <t>TERM 2</t>
  </si>
  <si>
    <t>TERM 3</t>
  </si>
  <si>
    <t>Summary of Quarterly Grades</t>
  </si>
  <si>
    <t>SCHOOL YEAR:</t>
  </si>
  <si>
    <t>FINAL GRADE</t>
  </si>
  <si>
    <t>REMARK</t>
  </si>
  <si>
    <t>Transmuted Grade</t>
  </si>
  <si>
    <t>99.50 - 100.00</t>
  </si>
  <si>
    <t>97.50 - 99.49</t>
  </si>
  <si>
    <t>96.00 - 97.49</t>
  </si>
  <si>
    <t>95.00 - 95.99</t>
  </si>
  <si>
    <t>94.00 - 94.99</t>
  </si>
  <si>
    <t>93.00 - 93.99</t>
  </si>
  <si>
    <t>92.00 - 92.99</t>
  </si>
  <si>
    <t>91.00 - 91.99</t>
  </si>
  <si>
    <t>90.00 - 90.99</t>
  </si>
  <si>
    <t>89.00 - 89.99</t>
  </si>
  <si>
    <t>88.00 - 88.99</t>
  </si>
  <si>
    <t>87.00 - 87.99</t>
  </si>
  <si>
    <t>86.00 - 86.99</t>
  </si>
  <si>
    <t>85.00 - 85.99</t>
  </si>
  <si>
    <t>84.00 - 84.99</t>
  </si>
  <si>
    <t>83.00 - 83.99</t>
  </si>
  <si>
    <t>82.00 - 82.99</t>
  </si>
  <si>
    <t>81.00 - 81.99</t>
  </si>
  <si>
    <t>80.00 - 80.99</t>
  </si>
  <si>
    <t>79.00 - 79.99</t>
  </si>
  <si>
    <t>78.00 - 78.99</t>
  </si>
  <si>
    <t>77.00 - 77.99</t>
  </si>
  <si>
    <t>76.00 - 76.99</t>
  </si>
  <si>
    <t>75.00 - 75.99</t>
  </si>
  <si>
    <t>73.00 - 74.99</t>
  </si>
  <si>
    <t>70.00 - 72.99</t>
  </si>
  <si>
    <t>68.00 - 69.99</t>
  </si>
  <si>
    <t>66.00 - 67.99</t>
  </si>
  <si>
    <t>64.00 - 65.99</t>
  </si>
  <si>
    <t>62.00 - 63.99</t>
  </si>
  <si>
    <t>60.00 - 61.99</t>
  </si>
  <si>
    <t>58.00 - 59.99</t>
  </si>
  <si>
    <t>56.00 - 57.99</t>
  </si>
  <si>
    <t>54.00 - 55.99</t>
  </si>
  <si>
    <t>52.00 - 53.99</t>
  </si>
  <si>
    <t>50.00 - 51.99</t>
  </si>
  <si>
    <t>48.00 - 49.99</t>
  </si>
  <si>
    <t>46.00 - 47.99</t>
  </si>
  <si>
    <t>43.00 - 45.99</t>
  </si>
  <si>
    <t>40.00 - 42.99</t>
  </si>
  <si>
    <t>25.00 - 39.99</t>
  </si>
  <si>
    <t>0.00 - 24.00</t>
  </si>
  <si>
    <t>60 (default minimum)</t>
  </si>
  <si>
    <t>SUBJECT</t>
  </si>
  <si>
    <t>WWs</t>
  </si>
  <si>
    <t>PTs</t>
  </si>
  <si>
    <t>STs-TE</t>
  </si>
  <si>
    <t>TOTAL</t>
  </si>
  <si>
    <t>TRANSMUTATION TABLE</t>
  </si>
  <si>
    <t>DESCRIPTORS</t>
  </si>
  <si>
    <t>FILIPINO</t>
  </si>
  <si>
    <t>-</t>
  </si>
  <si>
    <t>Emerging</t>
  </si>
  <si>
    <t>ENGLISH</t>
  </si>
  <si>
    <t xml:space="preserve">Developing </t>
  </si>
  <si>
    <t>MATHEMATICS</t>
  </si>
  <si>
    <t>Connecting</t>
  </si>
  <si>
    <t>SCIENCE</t>
  </si>
  <si>
    <t>Benchmarking</t>
  </si>
  <si>
    <t>ARALING PANLIPUNAN</t>
  </si>
  <si>
    <t>Advancing</t>
  </si>
  <si>
    <t>GMRC</t>
  </si>
  <si>
    <t>EPP</t>
  </si>
  <si>
    <t>TLE</t>
  </si>
  <si>
    <t>VALUES EDUCATION</t>
  </si>
  <si>
    <t>WRITTEN WORK</t>
  </si>
  <si>
    <t>PERFORMANCE TASKS</t>
  </si>
  <si>
    <t>Q.
ASSESS-MENT</t>
  </si>
  <si>
    <t>WW</t>
  </si>
  <si>
    <t>PT</t>
  </si>
  <si>
    <t>QA</t>
  </si>
  <si>
    <t>EDUKASYON SA PAGPAPAKATAO</t>
  </si>
  <si>
    <t>EDUKASYONG PANTAHANAN AT PANGKABUHAYAN</t>
  </si>
  <si>
    <t>MOTHER TONGUE</t>
  </si>
  <si>
    <t>FIRST</t>
  </si>
  <si>
    <t>SECOND</t>
  </si>
  <si>
    <t>THIRD</t>
  </si>
  <si>
    <t>FOURTH</t>
  </si>
  <si>
    <t>FILIPINO,ENGLISH,MATHEMATICS,SCIENCE,ARALING PANLIPUNAN,EDUKASYON SA PAGPAPAKATAO,EDUKASYONG PANTAHANAN AT PANGKABUHAYAN,MOTHER TONGUE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</si>
</sst>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;"/>
    <numFmt numFmtId="165" formatCode="0.0"/>
  </numFmts>
  <fonts count="25">
    <font>
      <sz val="11"/>
      <color rgb="FF000000"/>
      <name val="Calibri"/>
    </font>
    <font>
      <sz val="11"/>
      <color rgb="FF000000"/>
      <name val="Arial"/>
    </font>
    <font>
      <b/>
      <sz val="11"/>
      <color rgb="FF000000"/>
      <name val="Arial"/>
    </font>
    <font>
      <b/>
      <sz val="14"/>
      <color rgb="FF000000"/>
      <name val="Arial"/>
    </font>
    <font>
      <sz val="12"/>
      <color rgb="FF000000"/>
      <name val="Arial"/>
    </font>
    <font>
      <b/>
      <sz val="12"/>
      <color rgb="FF000000"/>
      <name val="Arial"/>
    </font>
    <font>
      <sz val="11"/>
      <color rgb="FF000000"/>
      <name val="Aptos"/>
    </font>
    <font>
      <b/>
      <sz val="21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2"/>
      <color rgb="FF000000"/>
      <name val="Aptos"/>
    </font>
    <font>
      <i/>
      <sz val="7"/>
      <color rgb="FF000000"/>
      <name val="Arial Narrow"/>
    </font>
    <font>
      <sz val="11"/>
      <color rgb="FF000000"/>
      <name val="SansSerif"/>
    </font>
    <font>
      <b/>
      <sz val="9"/>
      <color rgb="FF0F1115"/>
      <name val="Segoe UI"/>
    </font>
    <font>
      <sz val="11"/>
      <color rgb="FF000000"/>
      <name val="Bookman Old Style"/>
    </font>
    <font>
      <b/>
      <sz val="11"/>
      <color rgb="FF000000"/>
      <name val="Bookman Old Style"/>
    </font>
    <font>
      <b/>
      <sz val="8"/>
      <color rgb="FFFF0000"/>
      <name val="Arial"/>
    </font>
    <font>
      <b/>
      <sz val="7"/>
      <color rgb="FFFF0000"/>
      <name val="Arial"/>
    </font>
    <font>
      <sz val="14"/>
      <color rgb="FFFFFFFF"/>
      <name val="Arial"/>
    </font>
    <font>
      <b/>
      <sz val="8"/>
      <color rgb="FF000000"/>
      <name val="Arial"/>
    </font>
    <font>
      <b/>
      <sz val="8"/>
      <color rgb="FFFFFFFF"/>
      <name val="Arial"/>
    </font>
    <font>
      <b/>
      <sz val="7"/>
      <color rgb="FFFFFFFF"/>
      <name val="Arial"/>
    </font>
    <font>
      <sz val="8"/>
      <color rgb="FF000000"/>
      <name val="Arial"/>
    </font>
    <font>
      <b/>
      <sz val="7"/>
      <color rgb="FF000000"/>
      <name val="Arial"/>
    </font>
    <font>
      <b/>
      <sz val="9"/>
      <color rgb="FF000000"/>
      <name val="Calibri"/>
    </font>
  </fonts>
  <fills count="14">
    <fill>
      <patternFill patternType="none"/>
    </fill>
    <fill>
      <patternFill patternType="gray125"/>
    </fill>
    <fill>
      <patternFill patternType="none"/>
    </fill>
    <fill>
      <patternFill patternType="solid">
        <fgColor rgb="FFBFBFBF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BDD6EE"/>
        <bgColor rgb="FFFFFFFF"/>
      </patternFill>
    </fill>
    <fill>
      <patternFill patternType="solid">
        <fgColor rgb="FFF7CAAC"/>
        <bgColor rgb="FFFFFFFF"/>
      </patternFill>
    </fill>
    <fill>
      <patternFill patternType="solid">
        <fgColor rgb="FFD9D9D9"/>
        <bgColor rgb="FFDDDDDD"/>
      </patternFill>
    </fill>
    <fill>
      <patternFill patternType="solid">
        <fgColor rgb="FFCCECFF"/>
        <bgColor rgb="FFDBEEF4"/>
      </patternFill>
    </fill>
    <fill>
      <patternFill patternType="solid">
        <fgColor rgb="FFA5A5A5"/>
        <bgColor rgb="FFFFFFFF"/>
      </patternFill>
    </fill>
    <fill>
      <patternFill patternType="solid">
        <fgColor rgb="FFFFFFFF"/>
        <bgColor rgb="FFDBEEF4"/>
      </patternFill>
    </fill>
    <fill>
      <patternFill patternType="solid">
        <fgColor rgb="FFFFFFFF"/>
        <bgColor rgb="FFFFFFFF"/>
      </patternFill>
    </fill>
  </fills>
  <borders count="7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3">
    <xf numFmtId="0" fontId="0" fillId="2" borderId="0" xfId="0" applyFill="1"/>
    <xf numFmtId="0" fontId="1" fillId="2" borderId="0" xfId="0" applyFont="1" applyFill="1" applyProtection="1">
      <protection locked="0"/>
    </xf>
    <xf numFmtId="0" fontId="1" fillId="2" borderId="0" xfId="0" applyFont="1" applyFill="1" applyAlignment="1" applyProtection="1">
      <alignment horizontal="center"/>
      <protection locked="0"/>
    </xf>
    <xf numFmtId="2" fontId="2" fillId="2" borderId="0" xfId="0" applyNumberFormat="1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2" fillId="2" borderId="0" xfId="0" applyFont="1" applyFill="1" applyProtection="1">
      <protection hidden="1"/>
    </xf>
    <xf numFmtId="0" fontId="1" fillId="2" borderId="0" xfId="0" applyFont="1" applyFill="1" applyProtection="1">
      <protection hidden="1"/>
    </xf>
    <xf numFmtId="164" fontId="3" fillId="2" borderId="0" xfId="0" applyNumberFormat="1" applyFont="1" applyFill="1" applyAlignment="1" applyProtection="1">
      <alignment vertical="center"/>
      <protection locked="0"/>
    </xf>
    <xf numFmtId="164" fontId="4" fillId="2" borderId="0" xfId="0" applyNumberFormat="1" applyFont="1" applyFill="1" applyAlignment="1" applyProtection="1">
      <alignment horizontal="center" vertical="center"/>
      <protection hidden="1"/>
    </xf>
    <xf numFmtId="164" fontId="2" fillId="2" borderId="0" xfId="0" applyNumberFormat="1" applyFont="1" applyFill="1" applyAlignment="1" applyProtection="1">
      <alignment horizontal="center"/>
      <protection locked="0"/>
    </xf>
    <xf numFmtId="164" fontId="1" fillId="2" borderId="0" xfId="0" applyNumberFormat="1" applyFont="1" applyFill="1" applyProtection="1">
      <protection locked="0"/>
    </xf>
    <xf numFmtId="164" fontId="5" fillId="2" borderId="0" xfId="0" applyNumberFormat="1" applyFont="1" applyFill="1" applyAlignment="1" applyProtection="1">
      <alignment vertical="center"/>
      <protection locked="0"/>
    </xf>
    <xf numFmtId="0" fontId="5" fillId="2" borderId="0" xfId="0" applyFont="1" applyFill="1" applyAlignment="1" applyProtection="1">
      <alignment vertical="center"/>
      <protection locked="0"/>
    </xf>
    <xf numFmtId="0" fontId="5" fillId="2" borderId="0" xfId="0" applyFont="1" applyFill="1" applyAlignment="1" applyProtection="1">
      <alignment vertical="center"/>
      <protection hidden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 textRotation="90" shrinkToFit="1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2" fontId="2" fillId="2" borderId="0" xfId="0" applyNumberFormat="1" applyFont="1" applyFill="1" applyAlignment="1" applyProtection="1">
      <alignment horizontal="center" vertical="center" wrapText="1"/>
      <protection locked="0"/>
    </xf>
    <xf numFmtId="0" fontId="2" fillId="2" borderId="0" xfId="0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locked="0"/>
    </xf>
    <xf numFmtId="2" fontId="2" fillId="2" borderId="0" xfId="0" applyNumberFormat="1" applyFont="1" applyFill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vertical="center"/>
      <protection hidden="1"/>
    </xf>
    <xf numFmtId="0" fontId="2" fillId="2" borderId="0" xfId="0" applyFont="1" applyFill="1" applyAlignment="1" applyProtection="1">
      <alignment shrinkToFit="1"/>
      <protection locked="0"/>
    </xf>
    <xf numFmtId="0" fontId="2" fillId="2" borderId="5" xfId="0" applyFont="1" applyFill="1" applyBorder="1" applyAlignment="1" applyProtection="1">
      <alignment horizontal="right" shrinkToFit="1"/>
      <protection locked="0"/>
    </xf>
    <xf numFmtId="0" fontId="2" fillId="2" borderId="6" xfId="0" applyFont="1" applyFill="1" applyBorder="1" applyAlignment="1" applyProtection="1">
      <alignment horizontal="right" shrinkToFit="1"/>
      <protection locked="0"/>
    </xf>
    <xf numFmtId="0" fontId="2" fillId="2" borderId="0" xfId="0" applyFont="1" applyFill="1" applyAlignment="1" applyProtection="1">
      <alignment horizontal="center" vertical="center" shrinkToFit="1"/>
      <protection locked="0"/>
    </xf>
    <xf numFmtId="0" fontId="2" fillId="2" borderId="0" xfId="0" applyFont="1" applyFill="1" applyAlignment="1" applyProtection="1">
      <alignment horizontal="center" vertical="center"/>
      <protection hidden="1"/>
    </xf>
    <xf numFmtId="9" fontId="2" fillId="2" borderId="0" xfId="0" applyNumberFormat="1" applyFont="1" applyFill="1" applyAlignment="1" applyProtection="1">
      <alignment horizontal="center" vertical="center"/>
      <protection locked="0"/>
    </xf>
    <xf numFmtId="0" fontId="2" fillId="3" borderId="7" xfId="0" applyFont="1" applyFill="1" applyBorder="1" applyAlignment="1" applyProtection="1">
      <alignment horizontal="center" shrinkToFit="1"/>
      <protection locked="0"/>
    </xf>
    <xf numFmtId="0" fontId="2" fillId="3" borderId="5" xfId="0" applyFont="1" applyFill="1" applyBorder="1" applyAlignment="1" applyProtection="1">
      <alignment horizontal="left" vertical="center" shrinkToFit="1"/>
      <protection locked="0"/>
    </xf>
    <xf numFmtId="0" fontId="2" fillId="3" borderId="6" xfId="0" applyFont="1" applyFill="1" applyBorder="1" applyAlignment="1" applyProtection="1">
      <alignment horizontal="left" vertical="center" shrinkToFit="1"/>
      <protection locked="0"/>
    </xf>
    <xf numFmtId="1" fontId="2" fillId="2" borderId="0" xfId="0" applyNumberFormat="1" applyFont="1" applyFill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/>
      <protection locked="0"/>
    </xf>
    <xf numFmtId="164" fontId="1" fillId="2" borderId="5" xfId="0" applyNumberFormat="1" applyFont="1" applyFill="1" applyBorder="1" applyAlignment="1" applyProtection="1">
      <alignment horizontal="left"/>
      <protection locked="0"/>
    </xf>
    <xf numFmtId="164" fontId="1" fillId="2" borderId="5" xfId="0" applyNumberFormat="1" applyFont="1" applyFill="1" applyBorder="1" applyAlignment="1" applyProtection="1">
      <alignment horizontal="left"/>
      <protection hidden="1"/>
    </xf>
    <xf numFmtId="164" fontId="1" fillId="2" borderId="6" xfId="0" applyNumberFormat="1" applyFont="1" applyFill="1" applyBorder="1" applyAlignment="1" applyProtection="1">
      <alignment horizontal="left"/>
      <protection hidden="1"/>
    </xf>
    <xf numFmtId="0" fontId="1" fillId="2" borderId="0" xfId="0" applyFont="1" applyFill="1" applyAlignment="1" applyProtection="1">
      <alignment horizontal="center" vertical="center"/>
      <protection locked="0"/>
    </xf>
    <xf numFmtId="1" fontId="1" fillId="2" borderId="0" xfId="0" applyNumberFormat="1" applyFont="1" applyFill="1" applyAlignment="1" applyProtection="1">
      <alignment horizontal="center" vertical="center"/>
      <protection hidden="1"/>
    </xf>
    <xf numFmtId="2" fontId="2" fillId="2" borderId="0" xfId="0" applyNumberFormat="1" applyFont="1" applyFill="1" applyAlignment="1" applyProtection="1">
      <alignment horizontal="center" vertical="center"/>
      <protection hidden="1"/>
    </xf>
    <xf numFmtId="1" fontId="2" fillId="2" borderId="0" xfId="0" applyNumberFormat="1" applyFont="1" applyFill="1" applyAlignment="1" applyProtection="1">
      <alignment horizontal="center" vertical="center"/>
      <protection hidden="1"/>
    </xf>
    <xf numFmtId="0" fontId="2" fillId="2" borderId="0" xfId="0" applyFont="1" applyFill="1" applyAlignment="1" applyProtection="1">
      <alignment shrinkToFit="1"/>
      <protection hidden="1"/>
    </xf>
    <xf numFmtId="0" fontId="2" fillId="2" borderId="0" xfId="0" applyFont="1" applyFill="1" applyAlignment="1" applyProtection="1">
      <alignment horizontal="left"/>
      <protection hidden="1"/>
    </xf>
    <xf numFmtId="164" fontId="6" fillId="2" borderId="5" xfId="0" applyNumberFormat="1" applyFont="1" applyFill="1" applyBorder="1" applyAlignment="1" applyProtection="1">
      <alignment horizontal="left"/>
      <protection locked="0"/>
    </xf>
    <xf numFmtId="0" fontId="2" fillId="2" borderId="8" xfId="0" applyFont="1" applyFill="1" applyBorder="1" applyAlignment="1" applyProtection="1">
      <alignment horizontal="center"/>
      <protection locked="0"/>
    </xf>
    <xf numFmtId="164" fontId="1" fillId="2" borderId="9" xfId="0" applyNumberFormat="1" applyFont="1" applyFill="1" applyBorder="1" applyAlignment="1" applyProtection="1">
      <alignment horizontal="left"/>
      <protection hidden="1"/>
    </xf>
    <xf numFmtId="164" fontId="1" fillId="2" borderId="10" xfId="0" applyNumberFormat="1" applyFont="1" applyFill="1" applyBorder="1" applyAlignment="1" applyProtection="1">
      <alignment horizontal="left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locked="0"/>
    </xf>
    <xf numFmtId="0" fontId="7" fillId="2" borderId="0" xfId="0" applyFont="1" applyFill="1" applyAlignment="1" applyProtection="1">
      <alignment horizontal="center" vertical="top" wrapText="1"/>
      <protection hidden="1"/>
    </xf>
    <xf numFmtId="164" fontId="3" fillId="2" borderId="0" xfId="0" applyNumberFormat="1" applyFont="1" applyFill="1" applyAlignment="1" applyProtection="1">
      <alignment vertical="center"/>
      <protection hidden="1"/>
    </xf>
    <xf numFmtId="164" fontId="2" fillId="2" borderId="0" xfId="0" applyNumberFormat="1" applyFont="1" applyFill="1" applyAlignment="1" applyProtection="1">
      <alignment horizontal="center"/>
      <protection hidden="1"/>
    </xf>
    <xf numFmtId="164" fontId="1" fillId="2" borderId="0" xfId="0" applyNumberFormat="1" applyFont="1" applyFill="1" applyProtection="1">
      <protection hidden="1"/>
    </xf>
    <xf numFmtId="164" fontId="5" fillId="2" borderId="0" xfId="0" applyNumberFormat="1" applyFont="1" applyFill="1" applyAlignment="1" applyProtection="1">
      <alignment vertical="center"/>
      <protection hidden="1"/>
    </xf>
    <xf numFmtId="0" fontId="2" fillId="2" borderId="5" xfId="0" applyFont="1" applyFill="1" applyBorder="1" applyAlignment="1" applyProtection="1">
      <alignment horizontal="center" vertical="center"/>
      <protection hidden="1"/>
    </xf>
    <xf numFmtId="0" fontId="2" fillId="2" borderId="7" xfId="0" applyFont="1" applyFill="1" applyBorder="1" applyAlignment="1" applyProtection="1">
      <alignment horizontal="center" vertical="center"/>
      <protection hidden="1"/>
    </xf>
    <xf numFmtId="0" fontId="2" fillId="4" borderId="5" xfId="0" applyFont="1" applyFill="1" applyBorder="1" applyAlignment="1" applyProtection="1">
      <alignment horizontal="center" vertical="center"/>
      <protection hidden="1"/>
    </xf>
    <xf numFmtId="2" fontId="2" fillId="4" borderId="5" xfId="0" applyNumberFormat="1" applyFont="1" applyFill="1" applyBorder="1" applyAlignment="1" applyProtection="1">
      <alignment horizontal="center" vertical="center"/>
      <protection hidden="1"/>
    </xf>
    <xf numFmtId="9" fontId="2" fillId="4" borderId="11" xfId="0" applyNumberFormat="1" applyFont="1" applyFill="1" applyBorder="1" applyAlignment="1" applyProtection="1">
      <alignment horizontal="center" vertical="center"/>
      <protection hidden="1"/>
    </xf>
    <xf numFmtId="9" fontId="2" fillId="2" borderId="7" xfId="0" applyNumberFormat="1" applyFont="1" applyFill="1" applyBorder="1" applyAlignment="1" applyProtection="1">
      <alignment horizontal="center" vertical="center"/>
      <protection hidden="1"/>
    </xf>
    <xf numFmtId="9" fontId="2" fillId="2" borderId="5" xfId="0" applyNumberFormat="1" applyFont="1" applyFill="1" applyBorder="1" applyAlignment="1" applyProtection="1">
      <alignment horizontal="center" vertical="center"/>
      <protection hidden="1"/>
    </xf>
    <xf numFmtId="0" fontId="2" fillId="2" borderId="0" xfId="0" applyFont="1" applyFill="1" applyAlignment="1" applyProtection="1">
      <alignment vertical="center"/>
      <protection locked="0"/>
    </xf>
    <xf numFmtId="0" fontId="2" fillId="2" borderId="7" xfId="0" applyFont="1" applyFill="1" applyBorder="1" applyAlignment="1" applyProtection="1">
      <alignment horizontal="center" vertical="center" shrinkToFit="1"/>
      <protection locked="0"/>
    </xf>
    <xf numFmtId="0" fontId="2" fillId="2" borderId="5" xfId="0" applyFont="1" applyFill="1" applyBorder="1" applyAlignment="1" applyProtection="1">
      <alignment horizontal="center" vertical="center" shrinkToFit="1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2" fillId="4" borderId="5" xfId="0" applyFont="1" applyFill="1" applyBorder="1" applyAlignment="1" applyProtection="1">
      <alignment horizontal="center" vertical="center" shrinkToFit="1"/>
      <protection hidden="1"/>
    </xf>
    <xf numFmtId="0" fontId="8" fillId="2" borderId="0" xfId="0" applyFont="1" applyFill="1" applyAlignment="1" applyProtection="1">
      <alignment horizontal="center" vertical="center" wrapText="1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2" fillId="4" borderId="12" xfId="0" applyFont="1" applyFill="1" applyBorder="1" applyAlignment="1" applyProtection="1">
      <alignment horizontal="center" vertical="center" shrinkToFit="1"/>
      <protection hidden="1"/>
    </xf>
    <xf numFmtId="0" fontId="2" fillId="4" borderId="13" xfId="0" applyFont="1" applyFill="1" applyBorder="1" applyAlignment="1" applyProtection="1">
      <alignment horizontal="center" vertical="center" shrinkToFit="1"/>
      <protection hidden="1"/>
    </xf>
    <xf numFmtId="0" fontId="2" fillId="4" borderId="13" xfId="0" applyFont="1" applyFill="1" applyBorder="1" applyAlignment="1" applyProtection="1">
      <alignment horizontal="center" vertical="center"/>
      <protection hidden="1"/>
    </xf>
    <xf numFmtId="2" fontId="2" fillId="4" borderId="13" xfId="0" applyNumberFormat="1" applyFont="1" applyFill="1" applyBorder="1" applyAlignment="1" applyProtection="1">
      <alignment horizontal="center" vertical="center"/>
      <protection hidden="1"/>
    </xf>
    <xf numFmtId="2" fontId="2" fillId="4" borderId="14" xfId="0" applyNumberFormat="1" applyFont="1" applyFill="1" applyBorder="1" applyAlignment="1" applyProtection="1">
      <alignment horizontal="center" vertical="center"/>
      <protection hidden="1"/>
    </xf>
    <xf numFmtId="0" fontId="2" fillId="4" borderId="12" xfId="0" applyFont="1" applyFill="1" applyBorder="1" applyAlignment="1" applyProtection="1">
      <alignment horizontal="center" vertical="center"/>
      <protection hidden="1"/>
    </xf>
    <xf numFmtId="2" fontId="2" fillId="4" borderId="15" xfId="0" applyNumberFormat="1" applyFont="1" applyFill="1" applyBorder="1" applyAlignment="1" applyProtection="1">
      <alignment horizontal="center" vertical="center"/>
      <protection hidden="1"/>
    </xf>
    <xf numFmtId="1" fontId="2" fillId="4" borderId="16" xfId="0" applyNumberFormat="1" applyFont="1" applyFill="1" applyBorder="1" applyAlignment="1" applyProtection="1">
      <alignment horizontal="center" vertical="center"/>
      <protection hidden="1"/>
    </xf>
    <xf numFmtId="1" fontId="2" fillId="4" borderId="17" xfId="0" applyNumberFormat="1" applyFont="1" applyFill="1" applyBorder="1" applyAlignment="1" applyProtection="1">
      <alignment horizontal="center" vertical="center"/>
      <protection hidden="1"/>
    </xf>
    <xf numFmtId="0" fontId="1" fillId="2" borderId="18" xfId="0" applyFont="1" applyFill="1" applyBorder="1" applyAlignment="1" applyProtection="1">
      <alignment horizontal="center" vertical="center"/>
      <protection locked="0"/>
    </xf>
    <xf numFmtId="0" fontId="1" fillId="2" borderId="19" xfId="0" applyFont="1" applyFill="1" applyBorder="1" applyAlignment="1" applyProtection="1">
      <alignment horizontal="center" vertical="center"/>
      <protection locked="0"/>
    </xf>
    <xf numFmtId="1" fontId="1" fillId="4" borderId="19" xfId="0" applyNumberFormat="1" applyFont="1" applyFill="1" applyBorder="1" applyAlignment="1" applyProtection="1">
      <alignment horizontal="center" vertical="center"/>
      <protection hidden="1"/>
    </xf>
    <xf numFmtId="2" fontId="2" fillId="4" borderId="19" xfId="0" applyNumberFormat="1" applyFont="1" applyFill="1" applyBorder="1" applyAlignment="1" applyProtection="1">
      <alignment horizontal="center" vertical="center"/>
      <protection hidden="1"/>
    </xf>
    <xf numFmtId="2" fontId="2" fillId="4" borderId="20" xfId="0" applyNumberFormat="1" applyFont="1" applyFill="1" applyBorder="1" applyAlignment="1" applyProtection="1">
      <alignment horizontal="center" vertical="center"/>
      <protection hidden="1"/>
    </xf>
    <xf numFmtId="2" fontId="2" fillId="4" borderId="21" xfId="0" applyNumberFormat="1" applyFont="1" applyFill="1" applyBorder="1" applyAlignment="1" applyProtection="1">
      <alignment horizontal="center" vertical="center"/>
      <protection hidden="1"/>
    </xf>
    <xf numFmtId="1" fontId="2" fillId="4" borderId="22" xfId="0" applyNumberFormat="1" applyFont="1" applyFill="1" applyBorder="1" applyAlignment="1" applyProtection="1">
      <alignment horizontal="center" vertical="center"/>
      <protection hidden="1"/>
    </xf>
    <xf numFmtId="0" fontId="2" fillId="4" borderId="23" xfId="0" applyFont="1" applyFill="1" applyBorder="1" applyAlignment="1" applyProtection="1">
      <alignment horizontal="center" vertical="center"/>
      <protection hidden="1"/>
    </xf>
    <xf numFmtId="0" fontId="2" fillId="2" borderId="7" xfId="0" applyFont="1" applyFill="1" applyBorder="1" applyAlignment="1" applyProtection="1">
      <alignment horizontal="center"/>
      <protection hidden="1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 applyProtection="1">
      <alignment horizontal="center" vertical="center"/>
      <protection locked="0"/>
    </xf>
    <xf numFmtId="1" fontId="1" fillId="4" borderId="5" xfId="0" applyNumberFormat="1" applyFont="1" applyFill="1" applyBorder="1" applyAlignment="1" applyProtection="1">
      <alignment horizontal="center" vertical="center"/>
      <protection hidden="1"/>
    </xf>
    <xf numFmtId="2" fontId="2" fillId="4" borderId="11" xfId="0" applyNumberFormat="1" applyFont="1" applyFill="1" applyBorder="1" applyAlignment="1" applyProtection="1">
      <alignment horizontal="center" vertical="center"/>
      <protection hidden="1"/>
    </xf>
    <xf numFmtId="2" fontId="2" fillId="4" borderId="24" xfId="0" applyNumberFormat="1" applyFont="1" applyFill="1" applyBorder="1" applyAlignment="1" applyProtection="1">
      <alignment horizontal="center" vertical="center"/>
      <protection hidden="1"/>
    </xf>
    <xf numFmtId="1" fontId="2" fillId="4" borderId="25" xfId="0" applyNumberFormat="1" applyFont="1" applyFill="1" applyBorder="1" applyAlignment="1" applyProtection="1">
      <alignment horizontal="center" vertical="center"/>
      <protection hidden="1"/>
    </xf>
    <xf numFmtId="0" fontId="2" fillId="4" borderId="26" xfId="0" applyFont="1" applyFill="1" applyBorder="1" applyAlignment="1" applyProtection="1">
      <alignment horizontal="center" vertical="center"/>
      <protection hidden="1"/>
    </xf>
    <xf numFmtId="0" fontId="2" fillId="2" borderId="5" xfId="0" applyFont="1" applyFill="1" applyBorder="1" applyAlignment="1" applyProtection="1">
      <alignment horizontal="center" vertical="center" shrinkToFit="1"/>
      <protection hidden="1"/>
    </xf>
    <xf numFmtId="0" fontId="8" fillId="2" borderId="5" xfId="0" applyFont="1" applyFill="1" applyBorder="1" applyAlignment="1" applyProtection="1">
      <alignment horizontal="center" vertical="center" wrapText="1"/>
      <protection hidden="1"/>
    </xf>
    <xf numFmtId="164" fontId="9" fillId="2" borderId="5" xfId="0" applyNumberFormat="1" applyFont="1" applyFill="1" applyBorder="1" applyAlignment="1" applyProtection="1">
      <alignment horizontal="center" vertical="center"/>
      <protection hidden="1"/>
    </xf>
    <xf numFmtId="1" fontId="8" fillId="2" borderId="5" xfId="0" applyNumberFormat="1" applyFont="1" applyFill="1" applyBorder="1" applyAlignment="1" applyProtection="1">
      <alignment horizontal="center" vertical="center"/>
      <protection hidden="1"/>
    </xf>
    <xf numFmtId="0" fontId="1" fillId="2" borderId="0" xfId="0" applyFont="1" applyFill="1" applyAlignment="1" applyProtection="1">
      <alignment horizontal="center" vertical="center"/>
      <protection hidden="1"/>
    </xf>
    <xf numFmtId="0" fontId="9" fillId="2" borderId="5" xfId="0" applyFont="1" applyFill="1" applyBorder="1" applyAlignment="1" applyProtection="1">
      <alignment horizontal="center" vertical="center"/>
      <protection hidden="1"/>
    </xf>
    <xf numFmtId="0" fontId="8" fillId="2" borderId="5" xfId="0" applyFont="1" applyFill="1" applyBorder="1" applyAlignment="1" applyProtection="1">
      <alignment horizontal="center" vertical="center"/>
      <protection hidden="1"/>
    </xf>
    <xf numFmtId="164" fontId="8" fillId="2" borderId="5" xfId="0" applyNumberFormat="1" applyFont="1" applyFill="1" applyBorder="1" applyAlignment="1" applyProtection="1">
      <alignment horizontal="center" vertical="center"/>
      <protection hidden="1"/>
    </xf>
    <xf numFmtId="10" fontId="8" fillId="2" borderId="5" xfId="0" applyNumberFormat="1" applyFont="1" applyFill="1" applyBorder="1" applyAlignment="1" applyProtection="1">
      <alignment horizontal="center" vertical="center"/>
      <protection hidden="1"/>
    </xf>
    <xf numFmtId="0" fontId="2" fillId="2" borderId="0" xfId="0" applyFont="1" applyFill="1" applyAlignment="1" applyProtection="1">
      <alignment horizontal="left"/>
      <protection locked="0"/>
    </xf>
    <xf numFmtId="2" fontId="1" fillId="2" borderId="5" xfId="0" applyNumberFormat="1" applyFont="1" applyFill="1" applyBorder="1" applyAlignment="1" applyProtection="1">
      <alignment horizontal="center" vertical="center"/>
      <protection hidden="1"/>
    </xf>
    <xf numFmtId="0" fontId="1" fillId="2" borderId="5" xfId="0" applyFont="1" applyFill="1" applyBorder="1" applyAlignment="1" applyProtection="1">
      <alignment horizontal="center" vertical="center"/>
      <protection hidden="1"/>
    </xf>
    <xf numFmtId="0" fontId="2" fillId="2" borderId="8" xfId="0" applyFont="1" applyFill="1" applyBorder="1" applyAlignment="1" applyProtection="1">
      <alignment horizontal="center"/>
      <protection hidden="1"/>
    </xf>
    <xf numFmtId="0" fontId="1" fillId="2" borderId="8" xfId="0" applyFont="1" applyFill="1" applyBorder="1" applyAlignment="1" applyProtection="1">
      <alignment horizontal="center" vertical="center"/>
      <protection locked="0"/>
    </xf>
    <xf numFmtId="0" fontId="1" fillId="2" borderId="9" xfId="0" applyFont="1" applyFill="1" applyBorder="1" applyAlignment="1" applyProtection="1">
      <alignment horizontal="center" vertical="center"/>
      <protection locked="0"/>
    </xf>
    <xf numFmtId="1" fontId="1" fillId="4" borderId="9" xfId="0" applyNumberFormat="1" applyFont="1" applyFill="1" applyBorder="1" applyAlignment="1" applyProtection="1">
      <alignment horizontal="center" vertical="center"/>
      <protection hidden="1"/>
    </xf>
    <xf numFmtId="2" fontId="2" fillId="4" borderId="9" xfId="0" applyNumberFormat="1" applyFont="1" applyFill="1" applyBorder="1" applyAlignment="1" applyProtection="1">
      <alignment horizontal="center" vertical="center"/>
      <protection hidden="1"/>
    </xf>
    <xf numFmtId="2" fontId="2" fillId="4" borderId="27" xfId="0" applyNumberFormat="1" applyFont="1" applyFill="1" applyBorder="1" applyAlignment="1" applyProtection="1">
      <alignment horizontal="center" vertical="center"/>
      <protection hidden="1"/>
    </xf>
    <xf numFmtId="2" fontId="2" fillId="4" borderId="28" xfId="0" applyNumberFormat="1" applyFont="1" applyFill="1" applyBorder="1" applyAlignment="1" applyProtection="1">
      <alignment horizontal="center" vertical="center"/>
      <protection hidden="1"/>
    </xf>
    <xf numFmtId="1" fontId="2" fillId="4" borderId="29" xfId="0" applyNumberFormat="1" applyFont="1" applyFill="1" applyBorder="1" applyAlignment="1" applyProtection="1">
      <alignment horizontal="center" vertical="center"/>
      <protection hidden="1"/>
    </xf>
    <xf numFmtId="0" fontId="2" fillId="4" borderId="30" xfId="0" applyFont="1" applyFill="1" applyBorder="1" applyAlignment="1" applyProtection="1">
      <alignment horizontal="center" vertical="center"/>
      <protection hidden="1"/>
    </xf>
    <xf numFmtId="0" fontId="1" fillId="4" borderId="31" xfId="0" applyFont="1" applyFill="1" applyBorder="1" applyAlignment="1" applyProtection="1">
      <alignment horizontal="center" vertical="center"/>
      <protection locked="0"/>
    </xf>
    <xf numFmtId="0" fontId="1" fillId="4" borderId="32" xfId="0" applyFont="1" applyFill="1" applyBorder="1" applyAlignment="1" applyProtection="1">
      <alignment horizontal="center" vertical="center"/>
      <protection locked="0"/>
    </xf>
    <xf numFmtId="0" fontId="1" fillId="4" borderId="32" xfId="0" applyFont="1" applyFill="1" applyBorder="1" applyAlignment="1" applyProtection="1">
      <alignment horizontal="center" vertical="center"/>
      <protection hidden="1"/>
    </xf>
    <xf numFmtId="0" fontId="1" fillId="4" borderId="33" xfId="0" applyFont="1" applyFill="1" applyBorder="1" applyAlignment="1" applyProtection="1">
      <alignment horizontal="center" vertical="center"/>
      <protection hidden="1"/>
    </xf>
    <xf numFmtId="2" fontId="2" fillId="4" borderId="32" xfId="0" applyNumberFormat="1" applyFont="1" applyFill="1" applyBorder="1" applyAlignment="1" applyProtection="1">
      <alignment horizontal="center" vertical="center"/>
      <protection hidden="1"/>
    </xf>
    <xf numFmtId="2" fontId="2" fillId="4" borderId="33" xfId="0" applyNumberFormat="1" applyFont="1" applyFill="1" applyBorder="1" applyAlignment="1" applyProtection="1">
      <alignment horizontal="center" vertical="center"/>
      <protection hidden="1"/>
    </xf>
    <xf numFmtId="2" fontId="2" fillId="4" borderId="34" xfId="0" applyNumberFormat="1" applyFont="1" applyFill="1" applyBorder="1" applyAlignment="1" applyProtection="1">
      <alignment horizontal="center" vertical="center"/>
      <protection hidden="1"/>
    </xf>
    <xf numFmtId="1" fontId="2" fillId="4" borderId="35" xfId="0" applyNumberFormat="1" applyFont="1" applyFill="1" applyBorder="1" applyAlignment="1" applyProtection="1">
      <alignment horizontal="center" vertical="center"/>
      <protection hidden="1"/>
    </xf>
    <xf numFmtId="0" fontId="2" fillId="4" borderId="36" xfId="0" applyFont="1" applyFill="1" applyBorder="1" applyAlignment="1" applyProtection="1">
      <alignment horizontal="center" vertical="center"/>
      <protection hidden="1"/>
    </xf>
    <xf numFmtId="164" fontId="10" fillId="2" borderId="0" xfId="0" applyNumberFormat="1" applyFont="1" applyFill="1" applyAlignment="1" applyProtection="1">
      <alignment vertical="center"/>
      <protection hidden="1"/>
    </xf>
    <xf numFmtId="0" fontId="7" fillId="2" borderId="0" xfId="0" applyFont="1" applyFill="1" applyAlignment="1" applyProtection="1">
      <alignment vertical="top" wrapText="1"/>
      <protection locked="0"/>
    </xf>
    <xf numFmtId="0" fontId="11" fillId="2" borderId="0" xfId="0" applyFont="1" applyFill="1" applyAlignment="1" applyProtection="1">
      <alignment vertical="top" wrapText="1"/>
      <protection hidden="1"/>
    </xf>
    <xf numFmtId="0" fontId="11" fillId="2" borderId="0" xfId="0" applyFont="1" applyFill="1" applyAlignment="1" applyProtection="1">
      <alignment vertical="top" wrapText="1"/>
      <protection locked="0"/>
    </xf>
    <xf numFmtId="164" fontId="1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right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vertical="center"/>
      <protection locked="0"/>
    </xf>
    <xf numFmtId="2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 textRotation="90" wrapText="1"/>
      <protection locked="0"/>
    </xf>
    <xf numFmtId="2" fontId="2" fillId="2" borderId="0" xfId="0" applyNumberFormat="1" applyFont="1" applyFill="1" applyAlignment="1" applyProtection="1">
      <alignment horizontal="center" vertical="center" textRotation="90" wrapText="1"/>
      <protection locked="0"/>
    </xf>
    <xf numFmtId="2" fontId="2" fillId="2" borderId="0" xfId="0" applyNumberFormat="1" applyFont="1" applyFill="1" applyAlignment="1" applyProtection="1">
      <alignment horizontal="left" vertical="center" textRotation="90" wrapText="1"/>
      <protection locked="0"/>
    </xf>
    <xf numFmtId="9" fontId="2" fillId="2" borderId="0" xfId="0" applyNumberFormat="1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 shrinkToFit="1"/>
      <protection locked="0"/>
    </xf>
    <xf numFmtId="1" fontId="2" fillId="2" borderId="0" xfId="0" applyNumberFormat="1" applyFont="1" applyFill="1" applyAlignment="1" applyProtection="1">
      <alignment horizontal="center"/>
      <protection locked="0"/>
    </xf>
    <xf numFmtId="0" fontId="2" fillId="3" borderId="37" xfId="0" applyFont="1" applyFill="1" applyBorder="1" applyAlignment="1" applyProtection="1">
      <alignment horizontal="center" shrinkToFit="1"/>
      <protection hidden="1"/>
    </xf>
    <xf numFmtId="0" fontId="2" fillId="3" borderId="1" xfId="0" applyFont="1" applyFill="1" applyBorder="1" applyAlignment="1" applyProtection="1">
      <alignment vertical="center" shrinkToFit="1"/>
      <protection hidden="1"/>
    </xf>
    <xf numFmtId="164" fontId="12" fillId="2" borderId="38" xfId="0" applyNumberFormat="1" applyFont="1" applyFill="1" applyBorder="1" applyAlignment="1" applyProtection="1">
      <alignment horizontal="left" vertical="center" wrapText="1"/>
      <protection hidden="1"/>
    </xf>
    <xf numFmtId="164" fontId="12" fillId="2" borderId="39" xfId="0" applyNumberFormat="1" applyFont="1" applyFill="1" applyBorder="1" applyAlignment="1" applyProtection="1">
      <alignment horizontal="left" vertical="center" wrapText="1"/>
      <protection hidden="1"/>
    </xf>
    <xf numFmtId="164" fontId="12" fillId="2" borderId="40" xfId="0" applyNumberFormat="1" applyFont="1" applyFill="1" applyBorder="1" applyAlignment="1" applyProtection="1">
      <alignment horizontal="left" vertical="center" wrapText="1"/>
      <protection hidden="1"/>
    </xf>
    <xf numFmtId="0" fontId="2" fillId="3" borderId="41" xfId="0" applyFont="1" applyFill="1" applyBorder="1" applyAlignment="1" applyProtection="1">
      <alignment vertical="center" shrinkToFit="1"/>
      <protection hidden="1"/>
    </xf>
    <xf numFmtId="164" fontId="1" fillId="2" borderId="23" xfId="0" applyNumberFormat="1" applyFont="1" applyFill="1" applyBorder="1" applyAlignment="1" applyProtection="1">
      <alignment horizontal="left" vertical="center"/>
      <protection hidden="1"/>
    </xf>
    <xf numFmtId="164" fontId="1" fillId="2" borderId="42" xfId="0" applyNumberFormat="1" applyFont="1" applyFill="1" applyBorder="1" applyAlignment="1" applyProtection="1">
      <alignment horizontal="left" vertical="center"/>
      <protection hidden="1"/>
    </xf>
    <xf numFmtId="164" fontId="12" fillId="2" borderId="43" xfId="0" applyNumberFormat="1" applyFont="1" applyFill="1" applyBorder="1" applyAlignment="1" applyProtection="1">
      <alignment horizontal="left" vertical="center" wrapText="1"/>
      <protection hidden="1"/>
    </xf>
    <xf numFmtId="0" fontId="13" fillId="5" borderId="5" xfId="0" applyFont="1" applyFill="1" applyBorder="1" applyAlignment="1">
      <alignment horizontal="left" vertical="center" wrapText="1" indent="1"/>
    </xf>
    <xf numFmtId="0" fontId="14" fillId="2" borderId="0" xfId="0" applyFont="1" applyFill="1"/>
    <xf numFmtId="0" fontId="14" fillId="2" borderId="0" xfId="0" applyFont="1" applyFill="1" applyAlignment="1">
      <alignment horizontal="center" vertical="center"/>
    </xf>
    <xf numFmtId="0" fontId="15" fillId="2" borderId="44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4" fillId="2" borderId="45" xfId="0" applyFont="1" applyFill="1" applyBorder="1" applyAlignment="1">
      <alignment horizontal="center" vertical="center"/>
    </xf>
    <xf numFmtId="9" fontId="14" fillId="2" borderId="5" xfId="0" applyNumberFormat="1" applyFont="1" applyFill="1" applyBorder="1" applyAlignment="1">
      <alignment horizontal="center" vertical="center"/>
    </xf>
    <xf numFmtId="9" fontId="14" fillId="2" borderId="6" xfId="0" applyNumberFormat="1" applyFont="1" applyFill="1" applyBorder="1" applyAlignment="1">
      <alignment horizontal="center" vertical="center"/>
    </xf>
    <xf numFmtId="0" fontId="8" fillId="5" borderId="5" xfId="0" applyFont="1" applyFill="1" applyBorder="1" applyAlignment="1" applyProtection="1">
      <alignment horizontal="center" vertical="center"/>
      <protection locked="0"/>
    </xf>
    <xf numFmtId="0" fontId="8" fillId="6" borderId="5" xfId="0" applyFont="1" applyFill="1" applyBorder="1" applyAlignment="1" applyProtection="1">
      <alignment horizontal="center" vertical="center"/>
      <protection locked="0"/>
    </xf>
    <xf numFmtId="0" fontId="14" fillId="7" borderId="5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/>
    </xf>
    <xf numFmtId="0" fontId="14" fillId="2" borderId="46" xfId="0" applyFont="1" applyFill="1" applyBorder="1" applyAlignment="1">
      <alignment horizontal="center" vertical="center"/>
    </xf>
    <xf numFmtId="9" fontId="14" fillId="2" borderId="13" xfId="0" applyNumberFormat="1" applyFont="1" applyFill="1" applyBorder="1" applyAlignment="1">
      <alignment horizontal="center" vertical="center"/>
    </xf>
    <xf numFmtId="9" fontId="14" fillId="2" borderId="47" xfId="0" applyNumberFormat="1" applyFont="1" applyFill="1" applyBorder="1" applyAlignment="1">
      <alignment horizontal="center" vertical="center"/>
    </xf>
    <xf numFmtId="0" fontId="8" fillId="2" borderId="0" xfId="0" applyFont="1" applyFill="1" applyProtection="1"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9" fillId="2" borderId="0" xfId="0" applyFont="1" applyFill="1" applyProtection="1">
      <protection locked="0"/>
    </xf>
    <xf numFmtId="0" fontId="9" fillId="2" borderId="0" xfId="0" applyFont="1" applyFill="1" applyAlignment="1" applyProtection="1">
      <alignment wrapText="1"/>
      <protection locked="0"/>
    </xf>
    <xf numFmtId="9" fontId="8" fillId="2" borderId="0" xfId="0" applyNumberFormat="1" applyFont="1" applyFill="1" applyProtection="1">
      <protection locked="0"/>
    </xf>
    <xf numFmtId="9" fontId="8" fillId="2" borderId="0" xfId="0" applyNumberFormat="1" applyFont="1" applyFill="1" applyProtection="1">
      <protection hidden="1"/>
    </xf>
    <xf numFmtId="165" fontId="8" fillId="2" borderId="0" xfId="0" applyNumberFormat="1" applyFont="1" applyFill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right" vertical="center"/>
      <protection hidden="1"/>
    </xf>
    <xf numFmtId="0" fontId="1" fillId="2" borderId="24" xfId="0" applyFont="1" applyFill="1" applyBorder="1" applyAlignment="1" applyProtection="1">
      <alignment horizontal="center" vertical="center"/>
      <protection locked="0"/>
    </xf>
    <xf numFmtId="0" fontId="1" fillId="2" borderId="45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4" borderId="48" xfId="0" applyFont="1" applyFill="1" applyBorder="1" applyAlignment="1" applyProtection="1">
      <alignment horizontal="center" vertical="center"/>
      <protection locked="0"/>
    </xf>
    <xf numFmtId="0" fontId="1" fillId="4" borderId="49" xfId="0" applyFont="1" applyFill="1" applyBorder="1" applyAlignment="1" applyProtection="1">
      <alignment horizontal="center" vertical="center"/>
      <protection locked="0"/>
    </xf>
    <xf numFmtId="164" fontId="1" fillId="2" borderId="3" xfId="0" applyNumberFormat="1" applyFont="1" applyFill="1" applyBorder="1" applyAlignment="1" applyProtection="1">
      <alignment horizontal="left"/>
      <protection hidden="1"/>
    </xf>
    <xf numFmtId="0" fontId="2" fillId="2" borderId="40" xfId="0" applyFont="1" applyFill="1" applyBorder="1" applyAlignment="1" applyProtection="1">
      <alignment horizontal="center" shrinkToFit="1"/>
      <protection hidden="1"/>
    </xf>
    <xf numFmtId="0" fontId="2" fillId="2" borderId="43" xfId="0" applyFont="1" applyFill="1" applyBorder="1" applyAlignment="1" applyProtection="1">
      <alignment horizontal="center"/>
      <protection hidden="1"/>
    </xf>
    <xf numFmtId="0" fontId="8" fillId="2" borderId="1" xfId="0" applyFont="1" applyFill="1" applyBorder="1" applyAlignment="1" applyProtection="1">
      <alignment horizontal="left" vertical="center"/>
      <protection hidden="1"/>
    </xf>
    <xf numFmtId="0" fontId="2" fillId="2" borderId="1" xfId="0" applyFont="1" applyFill="1" applyBorder="1" applyAlignment="1" applyProtection="1">
      <alignment vertical="center"/>
      <protection hidden="1"/>
    </xf>
    <xf numFmtId="0" fontId="2" fillId="2" borderId="37" xfId="0" applyFont="1" applyFill="1" applyBorder="1" applyAlignment="1" applyProtection="1">
      <alignment vertical="center"/>
      <protection hidden="1"/>
    </xf>
    <xf numFmtId="164" fontId="8" fillId="2" borderId="0" xfId="0" applyNumberFormat="1" applyFont="1" applyFill="1" applyAlignment="1" applyProtection="1">
      <alignment horizontal="center" vertical="center"/>
      <protection hidden="1"/>
    </xf>
    <xf numFmtId="0" fontId="2" fillId="2" borderId="5" xfId="0" applyFont="1" applyFill="1" applyBorder="1" applyAlignment="1" applyProtection="1">
      <alignment horizontal="center" shrinkToFit="1"/>
      <protection hidden="1"/>
    </xf>
    <xf numFmtId="0" fontId="2" fillId="2" borderId="12" xfId="0" applyFont="1" applyFill="1" applyBorder="1" applyAlignment="1" applyProtection="1">
      <alignment horizontal="center" shrinkToFit="1"/>
      <protection hidden="1"/>
    </xf>
    <xf numFmtId="0" fontId="16" fillId="9" borderId="5" xfId="0" applyFont="1" applyFill="1" applyBorder="1" applyAlignment="1" applyProtection="1">
      <alignment horizontal="center" shrinkToFit="1"/>
      <protection locked="0"/>
    </xf>
    <xf numFmtId="0" fontId="17" fillId="9" borderId="5" xfId="0" applyFont="1" applyFill="1" applyBorder="1" applyAlignment="1">
      <alignment horizontal="center" shrinkToFit="1"/>
    </xf>
    <xf numFmtId="2" fontId="16" fillId="9" borderId="5" xfId="0" applyNumberFormat="1" applyFont="1" applyFill="1" applyBorder="1" applyAlignment="1">
      <alignment horizontal="center" shrinkToFit="1"/>
    </xf>
    <xf numFmtId="0" fontId="0" fillId="2" borderId="36" xfId="0" applyFill="1" applyBorder="1" applyProtection="1">
      <protection hidden="1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 shrinkToFit="1"/>
      <protection locked="0"/>
    </xf>
    <xf numFmtId="2" fontId="17" fillId="9" borderId="3" xfId="0" applyNumberFormat="1" applyFont="1" applyFill="1" applyBorder="1" applyAlignment="1">
      <alignment horizontal="center" shrinkToFit="1"/>
    </xf>
    <xf numFmtId="1" fontId="16" fillId="9" borderId="3" xfId="0" applyNumberFormat="1" applyFont="1" applyFill="1" applyBorder="1" applyAlignment="1">
      <alignment horizontal="center" shrinkToFit="1"/>
    </xf>
    <xf numFmtId="0" fontId="18" fillId="10" borderId="3" xfId="0" applyFont="1" applyFill="1" applyBorder="1" applyAlignment="1" applyProtection="1">
      <alignment horizontal="center" vertical="center"/>
      <protection locked="0"/>
    </xf>
    <xf numFmtId="0" fontId="2" fillId="4" borderId="34" xfId="0" applyFont="1" applyFill="1" applyBorder="1" applyAlignment="1" applyProtection="1">
      <alignment horizontal="center" shrinkToFit="1"/>
      <protection hidden="1"/>
    </xf>
    <xf numFmtId="0" fontId="16" fillId="9" borderId="3" xfId="0" applyFont="1" applyFill="1" applyBorder="1" applyAlignment="1" applyProtection="1">
      <alignment horizontal="center" shrinkToFit="1"/>
      <protection locked="0"/>
    </xf>
    <xf numFmtId="0" fontId="0" fillId="2" borderId="0" xfId="0" applyFill="1" applyProtection="1">
      <protection hidden="1"/>
    </xf>
    <xf numFmtId="0" fontId="0" fillId="2" borderId="50" xfId="0" applyFill="1" applyBorder="1" applyProtection="1">
      <protection hidden="1"/>
    </xf>
    <xf numFmtId="164" fontId="4" fillId="3" borderId="31" xfId="0" applyNumberFormat="1" applyFont="1" applyFill="1" applyBorder="1" applyAlignment="1" applyProtection="1">
      <alignment horizontal="center" vertical="center"/>
      <protection hidden="1"/>
    </xf>
    <xf numFmtId="164" fontId="4" fillId="11" borderId="31" xfId="0" applyNumberFormat="1" applyFont="1" applyFill="1" applyBorder="1" applyAlignment="1" applyProtection="1">
      <alignment horizontal="center" vertical="center"/>
      <protection hidden="1"/>
    </xf>
    <xf numFmtId="0" fontId="2" fillId="3" borderId="0" xfId="0" applyFont="1" applyFill="1" applyAlignment="1" applyProtection="1">
      <alignment vertical="center" shrinkToFit="1"/>
      <protection hidden="1"/>
    </xf>
    <xf numFmtId="0" fontId="19" fillId="10" borderId="25" xfId="0" applyFont="1" applyFill="1" applyBorder="1" applyAlignment="1">
      <alignment horizontal="center"/>
    </xf>
    <xf numFmtId="0" fontId="4" fillId="11" borderId="34" xfId="0" applyFont="1" applyFill="1" applyBorder="1" applyAlignment="1" applyProtection="1">
      <alignment horizontal="center" vertical="center"/>
      <protection hidden="1"/>
    </xf>
    <xf numFmtId="0" fontId="19" fillId="10" borderId="35" xfId="0" applyFont="1" applyFill="1" applyBorder="1" applyAlignment="1">
      <alignment horizontal="center"/>
    </xf>
    <xf numFmtId="164" fontId="6" fillId="2" borderId="42" xfId="0" applyNumberFormat="1" applyFont="1" applyFill="1" applyBorder="1" applyAlignment="1" applyProtection="1">
      <alignment horizontal="left" vertical="center"/>
      <protection hidden="1"/>
    </xf>
    <xf numFmtId="164" fontId="1" fillId="2" borderId="51" xfId="0" applyNumberFormat="1" applyFont="1" applyFill="1" applyBorder="1" applyAlignment="1" applyProtection="1">
      <alignment horizontal="left" vertical="center"/>
      <protection hidden="1"/>
    </xf>
    <xf numFmtId="0" fontId="2" fillId="2" borderId="25" xfId="0" applyFont="1" applyFill="1" applyBorder="1" applyAlignment="1" applyProtection="1">
      <alignment horizontal="center" vertical="center"/>
      <protection hidden="1"/>
    </xf>
    <xf numFmtId="0" fontId="2" fillId="2" borderId="16" xfId="0" applyFont="1" applyFill="1" applyBorder="1" applyAlignment="1" applyProtection="1">
      <alignment horizontal="center" vertical="center"/>
      <protection hidden="1"/>
    </xf>
    <xf numFmtId="0" fontId="2" fillId="3" borderId="52" xfId="0" applyFont="1" applyFill="1" applyBorder="1" applyAlignment="1" applyProtection="1">
      <alignment horizontal="center" vertical="center" shrinkToFit="1"/>
      <protection hidden="1"/>
    </xf>
    <xf numFmtId="0" fontId="2" fillId="2" borderId="29" xfId="0" applyFont="1" applyFill="1" applyBorder="1" applyAlignment="1" applyProtection="1">
      <alignment horizontal="center" vertical="center"/>
      <protection hidden="1"/>
    </xf>
    <xf numFmtId="164" fontId="1" fillId="2" borderId="27" xfId="0" applyNumberFormat="1" applyFont="1" applyFill="1" applyBorder="1" applyAlignment="1" applyProtection="1">
      <alignment horizontal="left"/>
      <protection hidden="1"/>
    </xf>
    <xf numFmtId="0" fontId="20" fillId="12" borderId="25" xfId="0" applyFont="1" applyFill="1" applyBorder="1" applyAlignment="1">
      <alignment horizontal="center"/>
    </xf>
    <xf numFmtId="164" fontId="12" fillId="2" borderId="0" xfId="0" applyNumberFormat="1" applyFont="1" applyFill="1" applyAlignment="1" applyProtection="1">
      <alignment horizontal="left" vertical="center" wrapText="1"/>
      <protection hidden="1"/>
    </xf>
    <xf numFmtId="0" fontId="21" fillId="12" borderId="53" xfId="0" applyFont="1" applyFill="1" applyBorder="1" applyAlignment="1">
      <alignment vertical="center"/>
    </xf>
    <xf numFmtId="164" fontId="5" fillId="2" borderId="0" xfId="0" applyNumberFormat="1" applyFont="1" applyFill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0" fontId="22" fillId="12" borderId="25" xfId="0" applyFont="1" applyFill="1" applyBorder="1"/>
    <xf numFmtId="0" fontId="1" fillId="2" borderId="54" xfId="0" applyFont="1" applyFill="1" applyBorder="1" applyAlignment="1" applyProtection="1">
      <alignment horizontal="center" vertical="center"/>
      <protection locked="0"/>
    </xf>
    <xf numFmtId="0" fontId="1" fillId="2" borderId="55" xfId="0" applyFont="1" applyFill="1" applyBorder="1" applyAlignment="1" applyProtection="1">
      <alignment horizontal="center" vertical="center"/>
      <protection locked="0"/>
    </xf>
    <xf numFmtId="0" fontId="1" fillId="2" borderId="32" xfId="0" applyFont="1" applyFill="1" applyBorder="1" applyAlignment="1" applyProtection="1">
      <alignment horizontal="center" vertical="center"/>
      <protection locked="0"/>
    </xf>
    <xf numFmtId="1" fontId="1" fillId="4" borderId="32" xfId="0" applyNumberFormat="1" applyFont="1" applyFill="1" applyBorder="1" applyAlignment="1" applyProtection="1">
      <alignment horizontal="center" vertical="center"/>
      <protection hidden="1"/>
    </xf>
    <xf numFmtId="0" fontId="1" fillId="2" borderId="31" xfId="0" applyFont="1" applyFill="1" applyBorder="1" applyAlignment="1" applyProtection="1">
      <alignment horizontal="center" vertical="center"/>
      <protection locked="0"/>
    </xf>
    <xf numFmtId="0" fontId="2" fillId="2" borderId="31" xfId="0" applyFont="1" applyFill="1" applyBorder="1" applyAlignment="1" applyProtection="1">
      <alignment horizontal="center" shrinkToFit="1"/>
      <protection hidden="1"/>
    </xf>
    <xf numFmtId="0" fontId="2" fillId="2" borderId="0" xfId="0" applyFont="1" applyFill="1" applyAlignment="1" applyProtection="1">
      <alignment horizontal="center" shrinkToFit="1"/>
      <protection hidden="1"/>
    </xf>
    <xf numFmtId="0" fontId="2" fillId="2" borderId="3" xfId="0" applyFont="1" applyFill="1" applyBorder="1" applyAlignment="1" applyProtection="1">
      <alignment horizontal="center" shrinkToFit="1"/>
      <protection hidden="1"/>
    </xf>
    <xf numFmtId="1" fontId="1" fillId="4" borderId="55" xfId="0" applyNumberFormat="1" applyFont="1" applyFill="1" applyBorder="1" applyAlignment="1" applyProtection="1">
      <alignment horizontal="center" vertical="center"/>
      <protection hidden="1"/>
    </xf>
    <xf numFmtId="2" fontId="2" fillId="4" borderId="55" xfId="0" applyNumberFormat="1" applyFont="1" applyFill="1" applyBorder="1" applyAlignment="1" applyProtection="1">
      <alignment horizontal="center" vertical="center"/>
      <protection hidden="1"/>
    </xf>
    <xf numFmtId="2" fontId="2" fillId="4" borderId="56" xfId="0" applyNumberFormat="1" applyFont="1" applyFill="1" applyBorder="1" applyAlignment="1" applyProtection="1">
      <alignment horizontal="center" vertical="center"/>
      <protection hidden="1"/>
    </xf>
    <xf numFmtId="2" fontId="2" fillId="4" borderId="57" xfId="0" applyNumberFormat="1" applyFont="1" applyFill="1" applyBorder="1" applyAlignment="1" applyProtection="1">
      <alignment horizontal="center" vertical="center"/>
      <protection hidden="1"/>
    </xf>
    <xf numFmtId="1" fontId="2" fillId="4" borderId="58" xfId="0" applyNumberFormat="1" applyFont="1" applyFill="1" applyBorder="1" applyAlignment="1" applyProtection="1">
      <alignment horizontal="center" vertical="center"/>
      <protection hidden="1"/>
    </xf>
    <xf numFmtId="0" fontId="2" fillId="4" borderId="51" xfId="0" applyFont="1" applyFill="1" applyBorder="1" applyAlignment="1" applyProtection="1">
      <alignment horizontal="center" vertical="center"/>
      <protection hidden="1"/>
    </xf>
    <xf numFmtId="2" fontId="2" fillId="4" borderId="58" xfId="0" applyNumberFormat="1" applyFont="1" applyFill="1" applyBorder="1" applyAlignment="1" applyProtection="1">
      <alignment horizontal="center" vertical="center"/>
      <protection hidden="1"/>
    </xf>
    <xf numFmtId="2" fontId="2" fillId="4" borderId="25" xfId="0" applyNumberFormat="1" applyFont="1" applyFill="1" applyBorder="1" applyAlignment="1" applyProtection="1">
      <alignment horizontal="center" vertical="center"/>
      <protection hidden="1"/>
    </xf>
    <xf numFmtId="0" fontId="19" fillId="12" borderId="25" xfId="0" applyFont="1" applyFill="1" applyBorder="1" applyAlignment="1">
      <alignment horizontal="center"/>
    </xf>
    <xf numFmtId="0" fontId="19" fillId="12" borderId="16" xfId="0" applyFont="1" applyFill="1" applyBorder="1" applyAlignment="1">
      <alignment horizontal="center"/>
    </xf>
    <xf numFmtId="0" fontId="19" fillId="10" borderId="53" xfId="0" applyFont="1" applyFill="1" applyBorder="1" applyAlignment="1">
      <alignment horizontal="center"/>
    </xf>
    <xf numFmtId="0" fontId="2" fillId="3" borderId="5" xfId="0" applyFont="1" applyFill="1" applyBorder="1" applyAlignment="1" applyProtection="1">
      <alignment horizontal="center" vertical="center" shrinkToFit="1"/>
      <protection hidden="1"/>
    </xf>
    <xf numFmtId="0" fontId="2" fillId="3" borderId="5" xfId="0" applyFont="1" applyFill="1" applyBorder="1" applyAlignment="1" applyProtection="1">
      <alignment vertical="center" shrinkToFit="1"/>
      <protection hidden="1"/>
    </xf>
    <xf numFmtId="0" fontId="2" fillId="3" borderId="7" xfId="0" applyFont="1" applyFill="1" applyBorder="1" applyAlignment="1" applyProtection="1">
      <alignment horizontal="center" shrinkToFit="1"/>
      <protection hidden="1"/>
    </xf>
    <xf numFmtId="0" fontId="2" fillId="2" borderId="45" xfId="0" applyFont="1" applyFill="1" applyBorder="1" applyAlignment="1" applyProtection="1">
      <alignment horizontal="center"/>
      <protection locked="0"/>
    </xf>
    <xf numFmtId="0" fontId="19" fillId="12" borderId="35" xfId="0" applyFont="1" applyFill="1" applyBorder="1" applyAlignment="1">
      <alignment horizontal="center"/>
    </xf>
    <xf numFmtId="0" fontId="19" fillId="10" borderId="36" xfId="0" applyFont="1" applyFill="1" applyBorder="1" applyAlignment="1">
      <alignment horizontal="center"/>
    </xf>
    <xf numFmtId="0" fontId="22" fillId="12" borderId="53" xfId="0" applyFont="1" applyFill="1" applyBorder="1"/>
    <xf numFmtId="0" fontId="2" fillId="2" borderId="59" xfId="0" applyFont="1" applyFill="1" applyBorder="1" applyAlignment="1" applyProtection="1">
      <alignment horizontal="center"/>
      <protection locked="0"/>
    </xf>
    <xf numFmtId="164" fontId="1" fillId="2" borderId="9" xfId="0" applyNumberFormat="1" applyFont="1" applyFill="1" applyBorder="1" applyAlignment="1" applyProtection="1">
      <alignment horizontal="left"/>
      <protection locked="0"/>
    </xf>
    <xf numFmtId="0" fontId="2" fillId="3" borderId="45" xfId="0" applyFont="1" applyFill="1" applyBorder="1" applyAlignment="1" applyProtection="1">
      <alignment horizontal="center" shrinkToFit="1"/>
      <protection hidden="1"/>
    </xf>
    <xf numFmtId="0" fontId="3" fillId="2" borderId="19" xfId="0" applyFont="1" applyFill="1" applyBorder="1" applyAlignment="1" applyProtection="1">
      <alignment vertical="center" wrapText="1"/>
      <protection hidden="1"/>
    </xf>
    <xf numFmtId="0" fontId="2" fillId="4" borderId="8" xfId="0" applyFont="1" applyFill="1" applyBorder="1" applyAlignment="1" applyProtection="1">
      <alignment horizontal="center" shrinkToFit="1"/>
      <protection hidden="1"/>
    </xf>
    <xf numFmtId="0" fontId="8" fillId="2" borderId="38" xfId="0" applyFont="1" applyFill="1" applyBorder="1" applyAlignment="1" applyProtection="1">
      <alignment horizontal="center"/>
      <protection locked="0"/>
    </xf>
    <xf numFmtId="0" fontId="0" fillId="2" borderId="38" xfId="0" applyFill="1" applyBorder="1" applyProtection="1">
      <protection locked="0"/>
    </xf>
    <xf numFmtId="0" fontId="2" fillId="3" borderId="6" xfId="0" applyFont="1" applyFill="1" applyBorder="1" applyAlignment="1" applyProtection="1">
      <alignment horizontal="left" vertical="center" shrinkToFit="1"/>
      <protection locked="0"/>
    </xf>
    <xf numFmtId="0" fontId="2" fillId="3" borderId="45" xfId="0" applyFont="1" applyFill="1" applyBorder="1" applyAlignment="1" applyProtection="1">
      <alignment horizontal="left" vertical="center" shrinkToFit="1"/>
      <protection locked="0"/>
    </xf>
    <xf numFmtId="0" fontId="5" fillId="4" borderId="18" xfId="0" applyFont="1" applyFill="1" applyBorder="1" applyAlignment="1" applyProtection="1">
      <alignment horizontal="center" vertical="center" wrapText="1"/>
      <protection hidden="1"/>
    </xf>
    <xf numFmtId="0" fontId="0" fillId="2" borderId="19" xfId="0" applyFill="1" applyBorder="1" applyProtection="1">
      <protection hidden="1"/>
    </xf>
    <xf numFmtId="9" fontId="5" fillId="4" borderId="19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20" xfId="0" applyFill="1" applyBorder="1" applyProtection="1">
      <protection hidden="1"/>
    </xf>
    <xf numFmtId="0" fontId="5" fillId="4" borderId="7" xfId="0" applyFont="1" applyFill="1" applyBorder="1" applyAlignment="1" applyProtection="1">
      <alignment horizontal="center" vertical="center" wrapText="1"/>
      <protection hidden="1"/>
    </xf>
    <xf numFmtId="0" fontId="5" fillId="4" borderId="5" xfId="0" applyFont="1" applyFill="1" applyBorder="1" applyAlignment="1" applyProtection="1">
      <alignment horizontal="center" vertical="center" wrapText="1"/>
      <protection hidden="1"/>
    </xf>
    <xf numFmtId="9" fontId="5" fillId="4" borderId="5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5" xfId="0" applyFill="1" applyBorder="1" applyProtection="1">
      <protection hidden="1"/>
    </xf>
    <xf numFmtId="0" fontId="0" fillId="2" borderId="11" xfId="0" applyFill="1" applyBorder="1" applyProtection="1">
      <protection hidden="1"/>
    </xf>
    <xf numFmtId="0" fontId="5" fillId="2" borderId="0" xfId="0" applyFont="1" applyFill="1" applyAlignment="1" applyProtection="1">
      <alignment horizontal="right" vertical="center"/>
      <protection locked="0"/>
    </xf>
    <xf numFmtId="0" fontId="0" fillId="2" borderId="0" xfId="0" applyFill="1" applyProtection="1">
      <protection locked="0"/>
    </xf>
    <xf numFmtId="164" fontId="5" fillId="2" borderId="6" xfId="0" applyNumberFormat="1" applyFont="1" applyFill="1" applyBorder="1" applyAlignment="1" applyProtection="1">
      <alignment horizontal="right" vertical="center"/>
      <protection hidden="1"/>
    </xf>
    <xf numFmtId="0" fontId="0" fillId="2" borderId="39" xfId="0" applyFill="1" applyBorder="1" applyProtection="1">
      <protection hidden="1"/>
    </xf>
    <xf numFmtId="0" fontId="0" fillId="2" borderId="45" xfId="0" applyFill="1" applyBorder="1" applyProtection="1">
      <protection hidden="1"/>
    </xf>
    <xf numFmtId="0" fontId="5" fillId="2" borderId="0" xfId="0" applyFont="1" applyFill="1" applyAlignment="1" applyProtection="1">
      <alignment horizontal="center" vertical="center" wrapText="1"/>
      <protection locked="0"/>
    </xf>
    <xf numFmtId="2" fontId="2" fillId="2" borderId="0" xfId="0" applyNumberFormat="1" applyFont="1" applyFill="1" applyAlignment="1" applyProtection="1">
      <alignment horizontal="center" vertical="center" wrapText="1"/>
      <protection locked="0"/>
    </xf>
    <xf numFmtId="0" fontId="2" fillId="2" borderId="68" xfId="0" applyFont="1" applyFill="1" applyBorder="1" applyAlignment="1" applyProtection="1">
      <alignment horizontal="center" shrinkToFit="1"/>
      <protection locked="0"/>
    </xf>
    <xf numFmtId="0" fontId="2" fillId="2" borderId="38" xfId="0" applyFont="1" applyFill="1" applyBorder="1" applyAlignment="1" applyProtection="1">
      <alignment horizontal="center" shrinkToFit="1"/>
      <protection locked="0"/>
    </xf>
    <xf numFmtId="0" fontId="2" fillId="2" borderId="44" xfId="0" applyFont="1" applyFill="1" applyBorder="1" applyAlignment="1" applyProtection="1">
      <alignment horizontal="center" shrinkToFit="1"/>
      <protection locked="0"/>
    </xf>
    <xf numFmtId="164" fontId="9" fillId="2" borderId="1" xfId="0" applyNumberFormat="1" applyFont="1" applyFill="1" applyBorder="1" applyAlignment="1" applyProtection="1">
      <alignment horizontal="center" vertical="center"/>
      <protection hidden="1"/>
    </xf>
    <xf numFmtId="0" fontId="0" fillId="2" borderId="1" xfId="0" applyFill="1" applyBorder="1" applyAlignment="1" applyProtection="1">
      <alignment horizontal="center"/>
      <protection hidden="1"/>
    </xf>
    <xf numFmtId="164" fontId="8" fillId="2" borderId="41" xfId="0" applyNumberFormat="1" applyFont="1" applyFill="1" applyBorder="1" applyAlignment="1" applyProtection="1">
      <alignment horizontal="center" vertical="center"/>
      <protection locked="0"/>
    </xf>
    <xf numFmtId="0" fontId="0" fillId="2" borderId="41" xfId="0" applyFill="1" applyBorder="1" applyProtection="1">
      <protection hidden="1"/>
    </xf>
    <xf numFmtId="0" fontId="5" fillId="13" borderId="0" xfId="0" applyFont="1" applyFill="1" applyAlignment="1" applyProtection="1">
      <alignment horizontal="center" vertical="center" wrapText="1"/>
      <protection hidden="1"/>
    </xf>
    <xf numFmtId="9" fontId="5" fillId="13" borderId="0" xfId="0" applyNumberFormat="1" applyFont="1" applyFill="1" applyAlignment="1" applyProtection="1">
      <alignment horizontal="center" vertical="center" wrapText="1"/>
      <protection hidden="1"/>
    </xf>
    <xf numFmtId="164" fontId="4" fillId="2" borderId="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5" xfId="0" applyFill="1" applyBorder="1" applyProtection="1">
      <protection locked="0"/>
    </xf>
    <xf numFmtId="0" fontId="5" fillId="4" borderId="15" xfId="0" applyFont="1" applyFill="1" applyBorder="1" applyAlignment="1" applyProtection="1">
      <alignment horizontal="center" vertical="center" wrapText="1"/>
      <protection hidden="1"/>
    </xf>
    <xf numFmtId="0" fontId="5" fillId="4" borderId="40" xfId="0" applyFont="1" applyFill="1" applyBorder="1" applyAlignment="1" applyProtection="1">
      <alignment horizontal="center" vertical="center" wrapText="1"/>
      <protection hidden="1"/>
    </xf>
    <xf numFmtId="0" fontId="5" fillId="4" borderId="46" xfId="0" applyFont="1" applyFill="1" applyBorder="1" applyAlignment="1" applyProtection="1">
      <alignment horizontal="center" vertical="center" wrapText="1"/>
      <protection hidden="1"/>
    </xf>
    <xf numFmtId="0" fontId="5" fillId="4" borderId="34" xfId="0" applyFont="1" applyFill="1" applyBorder="1" applyAlignment="1" applyProtection="1">
      <alignment horizontal="center" vertical="center" wrapText="1"/>
      <protection hidden="1"/>
    </xf>
    <xf numFmtId="0" fontId="5" fillId="4" borderId="0" xfId="0" applyFont="1" applyFill="1" applyAlignment="1" applyProtection="1">
      <alignment horizontal="center" vertical="center" wrapText="1"/>
      <protection hidden="1"/>
    </xf>
    <xf numFmtId="0" fontId="5" fillId="4" borderId="50" xfId="0" applyFont="1" applyFill="1" applyBorder="1" applyAlignment="1" applyProtection="1">
      <alignment horizontal="center" vertical="center" wrapText="1"/>
      <protection hidden="1"/>
    </xf>
    <xf numFmtId="0" fontId="5" fillId="4" borderId="68" xfId="0" applyFont="1" applyFill="1" applyBorder="1" applyAlignment="1" applyProtection="1">
      <alignment horizontal="center" vertical="center" wrapText="1"/>
      <protection hidden="1"/>
    </xf>
    <xf numFmtId="0" fontId="5" fillId="4" borderId="38" xfId="0" applyFont="1" applyFill="1" applyBorder="1" applyAlignment="1" applyProtection="1">
      <alignment horizontal="center" vertical="center" wrapText="1"/>
      <protection hidden="1"/>
    </xf>
    <xf numFmtId="0" fontId="5" fillId="4" borderId="44" xfId="0" applyFont="1" applyFill="1" applyBorder="1" applyAlignment="1" applyProtection="1">
      <alignment horizontal="center" vertical="center" wrapText="1"/>
      <protection hidden="1"/>
    </xf>
    <xf numFmtId="9" fontId="5" fillId="4" borderId="47" xfId="0" applyNumberFormat="1" applyFont="1" applyFill="1" applyBorder="1" applyAlignment="1" applyProtection="1">
      <alignment horizontal="center" vertical="center" wrapText="1"/>
      <protection hidden="1"/>
    </xf>
    <xf numFmtId="9" fontId="5" fillId="4" borderId="40" xfId="0" applyNumberFormat="1" applyFont="1" applyFill="1" applyBorder="1" applyAlignment="1" applyProtection="1">
      <alignment horizontal="center" vertical="center" wrapText="1"/>
      <protection hidden="1"/>
    </xf>
    <xf numFmtId="9" fontId="5" fillId="4" borderId="17" xfId="0" applyNumberFormat="1" applyFont="1" applyFill="1" applyBorder="1" applyAlignment="1" applyProtection="1">
      <alignment horizontal="center" vertical="center" wrapText="1"/>
      <protection hidden="1"/>
    </xf>
    <xf numFmtId="9" fontId="5" fillId="4" borderId="66" xfId="0" applyNumberFormat="1" applyFont="1" applyFill="1" applyBorder="1" applyAlignment="1" applyProtection="1">
      <alignment horizontal="center" vertical="center" wrapText="1"/>
      <protection hidden="1"/>
    </xf>
    <xf numFmtId="9" fontId="5" fillId="4" borderId="0" xfId="0" applyNumberFormat="1" applyFont="1" applyFill="1" applyAlignment="1" applyProtection="1">
      <alignment horizontal="center" vertical="center" wrapText="1"/>
      <protection hidden="1"/>
    </xf>
    <xf numFmtId="9" fontId="5" fillId="4" borderId="36" xfId="0" applyNumberFormat="1" applyFont="1" applyFill="1" applyBorder="1" applyAlignment="1" applyProtection="1">
      <alignment horizontal="center" vertical="center" wrapText="1"/>
      <protection hidden="1"/>
    </xf>
    <xf numFmtId="9" fontId="5" fillId="4" borderId="4" xfId="0" applyNumberFormat="1" applyFont="1" applyFill="1" applyBorder="1" applyAlignment="1" applyProtection="1">
      <alignment horizontal="center" vertical="center" wrapText="1"/>
      <protection hidden="1"/>
    </xf>
    <xf numFmtId="9" fontId="5" fillId="4" borderId="38" xfId="0" applyNumberFormat="1" applyFont="1" applyFill="1" applyBorder="1" applyAlignment="1" applyProtection="1">
      <alignment horizontal="center" vertical="center" wrapText="1"/>
      <protection hidden="1"/>
    </xf>
    <xf numFmtId="9" fontId="5" fillId="4" borderId="42" xfId="0" applyNumberFormat="1" applyFont="1" applyFill="1" applyBorder="1" applyAlignment="1" applyProtection="1">
      <alignment horizontal="center" vertical="center" wrapText="1"/>
      <protection hidden="1"/>
    </xf>
    <xf numFmtId="0" fontId="23" fillId="12" borderId="35" xfId="0" applyFont="1" applyFill="1" applyBorder="1" applyAlignment="1">
      <alignment horizontal="center" vertical="center"/>
    </xf>
    <xf numFmtId="0" fontId="23" fillId="12" borderId="53" xfId="0" applyFont="1" applyFill="1" applyBorder="1" applyAlignment="1">
      <alignment horizontal="center" vertical="center"/>
    </xf>
    <xf numFmtId="0" fontId="24" fillId="10" borderId="51" xfId="0" applyFont="1" applyFill="1" applyBorder="1" applyAlignment="1">
      <alignment horizontal="center"/>
    </xf>
    <xf numFmtId="0" fontId="24" fillId="10" borderId="1" xfId="0" applyFont="1" applyFill="1" applyBorder="1" applyAlignment="1">
      <alignment horizontal="center"/>
    </xf>
    <xf numFmtId="0" fontId="24" fillId="10" borderId="41" xfId="0" applyFont="1" applyFill="1" applyBorder="1" applyAlignment="1">
      <alignment horizontal="center"/>
    </xf>
    <xf numFmtId="0" fontId="7" fillId="2" borderId="0" xfId="0" applyFont="1" applyFill="1" applyAlignment="1" applyProtection="1">
      <alignment horizontal="center" vertical="top" wrapText="1"/>
      <protection locked="0"/>
    </xf>
    <xf numFmtId="164" fontId="5" fillId="2" borderId="0" xfId="0" applyNumberFormat="1" applyFont="1" applyFill="1" applyAlignment="1" applyProtection="1">
      <alignment horizontal="right" vertical="center"/>
      <protection hidden="1"/>
    </xf>
    <xf numFmtId="0" fontId="0" fillId="2" borderId="0" xfId="0" applyFill="1" applyProtection="1">
      <protection hidden="1"/>
    </xf>
    <xf numFmtId="0" fontId="0" fillId="2" borderId="39" xfId="0" applyFill="1" applyBorder="1" applyProtection="1">
      <protection locked="0"/>
    </xf>
    <xf numFmtId="0" fontId="8" fillId="2" borderId="41" xfId="0" applyFont="1" applyFill="1" applyBorder="1" applyAlignment="1" applyProtection="1">
      <alignment horizontal="left" vertical="center"/>
      <protection locked="0"/>
    </xf>
    <xf numFmtId="0" fontId="0" fillId="2" borderId="1" xfId="0" applyFill="1" applyBorder="1" applyProtection="1">
      <protection locked="0"/>
    </xf>
    <xf numFmtId="0" fontId="0" fillId="2" borderId="41" xfId="0" applyFill="1" applyBorder="1" applyProtection="1">
      <protection locked="0"/>
    </xf>
    <xf numFmtId="0" fontId="11" fillId="2" borderId="0" xfId="0" applyFont="1" applyFill="1" applyAlignment="1" applyProtection="1">
      <alignment horizontal="center" vertical="top" wrapText="1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67" xfId="0" applyFont="1" applyFill="1" applyBorder="1" applyAlignment="1" applyProtection="1">
      <alignment horizontal="center" vertical="center"/>
      <protection locked="0"/>
    </xf>
    <xf numFmtId="0" fontId="0" fillId="2" borderId="67" xfId="0" applyFill="1" applyBorder="1" applyProtection="1">
      <protection locked="0"/>
    </xf>
    <xf numFmtId="164" fontId="4" fillId="2" borderId="5" xfId="0" applyNumberFormat="1" applyFont="1" applyFill="1" applyBorder="1" applyAlignment="1" applyProtection="1">
      <alignment horizontal="center" vertical="center"/>
      <protection locked="0"/>
    </xf>
    <xf numFmtId="0" fontId="9" fillId="2" borderId="37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164" fontId="8" fillId="2" borderId="41" xfId="0" applyNumberFormat="1" applyFont="1" applyFill="1" applyBorder="1" applyAlignment="1" applyProtection="1">
      <alignment horizontal="left" vertical="center"/>
      <protection locked="0"/>
    </xf>
    <xf numFmtId="2" fontId="2" fillId="4" borderId="60" xfId="0" applyNumberFormat="1" applyFont="1" applyFill="1" applyBorder="1" applyAlignment="1" applyProtection="1">
      <alignment horizontal="center" vertical="center" wrapText="1"/>
      <protection hidden="1"/>
    </xf>
    <xf numFmtId="2" fontId="2" fillId="4" borderId="35" xfId="0" applyNumberFormat="1" applyFont="1" applyFill="1" applyBorder="1" applyAlignment="1" applyProtection="1">
      <alignment horizontal="center" vertical="center" wrapText="1"/>
      <protection hidden="1"/>
    </xf>
    <xf numFmtId="2" fontId="2" fillId="4" borderId="58" xfId="0" applyNumberFormat="1" applyFont="1" applyFill="1" applyBorder="1" applyAlignment="1" applyProtection="1">
      <alignment horizontal="center" vertical="center" wrapText="1"/>
      <protection hidden="1"/>
    </xf>
    <xf numFmtId="164" fontId="4" fillId="2" borderId="6" xfId="0" applyNumberFormat="1" applyFont="1" applyFill="1" applyBorder="1" applyAlignment="1" applyProtection="1">
      <alignment horizontal="center" vertical="center" shrinkToFit="1"/>
      <protection hidden="1"/>
    </xf>
    <xf numFmtId="164" fontId="4" fillId="2" borderId="39" xfId="0" applyNumberFormat="1" applyFont="1" applyFill="1" applyBorder="1" applyAlignment="1" applyProtection="1">
      <alignment horizontal="center" vertical="center" shrinkToFit="1"/>
      <protection hidden="1"/>
    </xf>
    <xf numFmtId="164" fontId="4" fillId="2" borderId="45" xfId="0" applyNumberFormat="1" applyFont="1" applyFill="1" applyBorder="1" applyAlignment="1" applyProtection="1">
      <alignment horizontal="center" vertical="center" shrinkToFit="1"/>
      <protection hidden="1"/>
    </xf>
    <xf numFmtId="164" fontId="5" fillId="2" borderId="45" xfId="0" applyNumberFormat="1" applyFont="1" applyFill="1" applyBorder="1" applyAlignment="1" applyProtection="1">
      <alignment horizontal="right" vertical="center"/>
      <protection hidden="1"/>
    </xf>
    <xf numFmtId="164" fontId="4" fillId="2" borderId="6" xfId="0" applyNumberFormat="1" applyFont="1" applyFill="1" applyBorder="1" applyAlignment="1" applyProtection="1">
      <alignment horizontal="center" vertical="center"/>
      <protection hidden="1"/>
    </xf>
    <xf numFmtId="164" fontId="4" fillId="2" borderId="39" xfId="0" applyNumberFormat="1" applyFont="1" applyFill="1" applyBorder="1" applyAlignment="1" applyProtection="1">
      <alignment horizontal="center" vertical="center"/>
      <protection hidden="1"/>
    </xf>
    <xf numFmtId="164" fontId="4" fillId="2" borderId="45" xfId="0" applyNumberFormat="1" applyFont="1" applyFill="1" applyBorder="1" applyAlignment="1" applyProtection="1">
      <alignment horizontal="center" vertical="center"/>
      <protection hidden="1"/>
    </xf>
    <xf numFmtId="164" fontId="5" fillId="2" borderId="66" xfId="0" applyNumberFormat="1" applyFont="1" applyFill="1" applyBorder="1" applyAlignment="1" applyProtection="1">
      <alignment horizontal="right" vertical="center"/>
      <protection hidden="1"/>
    </xf>
    <xf numFmtId="164" fontId="5" fillId="2" borderId="50" xfId="0" applyNumberFormat="1" applyFont="1" applyFill="1" applyBorder="1" applyAlignment="1" applyProtection="1">
      <alignment horizontal="right" vertical="center"/>
      <protection hidden="1"/>
    </xf>
    <xf numFmtId="0" fontId="8" fillId="2" borderId="1" xfId="0" applyFont="1" applyFill="1" applyBorder="1" applyAlignment="1" applyProtection="1">
      <alignment horizontal="center" vertical="center"/>
      <protection hidden="1"/>
    </xf>
    <xf numFmtId="0" fontId="8" fillId="2" borderId="41" xfId="0" applyFont="1" applyFill="1" applyBorder="1" applyAlignment="1" applyProtection="1">
      <alignment horizontal="center" vertical="center"/>
      <protection hidden="1"/>
    </xf>
    <xf numFmtId="164" fontId="9" fillId="2" borderId="37" xfId="0" applyNumberFormat="1" applyFont="1" applyFill="1" applyBorder="1" applyAlignment="1" applyProtection="1">
      <alignment horizontal="center" vertical="center"/>
      <protection hidden="1"/>
    </xf>
    <xf numFmtId="164" fontId="8" fillId="2" borderId="1" xfId="0" applyNumberFormat="1" applyFont="1" applyFill="1" applyBorder="1" applyAlignment="1" applyProtection="1">
      <alignment horizontal="center" vertical="center"/>
      <protection hidden="1"/>
    </xf>
    <xf numFmtId="164" fontId="8" fillId="2" borderId="41" xfId="0" applyNumberFormat="1" applyFont="1" applyFill="1" applyBorder="1" applyAlignment="1" applyProtection="1">
      <alignment horizontal="center" vertical="center"/>
      <protection hidden="1"/>
    </xf>
    <xf numFmtId="10" fontId="5" fillId="4" borderId="21" xfId="0" applyNumberFormat="1" applyFont="1" applyFill="1" applyBorder="1" applyAlignment="1" applyProtection="1">
      <alignment horizontal="center" vertical="center" wrapText="1"/>
      <protection hidden="1"/>
    </xf>
    <xf numFmtId="10" fontId="5" fillId="4" borderId="65" xfId="0" applyNumberFormat="1" applyFont="1" applyFill="1" applyBorder="1" applyAlignment="1" applyProtection="1">
      <alignment horizontal="center" vertical="center" wrapText="1"/>
      <protection hidden="1"/>
    </xf>
    <xf numFmtId="10" fontId="5" fillId="4" borderId="23" xfId="0" applyNumberFormat="1" applyFont="1" applyFill="1" applyBorder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vertical="top" wrapText="1"/>
      <protection hidden="1"/>
    </xf>
    <xf numFmtId="0" fontId="11" fillId="2" borderId="0" xfId="0" applyFont="1" applyFill="1" applyAlignment="1" applyProtection="1">
      <alignment horizontal="center" vertical="top" wrapText="1"/>
      <protection hidden="1"/>
    </xf>
    <xf numFmtId="164" fontId="5" fillId="2" borderId="4" xfId="0" applyNumberFormat="1" applyFont="1" applyFill="1" applyBorder="1" applyAlignment="1" applyProtection="1">
      <alignment horizontal="right" vertical="center"/>
      <protection hidden="1"/>
    </xf>
    <xf numFmtId="164" fontId="5" fillId="2" borderId="38" xfId="0" applyNumberFormat="1" applyFont="1" applyFill="1" applyBorder="1" applyAlignment="1" applyProtection="1">
      <alignment horizontal="right" vertical="center"/>
      <protection hidden="1"/>
    </xf>
    <xf numFmtId="164" fontId="5" fillId="2" borderId="44" xfId="0" applyNumberFormat="1" applyFont="1" applyFill="1" applyBorder="1" applyAlignment="1" applyProtection="1">
      <alignment horizontal="right" vertical="center"/>
      <protection hidden="1"/>
    </xf>
    <xf numFmtId="0" fontId="2" fillId="4" borderId="37" xfId="0" applyFont="1" applyFill="1" applyBorder="1" applyAlignment="1" applyProtection="1">
      <alignment horizontal="left" vertical="center" shrinkToFit="1"/>
      <protection hidden="1"/>
    </xf>
    <xf numFmtId="0" fontId="2" fillId="4" borderId="41" xfId="0" applyFont="1" applyFill="1" applyBorder="1" applyAlignment="1" applyProtection="1">
      <alignment horizontal="left" vertical="center" shrinkToFit="1"/>
      <protection hidden="1"/>
    </xf>
    <xf numFmtId="0" fontId="2" fillId="2" borderId="37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41" xfId="0" applyFont="1" applyFill="1" applyBorder="1" applyAlignment="1" applyProtection="1">
      <alignment horizontal="center" vertical="center"/>
      <protection locked="0"/>
    </xf>
    <xf numFmtId="0" fontId="2" fillId="2" borderId="24" xfId="0" applyFont="1" applyFill="1" applyBorder="1" applyAlignment="1" applyProtection="1">
      <alignment horizontal="center" shrinkToFit="1"/>
      <protection hidden="1"/>
    </xf>
    <xf numFmtId="0" fontId="2" fillId="2" borderId="39" xfId="0" applyFont="1" applyFill="1" applyBorder="1" applyAlignment="1" applyProtection="1">
      <alignment horizontal="center" shrinkToFit="1"/>
      <protection hidden="1"/>
    </xf>
    <xf numFmtId="0" fontId="2" fillId="2" borderId="26" xfId="0" applyFont="1" applyFill="1" applyBorder="1" applyAlignment="1" applyProtection="1">
      <alignment horizontal="center" shrinkToFit="1"/>
      <protection hidden="1"/>
    </xf>
    <xf numFmtId="0" fontId="2" fillId="4" borderId="10" xfId="0" applyFont="1" applyFill="1" applyBorder="1" applyAlignment="1" applyProtection="1">
      <alignment horizontal="left" vertical="center" shrinkToFit="1"/>
      <protection hidden="1"/>
    </xf>
    <xf numFmtId="0" fontId="2" fillId="4" borderId="30" xfId="0" applyFont="1" applyFill="1" applyBorder="1" applyAlignment="1" applyProtection="1">
      <alignment horizontal="left" vertical="center" shrinkToFit="1"/>
      <protection hidden="1"/>
    </xf>
    <xf numFmtId="0" fontId="2" fillId="2" borderId="61" xfId="0" applyFont="1" applyFill="1" applyBorder="1" applyAlignment="1" applyProtection="1">
      <alignment horizontal="center" vertical="center" textRotation="90" shrinkToFit="1"/>
      <protection hidden="1"/>
    </xf>
    <xf numFmtId="0" fontId="2" fillId="2" borderId="2" xfId="0" applyFont="1" applyFill="1" applyBorder="1" applyAlignment="1" applyProtection="1">
      <alignment horizontal="center" vertical="center" textRotation="90" shrinkToFit="1"/>
      <protection hidden="1"/>
    </xf>
    <xf numFmtId="0" fontId="3" fillId="2" borderId="62" xfId="0" applyFont="1" applyFill="1" applyBorder="1" applyAlignment="1" applyProtection="1">
      <alignment horizontal="center" vertical="center" wrapText="1"/>
      <protection hidden="1"/>
    </xf>
    <xf numFmtId="0" fontId="3" fillId="2" borderId="3" xfId="0" applyFont="1" applyFill="1" applyBorder="1" applyAlignment="1" applyProtection="1">
      <alignment horizontal="center" vertical="center" wrapText="1"/>
      <protection hidden="1"/>
    </xf>
    <xf numFmtId="0" fontId="3" fillId="2" borderId="63" xfId="0" applyFont="1" applyFill="1" applyBorder="1" applyAlignment="1" applyProtection="1">
      <alignment horizontal="center" vertical="center" wrapText="1"/>
      <protection hidden="1"/>
    </xf>
    <xf numFmtId="0" fontId="3" fillId="2" borderId="64" xfId="0" applyFont="1" applyFill="1" applyBorder="1" applyAlignment="1" applyProtection="1">
      <alignment horizontal="center" vertical="center" wrapText="1"/>
      <protection hidden="1"/>
    </xf>
    <xf numFmtId="9" fontId="5" fillId="4" borderId="21" xfId="0" applyNumberFormat="1" applyFont="1" applyFill="1" applyBorder="1" applyAlignment="1" applyProtection="1">
      <alignment horizontal="center" vertical="center" wrapText="1"/>
      <protection hidden="1"/>
    </xf>
    <xf numFmtId="9" fontId="5" fillId="4" borderId="65" xfId="0" applyNumberFormat="1" applyFont="1" applyFill="1" applyBorder="1" applyAlignment="1" applyProtection="1">
      <alignment horizontal="center" vertical="center" wrapText="1"/>
      <protection hidden="1"/>
    </xf>
    <xf numFmtId="9" fontId="5" fillId="4" borderId="23" xfId="0" applyNumberFormat="1" applyFont="1" applyFill="1" applyBorder="1" applyAlignment="1" applyProtection="1">
      <alignment horizontal="center" vertical="center" wrapText="1"/>
      <protection hidden="1"/>
    </xf>
    <xf numFmtId="0" fontId="21" fillId="12" borderId="68" xfId="0" applyFont="1" applyFill="1" applyBorder="1" applyAlignment="1">
      <alignment horizontal="center" vertical="center"/>
    </xf>
    <xf numFmtId="0" fontId="21" fillId="12" borderId="38" xfId="0" applyFont="1" applyFill="1" applyBorder="1" applyAlignment="1">
      <alignment horizontal="center" vertical="center"/>
    </xf>
    <xf numFmtId="0" fontId="21" fillId="12" borderId="42" xfId="0" applyFont="1" applyFill="1" applyBorder="1" applyAlignment="1">
      <alignment horizontal="center" vertical="center"/>
    </xf>
    <xf numFmtId="0" fontId="23" fillId="12" borderId="57" xfId="0" applyFont="1" applyFill="1" applyBorder="1" applyAlignment="1">
      <alignment horizontal="center" vertical="center"/>
    </xf>
    <xf numFmtId="0" fontId="23" fillId="12" borderId="71" xfId="0" applyFont="1" applyFill="1" applyBorder="1" applyAlignment="1">
      <alignment horizontal="center" vertical="center"/>
    </xf>
    <xf numFmtId="0" fontId="23" fillId="12" borderId="51" xfId="0" applyFont="1" applyFill="1" applyBorder="1" applyAlignment="1">
      <alignment horizontal="center" vertical="center"/>
    </xf>
    <xf numFmtId="0" fontId="21" fillId="12" borderId="21" xfId="0" applyFont="1" applyFill="1" applyBorder="1" applyAlignment="1">
      <alignment horizontal="center" vertical="center"/>
    </xf>
    <xf numFmtId="0" fontId="21" fillId="12" borderId="65" xfId="0" applyFont="1" applyFill="1" applyBorder="1" applyAlignment="1">
      <alignment horizontal="center" vertical="center"/>
    </xf>
    <xf numFmtId="0" fontId="21" fillId="12" borderId="23" xfId="0" applyFont="1" applyFill="1" applyBorder="1" applyAlignment="1">
      <alignment horizontal="center" vertical="center"/>
    </xf>
    <xf numFmtId="164" fontId="4" fillId="2" borderId="7" xfId="0" applyNumberFormat="1" applyFont="1" applyFill="1" applyBorder="1" applyAlignment="1" applyProtection="1">
      <alignment horizontal="center" vertical="center"/>
      <protection hidden="1"/>
    </xf>
    <xf numFmtId="164" fontId="5" fillId="2" borderId="45" xfId="0" applyNumberFormat="1" applyFont="1" applyFill="1" applyBorder="1" applyAlignment="1" applyProtection="1">
      <alignment horizontal="center" vertical="center"/>
      <protection hidden="1"/>
    </xf>
    <xf numFmtId="0" fontId="4" fillId="2" borderId="7" xfId="0" applyFont="1" applyFill="1" applyBorder="1" applyAlignment="1" applyProtection="1">
      <alignment horizontal="center" vertical="center"/>
      <protection hidden="1"/>
    </xf>
    <xf numFmtId="0" fontId="0" fillId="2" borderId="26" xfId="0" applyFill="1" applyBorder="1" applyProtection="1">
      <protection hidden="1"/>
    </xf>
    <xf numFmtId="164" fontId="4" fillId="2" borderId="8" xfId="0" applyNumberFormat="1" applyFont="1" applyFill="1" applyBorder="1" applyAlignment="1" applyProtection="1">
      <alignment horizontal="center" vertical="center"/>
      <protection hidden="1"/>
    </xf>
    <xf numFmtId="0" fontId="0" fillId="2" borderId="9" xfId="0" applyFill="1" applyBorder="1" applyProtection="1">
      <protection hidden="1"/>
    </xf>
    <xf numFmtId="0" fontId="0" fillId="2" borderId="27" xfId="0" applyFill="1" applyBorder="1" applyProtection="1">
      <protection hidden="1"/>
    </xf>
    <xf numFmtId="164" fontId="5" fillId="2" borderId="59" xfId="0" applyNumberFormat="1" applyFont="1" applyFill="1" applyBorder="1" applyAlignment="1" applyProtection="1">
      <alignment horizontal="center" vertical="center"/>
      <protection hidden="1"/>
    </xf>
    <xf numFmtId="0" fontId="0" fillId="2" borderId="43" xfId="0" applyFill="1" applyBorder="1" applyProtection="1">
      <protection hidden="1"/>
    </xf>
    <xf numFmtId="0" fontId="0" fillId="2" borderId="59" xfId="0" applyFill="1" applyBorder="1" applyProtection="1">
      <protection hidden="1"/>
    </xf>
    <xf numFmtId="0" fontId="4" fillId="2" borderId="8" xfId="0" applyFont="1" applyFill="1" applyBorder="1" applyAlignment="1" applyProtection="1">
      <alignment horizontal="center" vertical="center"/>
      <protection hidden="1"/>
    </xf>
    <xf numFmtId="0" fontId="0" fillId="2" borderId="30" xfId="0" applyFill="1" applyBorder="1" applyProtection="1">
      <protection hidden="1"/>
    </xf>
    <xf numFmtId="164" fontId="4" fillId="2" borderId="43" xfId="0" applyNumberFormat="1" applyFont="1" applyFill="1" applyBorder="1" applyAlignment="1" applyProtection="1">
      <alignment horizontal="center" vertical="center"/>
      <protection hidden="1"/>
    </xf>
    <xf numFmtId="164" fontId="4" fillId="2" borderId="30" xfId="0" applyNumberFormat="1" applyFont="1" applyFill="1" applyBorder="1" applyAlignment="1" applyProtection="1">
      <alignment horizontal="center" vertical="center"/>
      <protection hidden="1"/>
    </xf>
    <xf numFmtId="164" fontId="4" fillId="2" borderId="28" xfId="0" applyNumberFormat="1" applyFont="1" applyFill="1" applyBorder="1" applyAlignment="1" applyProtection="1">
      <alignment horizontal="center" vertical="center"/>
      <protection hidden="1"/>
    </xf>
    <xf numFmtId="164" fontId="5" fillId="2" borderId="28" xfId="0" applyNumberFormat="1" applyFont="1" applyFill="1" applyBorder="1" applyAlignment="1" applyProtection="1">
      <alignment horizontal="center" vertical="center"/>
      <protection hidden="1"/>
    </xf>
    <xf numFmtId="164" fontId="5" fillId="2" borderId="43" xfId="0" applyNumberFormat="1" applyFont="1" applyFill="1" applyBorder="1" applyAlignment="1" applyProtection="1">
      <alignment horizontal="center" vertical="center"/>
      <protection hidden="1"/>
    </xf>
    <xf numFmtId="164" fontId="5" fillId="2" borderId="30" xfId="0" applyNumberFormat="1" applyFont="1" applyFill="1" applyBorder="1" applyAlignment="1" applyProtection="1">
      <alignment horizontal="center" vertical="center"/>
      <protection hidden="1"/>
    </xf>
    <xf numFmtId="0" fontId="4" fillId="2" borderId="28" xfId="0" applyFont="1" applyFill="1" applyBorder="1" applyAlignment="1" applyProtection="1">
      <alignment horizontal="center" vertical="center"/>
      <protection hidden="1"/>
    </xf>
    <xf numFmtId="0" fontId="4" fillId="2" borderId="43" xfId="0" applyFont="1" applyFill="1" applyBorder="1" applyAlignment="1" applyProtection="1">
      <alignment horizontal="center" vertical="center"/>
      <protection hidden="1"/>
    </xf>
    <xf numFmtId="0" fontId="4" fillId="2" borderId="30" xfId="0" applyFont="1" applyFill="1" applyBorder="1" applyAlignment="1" applyProtection="1">
      <alignment horizontal="center" vertical="center"/>
      <protection hidden="1"/>
    </xf>
    <xf numFmtId="164" fontId="4" fillId="2" borderId="18" xfId="0" applyNumberFormat="1" applyFont="1" applyFill="1" applyBorder="1" applyAlignment="1" applyProtection="1">
      <alignment horizontal="center" vertical="center"/>
      <protection hidden="1"/>
    </xf>
    <xf numFmtId="164" fontId="4" fillId="2" borderId="65" xfId="0" applyNumberFormat="1" applyFont="1" applyFill="1" applyBorder="1" applyAlignment="1" applyProtection="1">
      <alignment horizontal="center" vertical="center"/>
      <protection hidden="1"/>
    </xf>
    <xf numFmtId="164" fontId="4" fillId="2" borderId="23" xfId="0" applyNumberFormat="1" applyFont="1" applyFill="1" applyBorder="1" applyAlignment="1" applyProtection="1">
      <alignment horizontal="center" vertical="center"/>
      <protection hidden="1"/>
    </xf>
    <xf numFmtId="164" fontId="4" fillId="2" borderId="21" xfId="0" applyNumberFormat="1" applyFont="1" applyFill="1" applyBorder="1" applyAlignment="1" applyProtection="1">
      <alignment horizontal="center" vertical="center"/>
      <protection hidden="1"/>
    </xf>
    <xf numFmtId="164" fontId="5" fillId="2" borderId="21" xfId="0" applyNumberFormat="1" applyFont="1" applyFill="1" applyBorder="1" applyAlignment="1" applyProtection="1">
      <alignment horizontal="center" vertical="center"/>
      <protection hidden="1"/>
    </xf>
    <xf numFmtId="164" fontId="5" fillId="2" borderId="65" xfId="0" applyNumberFormat="1" applyFont="1" applyFill="1" applyBorder="1" applyAlignment="1" applyProtection="1">
      <alignment horizontal="center" vertical="center"/>
      <protection hidden="1"/>
    </xf>
    <xf numFmtId="164" fontId="5" fillId="2" borderId="23" xfId="0" applyNumberFormat="1" applyFont="1" applyFill="1" applyBorder="1" applyAlignment="1" applyProtection="1">
      <alignment horizontal="center" vertical="center"/>
      <protection hidden="1"/>
    </xf>
    <xf numFmtId="0" fontId="4" fillId="2" borderId="21" xfId="0" applyFont="1" applyFill="1" applyBorder="1" applyAlignment="1" applyProtection="1">
      <alignment horizontal="center" vertical="center"/>
      <protection hidden="1"/>
    </xf>
    <xf numFmtId="0" fontId="4" fillId="2" borderId="65" xfId="0" applyFont="1" applyFill="1" applyBorder="1" applyAlignment="1" applyProtection="1">
      <alignment horizontal="center" vertical="center"/>
      <protection hidden="1"/>
    </xf>
    <xf numFmtId="0" fontId="4" fillId="2" borderId="23" xfId="0" applyFont="1" applyFill="1" applyBorder="1" applyAlignment="1" applyProtection="1">
      <alignment horizontal="center" vertical="center"/>
      <protection hidden="1"/>
    </xf>
    <xf numFmtId="0" fontId="2" fillId="3" borderId="35" xfId="0" applyFont="1" applyFill="1" applyBorder="1" applyAlignment="1" applyProtection="1">
      <alignment horizontal="center" shrinkToFit="1"/>
      <protection hidden="1"/>
    </xf>
    <xf numFmtId="0" fontId="0" fillId="2" borderId="36" xfId="0" applyFill="1" applyBorder="1" applyProtection="1">
      <protection hidden="1"/>
    </xf>
    <xf numFmtId="164" fontId="4" fillId="2" borderId="72" xfId="0" applyNumberFormat="1" applyFont="1" applyFill="1" applyBorder="1" applyAlignment="1" applyProtection="1">
      <alignment horizontal="center" vertical="center"/>
      <protection hidden="1"/>
    </xf>
    <xf numFmtId="164" fontId="5" fillId="2" borderId="72" xfId="0" applyNumberFormat="1" applyFont="1" applyFill="1" applyBorder="1" applyAlignment="1" applyProtection="1">
      <alignment horizontal="center" vertical="center"/>
      <protection hidden="1"/>
    </xf>
    <xf numFmtId="0" fontId="0" fillId="2" borderId="65" xfId="0" applyFill="1" applyBorder="1" applyProtection="1">
      <protection hidden="1"/>
    </xf>
    <xf numFmtId="0" fontId="0" fillId="2" borderId="72" xfId="0" applyFill="1" applyBorder="1" applyProtection="1">
      <protection hidden="1"/>
    </xf>
    <xf numFmtId="0" fontId="4" fillId="2" borderId="18" xfId="0" applyFont="1" applyFill="1" applyBorder="1" applyAlignment="1" applyProtection="1">
      <alignment horizontal="center" vertical="center"/>
      <protection hidden="1"/>
    </xf>
    <xf numFmtId="0" fontId="0" fillId="2" borderId="23" xfId="0" applyFill="1" applyBorder="1" applyProtection="1">
      <protection hidden="1"/>
    </xf>
    <xf numFmtId="0" fontId="3" fillId="2" borderId="50" xfId="0" applyFont="1" applyFill="1" applyBorder="1" applyAlignment="1" applyProtection="1">
      <alignment horizontal="right" vertical="center"/>
      <protection hidden="1"/>
    </xf>
    <xf numFmtId="0" fontId="0" fillId="2" borderId="50" xfId="0" applyFill="1" applyBorder="1" applyProtection="1">
      <protection hidden="1"/>
    </xf>
    <xf numFmtId="164" fontId="4" fillId="2" borderId="5" xfId="0" applyNumberFormat="1" applyFont="1" applyFill="1" applyBorder="1" applyAlignment="1" applyProtection="1">
      <alignment horizontal="center" vertical="center" shrinkToFit="1"/>
      <protection hidden="1"/>
    </xf>
    <xf numFmtId="164" fontId="3" fillId="2" borderId="44" xfId="0" applyNumberFormat="1" applyFont="1" applyFill="1" applyBorder="1" applyAlignment="1" applyProtection="1">
      <alignment horizontal="right" vertical="center"/>
      <protection hidden="1"/>
    </xf>
    <xf numFmtId="0" fontId="0" fillId="2" borderId="38" xfId="0" applyFill="1" applyBorder="1" applyProtection="1">
      <protection hidden="1"/>
    </xf>
    <xf numFmtId="0" fontId="0" fillId="2" borderId="44" xfId="0" applyFill="1" applyBorder="1" applyProtection="1">
      <protection hidden="1"/>
    </xf>
    <xf numFmtId="164" fontId="3" fillId="2" borderId="0" xfId="0" applyNumberFormat="1" applyFont="1" applyFill="1" applyAlignment="1" applyProtection="1">
      <alignment horizontal="right" vertical="center"/>
      <protection hidden="1"/>
    </xf>
    <xf numFmtId="164" fontId="4" fillId="2" borderId="0" xfId="0" applyNumberFormat="1" applyFont="1" applyFill="1" applyAlignment="1" applyProtection="1">
      <alignment horizontal="center" vertical="center"/>
      <protection hidden="1"/>
    </xf>
    <xf numFmtId="0" fontId="3" fillId="2" borderId="0" xfId="0" applyFont="1" applyFill="1" applyAlignment="1" applyProtection="1">
      <alignment horizontal="right" vertical="center"/>
      <protection hidden="1"/>
    </xf>
    <xf numFmtId="164" fontId="4" fillId="2" borderId="5" xfId="0" applyNumberFormat="1" applyFont="1" applyFill="1" applyBorder="1" applyAlignment="1" applyProtection="1">
      <alignment horizontal="center" vertical="center"/>
      <protection hidden="1"/>
    </xf>
    <xf numFmtId="0" fontId="2" fillId="2" borderId="52" xfId="0" applyFont="1" applyFill="1" applyBorder="1" applyAlignment="1" applyProtection="1">
      <alignment horizontal="center" vertical="center"/>
      <protection hidden="1"/>
    </xf>
    <xf numFmtId="0" fontId="0" fillId="2" borderId="35" xfId="0" applyFill="1" applyBorder="1" applyProtection="1">
      <protection hidden="1"/>
    </xf>
    <xf numFmtId="0" fontId="0" fillId="2" borderId="58" xfId="0" applyFill="1" applyBorder="1" applyProtection="1">
      <protection hidden="1"/>
    </xf>
    <xf numFmtId="0" fontId="3" fillId="2" borderId="41" xfId="0" applyFont="1" applyFill="1" applyBorder="1" applyAlignment="1" applyProtection="1">
      <alignment horizontal="center" vertical="center" shrinkToFit="1"/>
      <protection hidden="1"/>
    </xf>
    <xf numFmtId="0" fontId="0" fillId="2" borderId="69" xfId="0" applyFill="1" applyBorder="1" applyProtection="1">
      <protection hidden="1"/>
    </xf>
    <xf numFmtId="0" fontId="0" fillId="2" borderId="70" xfId="0" applyFill="1" applyBorder="1" applyProtection="1">
      <protection hidden="1"/>
    </xf>
    <xf numFmtId="0" fontId="0" fillId="2" borderId="71" xfId="0" applyFill="1" applyBorder="1" applyProtection="1">
      <protection hidden="1"/>
    </xf>
    <xf numFmtId="0" fontId="0" fillId="2" borderId="51" xfId="0" applyFill="1" applyBorder="1" applyProtection="1">
      <protection hidden="1"/>
    </xf>
    <xf numFmtId="0" fontId="2" fillId="2" borderId="37" xfId="0" applyFont="1" applyFill="1" applyBorder="1" applyAlignment="1" applyProtection="1">
      <alignment horizontal="right" vertical="center"/>
      <protection hidden="1"/>
    </xf>
    <xf numFmtId="0" fontId="0" fillId="2" borderId="1" xfId="0" applyFill="1" applyBorder="1" applyProtection="1">
      <protection hidden="1"/>
    </xf>
    <xf numFmtId="164" fontId="4" fillId="2" borderId="41" xfId="0" applyNumberFormat="1" applyFont="1" applyFill="1" applyBorder="1" applyAlignment="1" applyProtection="1">
      <alignment horizontal="center" vertical="center"/>
      <protection hidden="1"/>
    </xf>
    <xf numFmtId="164" fontId="2" fillId="2" borderId="37" xfId="0" applyNumberFormat="1" applyFont="1" applyFill="1" applyBorder="1" applyAlignment="1" applyProtection="1">
      <alignment horizontal="right" vertical="center"/>
      <protection hidden="1"/>
    </xf>
    <xf numFmtId="164" fontId="4" fillId="2" borderId="70" xfId="0" applyNumberFormat="1" applyFont="1" applyFill="1" applyBorder="1" applyAlignment="1" applyProtection="1">
      <alignment horizontal="center" vertical="center"/>
      <protection hidden="1"/>
    </xf>
    <xf numFmtId="164" fontId="5" fillId="2" borderId="52" xfId="0" applyNumberFormat="1" applyFont="1" applyFill="1" applyBorder="1" applyAlignment="1" applyProtection="1">
      <alignment horizontal="center" vertical="center"/>
      <protection hidden="1"/>
    </xf>
    <xf numFmtId="0" fontId="0" fillId="2" borderId="57" xfId="0" applyFill="1" applyBorder="1" applyProtection="1">
      <protection hidden="1"/>
    </xf>
    <xf numFmtId="0" fontId="5" fillId="2" borderId="52" xfId="0" applyFont="1" applyFill="1" applyBorder="1" applyAlignment="1" applyProtection="1">
      <alignment horizontal="center" vertical="center" shrinkToFit="1"/>
      <protection hidden="1"/>
    </xf>
    <xf numFmtId="164" fontId="4" fillId="3" borderId="15" xfId="0" applyNumberFormat="1" applyFont="1" applyFill="1" applyBorder="1" applyAlignment="1" applyProtection="1">
      <alignment horizontal="center" vertical="center"/>
      <protection hidden="1"/>
    </xf>
    <xf numFmtId="164" fontId="4" fillId="3" borderId="40" xfId="0" applyNumberFormat="1" applyFont="1" applyFill="1" applyBorder="1" applyAlignment="1" applyProtection="1">
      <alignment horizontal="center" vertical="center"/>
      <protection hidden="1"/>
    </xf>
    <xf numFmtId="164" fontId="4" fillId="3" borderId="17" xfId="0" applyNumberFormat="1" applyFont="1" applyFill="1" applyBorder="1" applyAlignment="1" applyProtection="1">
      <alignment horizontal="center" vertical="center"/>
      <protection hidden="1"/>
    </xf>
    <xf numFmtId="164" fontId="4" fillId="11" borderId="15" xfId="0" applyNumberFormat="1" applyFont="1" applyFill="1" applyBorder="1" applyAlignment="1" applyProtection="1">
      <alignment horizontal="center" vertical="center"/>
      <protection hidden="1"/>
    </xf>
    <xf numFmtId="164" fontId="4" fillId="11" borderId="40" xfId="0" applyNumberFormat="1" applyFont="1" applyFill="1" applyBorder="1" applyAlignment="1" applyProtection="1">
      <alignment horizontal="center" vertical="center"/>
      <protection hidden="1"/>
    </xf>
    <xf numFmtId="164" fontId="4" fillId="11" borderId="17" xfId="0" applyNumberFormat="1" applyFont="1" applyFill="1" applyBorder="1" applyAlignment="1" applyProtection="1">
      <alignment horizontal="center" vertical="center"/>
      <protection hidden="1"/>
    </xf>
    <xf numFmtId="164" fontId="4" fillId="3" borderId="24" xfId="0" applyNumberFormat="1" applyFont="1" applyFill="1" applyBorder="1" applyAlignment="1" applyProtection="1">
      <alignment horizontal="center" vertical="center"/>
      <protection hidden="1"/>
    </xf>
    <xf numFmtId="164" fontId="4" fillId="3" borderId="39" xfId="0" applyNumberFormat="1" applyFont="1" applyFill="1" applyBorder="1" applyAlignment="1" applyProtection="1">
      <alignment horizontal="center" vertical="center"/>
      <protection hidden="1"/>
    </xf>
    <xf numFmtId="164" fontId="4" fillId="3" borderId="26" xfId="0" applyNumberFormat="1" applyFont="1" applyFill="1" applyBorder="1" applyAlignment="1" applyProtection="1">
      <alignment horizontal="center" vertical="center"/>
      <protection hidden="1"/>
    </xf>
    <xf numFmtId="0" fontId="4" fillId="11" borderId="15" xfId="0" applyFont="1" applyFill="1" applyBorder="1" applyAlignment="1" applyProtection="1">
      <alignment horizontal="center" vertical="center"/>
      <protection hidden="1"/>
    </xf>
    <xf numFmtId="0" fontId="4" fillId="11" borderId="40" xfId="0" applyFont="1" applyFill="1" applyBorder="1" applyAlignment="1" applyProtection="1">
      <alignment horizontal="center" vertical="center"/>
      <protection hidden="1"/>
    </xf>
    <xf numFmtId="0" fontId="4" fillId="11" borderId="17" xfId="0" applyFont="1" applyFill="1" applyBorder="1" applyAlignment="1" applyProtection="1">
      <alignment horizontal="center" vertical="center"/>
      <protection hidden="1"/>
    </xf>
    <xf numFmtId="0" fontId="19" fillId="10" borderId="60" xfId="0" applyFont="1" applyFill="1" applyBorder="1" applyAlignment="1">
      <alignment horizontal="center" vertical="center"/>
    </xf>
    <xf numFmtId="0" fontId="19" fillId="10" borderId="69" xfId="0" applyFont="1" applyFill="1" applyBorder="1" applyAlignment="1">
      <alignment horizontal="center" vertical="center"/>
    </xf>
    <xf numFmtId="0" fontId="19" fillId="10" borderId="70" xfId="0" applyFont="1" applyFill="1" applyBorder="1" applyAlignment="1">
      <alignment horizontal="center" vertical="center"/>
    </xf>
    <xf numFmtId="0" fontId="24" fillId="10" borderId="37" xfId="0" applyFont="1" applyFill="1" applyBorder="1" applyAlignment="1">
      <alignment horizontal="center"/>
    </xf>
    <xf numFmtId="0" fontId="2" fillId="3" borderId="57" xfId="0" applyFont="1" applyFill="1" applyBorder="1" applyAlignment="1" applyProtection="1">
      <alignment horizontal="center" shrinkToFit="1"/>
      <protection hidden="1"/>
    </xf>
    <xf numFmtId="0" fontId="2" fillId="3" borderId="71" xfId="0" applyFont="1" applyFill="1" applyBorder="1" applyAlignment="1" applyProtection="1">
      <alignment horizontal="center" shrinkToFit="1"/>
      <protection hidden="1"/>
    </xf>
    <xf numFmtId="0" fontId="2" fillId="3" borderId="51" xfId="0" applyFont="1" applyFill="1" applyBorder="1" applyAlignment="1" applyProtection="1">
      <alignment horizontal="center" shrinkToFit="1"/>
      <protection hidden="1"/>
    </xf>
    <xf numFmtId="164" fontId="4" fillId="3" borderId="28" xfId="0" applyNumberFormat="1" applyFont="1" applyFill="1" applyBorder="1" applyAlignment="1" applyProtection="1">
      <alignment horizontal="center" vertical="center"/>
      <protection hidden="1"/>
    </xf>
    <xf numFmtId="164" fontId="4" fillId="3" borderId="43" xfId="0" applyNumberFormat="1" applyFont="1" applyFill="1" applyBorder="1" applyAlignment="1" applyProtection="1">
      <alignment horizontal="center" vertical="center"/>
      <protection hidden="1"/>
    </xf>
    <xf numFmtId="164" fontId="4" fillId="3" borderId="30" xfId="0" applyNumberFormat="1" applyFont="1" applyFill="1" applyBorder="1" applyAlignment="1" applyProtection="1">
      <alignment horizontal="center" vertical="center"/>
      <protection hidden="1"/>
    </xf>
    <xf numFmtId="0" fontId="9" fillId="2" borderId="38" xfId="0" applyFont="1" applyFill="1" applyBorder="1" applyAlignment="1" applyProtection="1">
      <alignment horizontal="center" vertical="center"/>
      <protection locked="0"/>
    </xf>
    <xf numFmtId="0" fontId="14" fillId="2" borderId="0" xfId="0" applyFont="1" applyFill="1" applyAlignment="1">
      <alignment horizontal="center" vertical="center"/>
    </xf>
  </cellXfs>
  <cellStyles count="1">
    <cellStyle name="Normal" xfId="0" builtinId="0"/>
  </cellStyles>
  <dxfs count="30">
    <dxf>
      <font>
        <sz val="10"/>
        <color rgb="FF000000"/>
        <name val="Calibri"/>
      </font>
      <numFmt numFmtId="0" formatCode="General"/>
      <fill>
        <patternFill patternType="solid">
          <fgColor rgb="FFFDECE3"/>
          <bgColor rgb="FFFDECE3"/>
        </patternFill>
      </fill>
    </dxf>
    <dxf>
      <font>
        <sz val="10"/>
        <color rgb="FF000000"/>
        <name val="Calibri"/>
      </font>
      <numFmt numFmtId="0" formatCode="General"/>
      <fill>
        <patternFill patternType="solid">
          <fgColor rgb="FFFDECE3"/>
          <bgColor rgb="FFFDECE3"/>
        </patternFill>
      </fill>
    </dxf>
    <dxf>
      <font>
        <sz val="10"/>
        <color rgb="FF000000"/>
        <name val="Calibri"/>
      </font>
      <numFmt numFmtId="0" formatCode="General"/>
      <fill>
        <patternFill patternType="solid">
          <fgColor rgb="FFFDECE3"/>
          <bgColor rgb="FFFDECE3"/>
        </patternFill>
      </fill>
    </dxf>
    <dxf>
      <font>
        <sz val="10"/>
        <color rgb="FF000000"/>
        <name val="Calibri"/>
      </font>
      <numFmt numFmtId="0" formatCode="General"/>
      <fill>
        <patternFill patternType="solid">
          <fgColor rgb="FFFDECE3"/>
          <bgColor rgb="FFFDECE3"/>
        </patternFill>
      </fill>
    </dxf>
    <dxf>
      <font>
        <sz val="10"/>
        <color rgb="FF000000"/>
        <name val="Calibri"/>
      </font>
      <numFmt numFmtId="0" formatCode="General"/>
      <fill>
        <patternFill patternType="solid">
          <fgColor rgb="FFFDECE3"/>
          <bgColor rgb="FFFDECE3"/>
        </patternFill>
      </fill>
    </dxf>
    <dxf>
      <font>
        <sz val="10"/>
        <color rgb="FF000000"/>
        <name val="Calibri"/>
      </font>
      <numFmt numFmtId="0" formatCode="General"/>
      <fill>
        <patternFill patternType="solid">
          <fgColor rgb="FFFDECE3"/>
          <bgColor rgb="FFFDECE3"/>
        </patternFill>
      </fill>
    </dxf>
    <dxf>
      <font>
        <sz val="10"/>
        <color rgb="FF000000"/>
        <name val="Calibri"/>
      </font>
      <numFmt numFmtId="0" formatCode="General"/>
      <fill>
        <patternFill patternType="solid">
          <fgColor rgb="FFFDECE3"/>
          <bgColor rgb="FFFDECE3"/>
        </patternFill>
      </fill>
    </dxf>
    <dxf>
      <font>
        <sz val="10"/>
        <color rgb="FF000000"/>
        <name val="Calibri"/>
      </font>
      <numFmt numFmtId="0" formatCode="General"/>
      <fill>
        <patternFill patternType="solid">
          <fgColor rgb="FFFDECE3"/>
          <bgColor rgb="FFFDECE3"/>
        </patternFill>
      </fill>
    </dxf>
    <dxf>
      <font>
        <sz val="10"/>
        <color rgb="FF000000"/>
        <name val="Calibri"/>
      </font>
      <numFmt numFmtId="0" formatCode="General"/>
      <fill>
        <patternFill patternType="solid">
          <fgColor rgb="FFFEF8F4"/>
          <bgColor rgb="FFFEF8F4"/>
        </patternFill>
      </fill>
    </dxf>
    <dxf>
      <font>
        <sz val="10"/>
        <color rgb="FF000000"/>
        <name val="Calibri"/>
      </font>
      <numFmt numFmtId="0" formatCode="General"/>
      <fill>
        <patternFill patternType="solid">
          <fgColor rgb="FFFEF8F4"/>
          <bgColor rgb="FFFEF8F4"/>
        </patternFill>
      </fill>
    </dxf>
    <dxf>
      <font>
        <sz val="10"/>
        <color rgb="FF000000"/>
        <name val="Calibri"/>
      </font>
      <numFmt numFmtId="0" formatCode="General"/>
      <fill>
        <patternFill patternType="solid">
          <fgColor rgb="FFFEF8F4"/>
          <bgColor rgb="FFFEF8F4"/>
        </patternFill>
      </fill>
    </dxf>
    <dxf>
      <font>
        <sz val="10"/>
        <color rgb="FF000000"/>
        <name val="Calibri"/>
      </font>
      <numFmt numFmtId="0" formatCode="General"/>
      <fill>
        <patternFill patternType="solid">
          <fgColor rgb="FFFEF8F4"/>
          <bgColor rgb="FFFEF8F4"/>
        </patternFill>
      </fill>
    </dxf>
    <dxf>
      <font>
        <sz val="10"/>
        <color rgb="FF000000"/>
        <name val="Calibri"/>
      </font>
      <numFmt numFmtId="0" formatCode="General"/>
      <fill>
        <patternFill patternType="solid">
          <fgColor rgb="FFFEF8F4"/>
          <bgColor rgb="FFFEF8F4"/>
        </patternFill>
      </fill>
    </dxf>
    <dxf>
      <font>
        <sz val="10"/>
        <color rgb="FF000000"/>
        <name val="Calibri"/>
      </font>
      <numFmt numFmtId="0" formatCode="General"/>
      <fill>
        <patternFill patternType="solid">
          <fgColor rgb="FFFEF8F4"/>
          <bgColor rgb="FFFEF8F4"/>
        </patternFill>
      </fill>
    </dxf>
    <dxf>
      <font>
        <sz val="10"/>
        <color rgb="FF000000"/>
        <name val="Calibri"/>
      </font>
      <numFmt numFmtId="0" formatCode="General"/>
      <fill>
        <patternFill patternType="solid">
          <fgColor rgb="FFFEF8F4"/>
          <bgColor rgb="FFFEF8F4"/>
        </patternFill>
      </fill>
    </dxf>
    <dxf>
      <font>
        <sz val="10"/>
        <color rgb="FF000000"/>
        <name val="Calibri"/>
      </font>
      <numFmt numFmtId="0" formatCode="General"/>
      <fill>
        <patternFill patternType="solid">
          <fgColor rgb="FFFEF8F4"/>
          <bgColor rgb="FFFEF8F4"/>
        </patternFill>
      </fill>
    </dxf>
    <dxf>
      <font>
        <sz val="10"/>
        <color rgb="FF000000"/>
        <name val="Calibri"/>
      </font>
      <numFmt numFmtId="0" formatCode="General"/>
      <fill>
        <patternFill patternType="solid">
          <fgColor rgb="FFFEF8F4"/>
          <bgColor rgb="FFFEF8F4"/>
        </patternFill>
      </fill>
    </dxf>
    <dxf>
      <font>
        <sz val="10"/>
        <color rgb="FF000000"/>
        <name val="Calibri"/>
      </font>
      <numFmt numFmtId="0" formatCode="General"/>
      <fill>
        <patternFill patternType="solid">
          <fgColor rgb="FFFEF8F4"/>
          <bgColor rgb="FFFEF8F4"/>
        </patternFill>
      </fill>
    </dxf>
    <dxf>
      <font>
        <sz val="10"/>
        <color rgb="FF000000"/>
        <name val="Calibri"/>
      </font>
      <numFmt numFmtId="0" formatCode="General"/>
      <fill>
        <patternFill patternType="solid">
          <fgColor rgb="FFFEF8F4"/>
          <bgColor rgb="FFFEF8F4"/>
        </patternFill>
      </fill>
    </dxf>
    <dxf>
      <font>
        <sz val="10"/>
        <color rgb="FF000000"/>
        <name val="Calibri"/>
      </font>
      <numFmt numFmtId="0" formatCode="General"/>
      <fill>
        <patternFill patternType="solid">
          <fgColor rgb="FFFEF8F4"/>
          <bgColor rgb="FFFEF8F4"/>
        </patternFill>
      </fill>
    </dxf>
    <dxf>
      <font>
        <sz val="10"/>
        <color rgb="FF000000"/>
        <name val="Calibri"/>
      </font>
      <numFmt numFmtId="0" formatCode="General"/>
      <fill>
        <patternFill patternType="solid">
          <fgColor rgb="FFFEF8F4"/>
          <bgColor rgb="FFFEF8F4"/>
        </patternFill>
      </fill>
    </dxf>
    <dxf>
      <font>
        <sz val="10"/>
        <color rgb="FF000000"/>
        <name val="Calibri"/>
      </font>
      <numFmt numFmtId="0" formatCode="General"/>
      <fill>
        <patternFill patternType="solid">
          <fgColor rgb="FFFEF8F4"/>
          <bgColor rgb="FFFEF8F4"/>
        </patternFill>
      </fill>
    </dxf>
    <dxf>
      <font>
        <sz val="10"/>
        <color rgb="FF000000"/>
        <name val="Calibri"/>
      </font>
      <numFmt numFmtId="0" formatCode="General"/>
      <fill>
        <patternFill patternType="solid">
          <fgColor rgb="FFFEF8F4"/>
          <bgColor rgb="FFFEF8F4"/>
        </patternFill>
      </fill>
    </dxf>
    <dxf>
      <font>
        <sz val="10"/>
        <color rgb="FF000000"/>
        <name val="Calibri"/>
      </font>
      <numFmt numFmtId="0" formatCode="General"/>
      <fill>
        <patternFill patternType="solid">
          <fgColor rgb="FFFDECE3"/>
          <bgColor rgb="FFFDECE3"/>
        </patternFill>
      </fill>
    </dxf>
    <dxf>
      <font>
        <sz val="10"/>
        <color rgb="FF000000"/>
        <name val="Calibri"/>
      </font>
      <numFmt numFmtId="0" formatCode="General"/>
      <fill>
        <patternFill patternType="solid">
          <fgColor rgb="FFFDECE3"/>
          <bgColor rgb="FFFDECE3"/>
        </patternFill>
      </fill>
    </dxf>
    <dxf>
      <font>
        <sz val="10"/>
        <color rgb="FF000000"/>
        <name val="Calibri"/>
      </font>
      <numFmt numFmtId="0" formatCode="General"/>
      <fill>
        <patternFill patternType="solid">
          <fgColor rgb="FFFDECE3"/>
          <bgColor rgb="FFFDECE3"/>
        </patternFill>
      </fill>
    </dxf>
    <dxf>
      <font>
        <sz val="10"/>
        <color rgb="FF000000"/>
        <name val="Calibri"/>
      </font>
      <numFmt numFmtId="0" formatCode="General"/>
      <fill>
        <patternFill patternType="solid">
          <fgColor rgb="FFFDECE3"/>
          <bgColor rgb="FFFDECE3"/>
        </patternFill>
      </fill>
    </dxf>
    <dxf>
      <font>
        <sz val="10"/>
        <color rgb="FF000000"/>
        <name val="Calibri"/>
      </font>
      <numFmt numFmtId="0" formatCode="General"/>
      <fill>
        <patternFill patternType="solid">
          <fgColor rgb="FFFDECE3"/>
          <bgColor rgb="FFFDECE3"/>
        </patternFill>
      </fill>
    </dxf>
    <dxf>
      <font>
        <sz val="10"/>
        <color rgb="FF000000"/>
        <name val="Calibri"/>
      </font>
      <numFmt numFmtId="0" formatCode="General"/>
      <fill>
        <patternFill patternType="solid">
          <fgColor rgb="FFFDECE3"/>
          <bgColor rgb="FFFDECE3"/>
        </patternFill>
      </fill>
    </dxf>
    <dxf>
      <font>
        <sz val="10"/>
        <color rgb="FF000000"/>
        <name val="Calibri"/>
      </font>
      <numFmt numFmtId="0" formatCode="General"/>
      <fill>
        <patternFill patternType="solid">
          <fgColor rgb="FFFDECE3"/>
          <bgColor rgb="FFFDECE3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657225</xdr:colOff>
      <xdr:row>1</xdr:row>
      <xdr:rowOff>95250</xdr:rowOff>
    </xdr:from>
    <xdr:ext cx="885825" cy="8667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14</xdr:col>
      <xdr:colOff>152400</xdr:colOff>
      <xdr:row>0</xdr:row>
      <xdr:rowOff>180975</xdr:rowOff>
    </xdr:from>
    <xdr:ext cx="1381125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152400</xdr:colOff>
      <xdr:row>0</xdr:row>
      <xdr:rowOff>180975</xdr:rowOff>
    </xdr:from>
    <xdr:ext cx="1447800" cy="5715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666750</xdr:colOff>
      <xdr:row>1</xdr:row>
      <xdr:rowOff>123825</xdr:rowOff>
    </xdr:from>
    <xdr:ext cx="885825" cy="876300"/>
    <xdr:pic>
      <xdr:nvPicPr>
        <xdr:cNvPr id="3" name="Picture 7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14</xdr:col>
      <xdr:colOff>152400</xdr:colOff>
      <xdr:row>0</xdr:row>
      <xdr:rowOff>180975</xdr:rowOff>
    </xdr:from>
    <xdr:ext cx="1381125" cy="5715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676275</xdr:colOff>
      <xdr:row>1</xdr:row>
      <xdr:rowOff>123825</xdr:rowOff>
    </xdr:from>
    <xdr:ext cx="885825" cy="866775"/>
    <xdr:pic>
      <xdr:nvPicPr>
        <xdr:cNvPr id="2" name="Picture 6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14</xdr:col>
      <xdr:colOff>152400</xdr:colOff>
      <xdr:row>0</xdr:row>
      <xdr:rowOff>180975</xdr:rowOff>
    </xdr:from>
    <xdr:ext cx="1381125" cy="57150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14</xdr:col>
      <xdr:colOff>152400</xdr:colOff>
      <xdr:row>0</xdr:row>
      <xdr:rowOff>180975</xdr:rowOff>
    </xdr:from>
    <xdr:ext cx="1381125" cy="57150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285750</xdr:colOff>
      <xdr:row>0</xdr:row>
      <xdr:rowOff>142875</xdr:rowOff>
    </xdr:from>
    <xdr:ext cx="1752600" cy="8382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95250</xdr:colOff>
      <xdr:row>1</xdr:row>
      <xdr:rowOff>123825</xdr:rowOff>
    </xdr:from>
    <xdr:ext cx="885825" cy="8667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38100</xdr:colOff>
      <xdr:row>0</xdr:row>
      <xdr:rowOff>9525</xdr:rowOff>
    </xdr:from>
    <xdr:ext cx="5600700" cy="3486150"/>
    <xdr:pic>
      <xdr:nvPicPr>
        <xdr:cNvPr id="2" name="Picture 2" descr="May be an image of tex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66675</xdr:rowOff>
    </xdr:from>
    <xdr:ext cx="4086225" cy="27717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11</xdr:col>
      <xdr:colOff>152400</xdr:colOff>
      <xdr:row>1</xdr:row>
      <xdr:rowOff>209550</xdr:rowOff>
    </xdr:from>
    <xdr:ext cx="4352925" cy="305752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23</xdr:col>
      <xdr:colOff>266700</xdr:colOff>
      <xdr:row>1</xdr:row>
      <xdr:rowOff>219075</xdr:rowOff>
    </xdr:from>
    <xdr:ext cx="5000625" cy="5476875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123825</xdr:colOff>
      <xdr:row>0</xdr:row>
      <xdr:rowOff>0</xdr:rowOff>
    </xdr:from>
    <xdr:ext cx="4524375" cy="5143500"/>
    <xdr:pic>
      <xdr:nvPicPr>
        <xdr:cNvPr id="2" name="Picture 1" descr="Screen Clippi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10</xdr:col>
      <xdr:colOff>133350</xdr:colOff>
      <xdr:row>0</xdr:row>
      <xdr:rowOff>161925</xdr:rowOff>
    </xdr:from>
    <xdr:ext cx="5648325" cy="1704975"/>
    <xdr:pic>
      <xdr:nvPicPr>
        <xdr:cNvPr id="3" name="Picture 20" descr="Screen Clipping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33"/>
  </sheetPr>
  <dimension ref="A1:BL118"/>
  <sheetViews>
    <sheetView showGridLines="0" workbookViewId="0">
      <selection activeCell="AA112" sqref="AA112"/>
    </sheetView>
  </sheetViews>
  <sheetFormatPr defaultColWidth="4.7109375" defaultRowHeight="15"/>
  <cols>
    <col min="1" max="1" width="4.140625" style="2" customWidth="1"/>
    <col min="2" max="2" width="16.5703125" style="2" customWidth="1"/>
    <col min="3" max="3" width="35.7109375" style="2" customWidth="1"/>
    <col min="4" max="6" width="1.7109375" style="2" hidden="1" customWidth="1"/>
    <col min="7" max="11" width="4.7109375" style="2"/>
    <col min="12" max="12" width="6.28515625" style="2" customWidth="1"/>
    <col min="13" max="14" width="7.140625" style="3" customWidth="1"/>
    <col min="15" max="17" width="4.7109375" style="2"/>
    <col min="18" max="18" width="6.28515625" style="2" customWidth="1"/>
    <col min="19" max="20" width="7.140625" style="3" customWidth="1"/>
    <col min="21" max="22" width="4.7109375" style="3"/>
    <col min="23" max="23" width="4.7109375" style="2"/>
    <col min="24" max="25" width="7.140625" style="3" customWidth="1"/>
    <col min="26" max="26" width="11.28515625" style="3" customWidth="1"/>
    <col min="27" max="27" width="11.28515625" style="4" customWidth="1"/>
    <col min="28" max="44" width="4.7109375" style="5"/>
    <col min="45" max="45" width="4.7109375" style="6"/>
    <col min="46" max="46" width="0" style="6" hidden="1" customWidth="1"/>
    <col min="47" max="61" width="4.7109375" style="1"/>
  </cols>
  <sheetData>
    <row r="1" spans="1:46" ht="15" customHeight="1">
      <c r="A1" s="306" t="s">
        <v>0</v>
      </c>
      <c r="B1" s="30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</row>
    <row r="2" spans="1:46" ht="15" customHeight="1">
      <c r="A2" s="266"/>
      <c r="B2" s="266"/>
      <c r="C2" s="266"/>
      <c r="D2" s="266"/>
      <c r="E2" s="266"/>
      <c r="F2" s="266"/>
      <c r="G2" s="266"/>
      <c r="H2" s="266"/>
      <c r="I2" s="266"/>
      <c r="J2" s="266"/>
      <c r="K2" s="266"/>
      <c r="L2" s="266"/>
      <c r="M2" s="266"/>
      <c r="N2" s="266"/>
      <c r="O2" s="266"/>
      <c r="P2" s="266"/>
      <c r="Q2" s="266"/>
      <c r="R2" s="266"/>
      <c r="S2" s="266"/>
      <c r="T2" s="266"/>
      <c r="U2" s="266"/>
      <c r="V2" s="266"/>
      <c r="W2" s="266"/>
      <c r="X2" s="266"/>
      <c r="Y2" s="266"/>
      <c r="Z2" s="266"/>
      <c r="AA2" s="266"/>
    </row>
    <row r="3" spans="1:46" ht="15" customHeight="1">
      <c r="A3" s="313" t="s">
        <v>1</v>
      </c>
      <c r="B3" s="313"/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  <c r="N3" s="266"/>
      <c r="O3" s="266"/>
      <c r="P3" s="266"/>
      <c r="Q3" s="266"/>
      <c r="R3" s="266"/>
      <c r="S3" s="266"/>
      <c r="T3" s="266"/>
      <c r="U3" s="266"/>
      <c r="V3" s="266"/>
      <c r="W3" s="266"/>
      <c r="X3" s="266"/>
      <c r="Y3" s="266"/>
      <c r="Z3" s="266"/>
      <c r="AA3" s="266"/>
    </row>
    <row r="4" spans="1:46" ht="21" customHeight="1">
      <c r="C4" s="265" t="s">
        <v>2</v>
      </c>
      <c r="D4" s="266"/>
      <c r="E4" s="266"/>
      <c r="F4" s="266"/>
      <c r="G4" s="266"/>
      <c r="H4" s="281">
        <v>10</v>
      </c>
      <c r="I4" s="282"/>
      <c r="J4" s="267" t="s">
        <v>3</v>
      </c>
      <c r="K4" s="268"/>
      <c r="L4" s="269"/>
      <c r="M4" s="281" t="s">
        <v>4</v>
      </c>
      <c r="N4" s="309"/>
      <c r="O4" s="309"/>
      <c r="P4" s="282"/>
      <c r="Q4" s="7"/>
      <c r="R4" s="8"/>
      <c r="S4" s="9"/>
      <c r="T4" s="10"/>
      <c r="U4" s="10"/>
      <c r="V4" s="10"/>
      <c r="W4" s="11"/>
      <c r="X4" s="11"/>
      <c r="Y4" s="11"/>
      <c r="Z4" s="11"/>
      <c r="AA4" s="12"/>
      <c r="AB4" s="13"/>
    </row>
    <row r="5" spans="1:46" ht="21" customHeight="1">
      <c r="C5" s="265" t="s">
        <v>5</v>
      </c>
      <c r="D5" s="266"/>
      <c r="E5" s="266"/>
      <c r="F5" s="266"/>
      <c r="G5" s="266"/>
      <c r="H5" s="281" t="s">
        <v>6</v>
      </c>
      <c r="I5" s="309"/>
      <c r="J5" s="253"/>
      <c r="K5" s="253"/>
      <c r="L5" s="253"/>
      <c r="M5" s="309"/>
      <c r="N5" s="309"/>
      <c r="O5" s="309"/>
      <c r="P5" s="282"/>
      <c r="Q5" s="7"/>
      <c r="R5" s="307" t="s">
        <v>7</v>
      </c>
      <c r="S5" s="308"/>
      <c r="T5" s="317">
        <v>405198</v>
      </c>
      <c r="U5" s="309"/>
      <c r="V5" s="282"/>
      <c r="W5" s="307" t="s">
        <v>8</v>
      </c>
      <c r="X5" s="308"/>
      <c r="Y5" s="308"/>
      <c r="Z5" s="317" t="s">
        <v>9</v>
      </c>
      <c r="AA5" s="282"/>
      <c r="AB5" s="13"/>
    </row>
    <row r="6" spans="1:46" ht="14.65" customHeight="1"/>
    <row r="7" spans="1:46" ht="23.25" customHeight="1">
      <c r="A7" s="314"/>
      <c r="B7" s="315"/>
      <c r="C7" s="316"/>
      <c r="D7" s="14"/>
      <c r="E7" s="14"/>
      <c r="F7" s="14"/>
      <c r="G7" s="318" t="s">
        <v>10</v>
      </c>
      <c r="H7" s="319"/>
      <c r="I7" s="319"/>
      <c r="J7" s="319"/>
      <c r="K7" s="310" t="s">
        <v>11</v>
      </c>
      <c r="L7" s="311"/>
      <c r="M7" s="311"/>
      <c r="N7" s="312"/>
      <c r="O7" s="275" t="s">
        <v>12</v>
      </c>
      <c r="P7" s="276"/>
      <c r="Q7" s="276"/>
      <c r="R7" s="320" t="s">
        <v>13</v>
      </c>
      <c r="S7" s="311"/>
      <c r="T7" s="311"/>
      <c r="U7" s="311"/>
      <c r="V7" s="311"/>
      <c r="W7" s="312"/>
      <c r="X7" s="275" t="s">
        <v>14</v>
      </c>
      <c r="Y7" s="276"/>
      <c r="Z7" s="277" t="s">
        <v>15</v>
      </c>
      <c r="AA7" s="278"/>
      <c r="AD7" s="256" t="s">
        <v>16</v>
      </c>
      <c r="AE7" s="257"/>
      <c r="AF7" s="257"/>
      <c r="AG7" s="257"/>
      <c r="AH7" s="257"/>
      <c r="AI7" s="257"/>
      <c r="AJ7" s="257"/>
      <c r="AK7" s="257"/>
      <c r="AL7" s="258">
        <v>0.2</v>
      </c>
      <c r="AM7" s="257"/>
      <c r="AN7" s="257"/>
      <c r="AO7" s="257"/>
      <c r="AP7" s="257"/>
      <c r="AQ7" s="259"/>
    </row>
    <row r="8" spans="1:46" s="4" customFormat="1" ht="46.5" customHeight="1">
      <c r="A8" s="15"/>
      <c r="B8" s="250" t="s">
        <v>17</v>
      </c>
      <c r="C8" s="16" t="s">
        <v>18</v>
      </c>
      <c r="D8" s="16"/>
      <c r="E8" s="16"/>
      <c r="F8" s="17"/>
      <c r="G8" s="270"/>
      <c r="H8" s="266"/>
      <c r="I8" s="266"/>
      <c r="J8" s="266"/>
      <c r="K8" s="266"/>
      <c r="L8" s="266"/>
      <c r="M8" s="266"/>
      <c r="N8" s="266"/>
      <c r="O8" s="270"/>
      <c r="P8" s="266"/>
      <c r="Q8" s="266"/>
      <c r="R8" s="266"/>
      <c r="S8" s="266"/>
      <c r="T8" s="266"/>
      <c r="U8" s="270"/>
      <c r="V8" s="266"/>
      <c r="W8" s="266"/>
      <c r="X8" s="266"/>
      <c r="Y8" s="266"/>
      <c r="Z8" s="271"/>
      <c r="AA8" s="271"/>
      <c r="AB8" s="19"/>
      <c r="AC8" s="19"/>
      <c r="AD8" s="260" t="s">
        <v>19</v>
      </c>
      <c r="AE8" s="261"/>
      <c r="AF8" s="261"/>
      <c r="AG8" s="261"/>
      <c r="AH8" s="261"/>
      <c r="AI8" s="261"/>
      <c r="AJ8" s="261"/>
      <c r="AK8" s="261"/>
      <c r="AL8" s="262">
        <v>0.8</v>
      </c>
      <c r="AM8" s="263"/>
      <c r="AN8" s="263"/>
      <c r="AO8" s="263"/>
      <c r="AP8" s="263"/>
      <c r="AQ8" s="264"/>
      <c r="AR8" s="19"/>
      <c r="AS8" s="19"/>
      <c r="AT8" s="19"/>
    </row>
    <row r="9" spans="1:46" s="23" customFormat="1" ht="13.5" customHeight="1">
      <c r="A9" s="272" t="s">
        <v>20</v>
      </c>
      <c r="B9" s="273"/>
      <c r="C9" s="274"/>
      <c r="D9" s="24"/>
      <c r="E9" s="24"/>
      <c r="F9" s="25"/>
      <c r="G9" s="26"/>
      <c r="H9" s="26"/>
      <c r="I9" s="26"/>
      <c r="J9" s="26"/>
      <c r="K9" s="26"/>
      <c r="L9" s="27"/>
      <c r="M9" s="21"/>
      <c r="N9" s="28"/>
      <c r="O9" s="26"/>
      <c r="P9" s="26"/>
      <c r="Q9" s="26"/>
      <c r="R9" s="27"/>
      <c r="S9" s="21"/>
      <c r="T9" s="28"/>
      <c r="U9" s="28"/>
      <c r="V9" s="28"/>
      <c r="W9" s="26"/>
      <c r="X9" s="21"/>
      <c r="Y9" s="28"/>
      <c r="Z9" s="266"/>
      <c r="AA9" s="266"/>
      <c r="AB9" s="5"/>
      <c r="AC9" s="5"/>
      <c r="AD9" s="283" t="s">
        <v>21</v>
      </c>
      <c r="AE9" s="284"/>
      <c r="AF9" s="284"/>
      <c r="AG9" s="284"/>
      <c r="AH9" s="284"/>
      <c r="AI9" s="284"/>
      <c r="AJ9" s="284"/>
      <c r="AK9" s="285"/>
      <c r="AL9" s="292">
        <v>0.2</v>
      </c>
      <c r="AM9" s="293"/>
      <c r="AN9" s="293"/>
      <c r="AO9" s="293"/>
      <c r="AP9" s="293"/>
      <c r="AQ9" s="294"/>
      <c r="AR9" s="5"/>
      <c r="AS9" s="5"/>
      <c r="AT9" s="5"/>
    </row>
    <row r="10" spans="1:46" s="23" customFormat="1" ht="18" customHeight="1">
      <c r="A10" s="29"/>
      <c r="B10" s="254" t="s">
        <v>22</v>
      </c>
      <c r="C10" s="255"/>
      <c r="D10" s="30"/>
      <c r="E10" s="30"/>
      <c r="F10" s="31"/>
      <c r="G10" s="26"/>
      <c r="H10" s="26"/>
      <c r="I10" s="26"/>
      <c r="J10" s="26"/>
      <c r="K10" s="26"/>
      <c r="L10" s="20"/>
      <c r="M10" s="21"/>
      <c r="N10" s="21"/>
      <c r="O10" s="26"/>
      <c r="P10" s="26"/>
      <c r="Q10" s="26"/>
      <c r="R10" s="20"/>
      <c r="S10" s="21"/>
      <c r="T10" s="21"/>
      <c r="U10" s="21"/>
      <c r="V10" s="21"/>
      <c r="W10" s="26"/>
      <c r="X10" s="21"/>
      <c r="Y10" s="21"/>
      <c r="Z10" s="21"/>
      <c r="AA10" s="32"/>
      <c r="AB10" s="5"/>
      <c r="AC10" s="5"/>
      <c r="AD10" s="286"/>
      <c r="AE10" s="287"/>
      <c r="AF10" s="287"/>
      <c r="AG10" s="287"/>
      <c r="AH10" s="287"/>
      <c r="AI10" s="287"/>
      <c r="AJ10" s="287"/>
      <c r="AK10" s="288"/>
      <c r="AL10" s="295"/>
      <c r="AM10" s="296"/>
      <c r="AN10" s="296"/>
      <c r="AO10" s="296"/>
      <c r="AP10" s="296"/>
      <c r="AQ10" s="297"/>
      <c r="AR10" s="5"/>
      <c r="AS10" s="5"/>
      <c r="AT10" s="5"/>
    </row>
    <row r="11" spans="1:46" s="23" customFormat="1" ht="18" hidden="1" customHeight="1">
      <c r="A11" s="242" t="s">
        <v>23</v>
      </c>
      <c r="B11" s="249" t="s">
        <v>24</v>
      </c>
      <c r="C11" s="241" t="s">
        <v>25</v>
      </c>
      <c r="D11" s="30"/>
      <c r="E11" s="30"/>
      <c r="F11" s="31"/>
      <c r="G11" s="26"/>
      <c r="H11" s="26"/>
      <c r="I11" s="26"/>
      <c r="J11" s="26"/>
      <c r="K11" s="26"/>
      <c r="L11" s="20"/>
      <c r="M11" s="21"/>
      <c r="N11" s="21"/>
      <c r="O11" s="26"/>
      <c r="P11" s="26"/>
      <c r="Q11" s="26"/>
      <c r="R11" s="20"/>
      <c r="S11" s="21"/>
      <c r="T11" s="21"/>
      <c r="U11" s="21"/>
      <c r="V11" s="21"/>
      <c r="W11" s="26"/>
      <c r="X11" s="21"/>
      <c r="Y11" s="21"/>
      <c r="Z11" s="21"/>
      <c r="AA11" s="32"/>
      <c r="AB11" s="5"/>
      <c r="AC11" s="5"/>
      <c r="AD11" s="286"/>
      <c r="AE11" s="287"/>
      <c r="AF11" s="287"/>
      <c r="AG11" s="287"/>
      <c r="AH11" s="287"/>
      <c r="AI11" s="287"/>
      <c r="AJ11" s="287"/>
      <c r="AK11" s="288"/>
      <c r="AL11" s="295"/>
      <c r="AM11" s="296"/>
      <c r="AN11" s="296"/>
      <c r="AO11" s="296"/>
      <c r="AP11" s="296"/>
      <c r="AQ11" s="297"/>
      <c r="AR11" s="5"/>
      <c r="AS11" s="5"/>
      <c r="AT11" s="5"/>
    </row>
    <row r="12" spans="1:46" ht="18" customHeight="1">
      <c r="A12" s="33">
        <v>1</v>
      </c>
      <c r="B12" s="243" t="s">
        <v>26</v>
      </c>
      <c r="C12" s="34" t="s">
        <v>27</v>
      </c>
      <c r="D12" s="35"/>
      <c r="E12" s="35"/>
      <c r="F12" s="36"/>
      <c r="G12" s="37"/>
      <c r="H12" s="37"/>
      <c r="I12" s="37"/>
      <c r="J12" s="37"/>
      <c r="K12" s="37"/>
      <c r="L12" s="38"/>
      <c r="M12" s="39"/>
      <c r="N12" s="39"/>
      <c r="O12" s="37"/>
      <c r="P12" s="37"/>
      <c r="Q12" s="37"/>
      <c r="R12" s="38"/>
      <c r="S12" s="39"/>
      <c r="T12" s="39"/>
      <c r="U12" s="39"/>
      <c r="V12" s="39"/>
      <c r="W12" s="37"/>
      <c r="X12" s="39"/>
      <c r="Y12" s="39"/>
      <c r="Z12" s="39"/>
      <c r="AA12" s="40"/>
      <c r="AB12" s="41"/>
      <c r="AC12" s="41"/>
      <c r="AD12" s="289"/>
      <c r="AE12" s="290"/>
      <c r="AF12" s="290"/>
      <c r="AG12" s="290"/>
      <c r="AH12" s="290"/>
      <c r="AI12" s="290"/>
      <c r="AJ12" s="290"/>
      <c r="AK12" s="291"/>
      <c r="AL12" s="298"/>
      <c r="AM12" s="299"/>
      <c r="AN12" s="299"/>
      <c r="AO12" s="299"/>
      <c r="AP12" s="299"/>
      <c r="AQ12" s="300"/>
      <c r="AR12" s="41"/>
      <c r="AS12" s="41"/>
      <c r="AT12" s="41" t="e">
        <f t="shared" ref="AT12:AT51" si="0">(W12/$W$9)*100</f>
        <v>#DIV/0!</v>
      </c>
    </row>
    <row r="13" spans="1:46" ht="18" customHeight="1">
      <c r="A13" s="33">
        <v>2</v>
      </c>
      <c r="B13" s="243" t="s">
        <v>28</v>
      </c>
      <c r="C13" s="34" t="s">
        <v>29</v>
      </c>
      <c r="D13" s="35"/>
      <c r="E13" s="35"/>
      <c r="F13" s="36"/>
      <c r="G13" s="37"/>
      <c r="H13" s="37"/>
      <c r="I13" s="37"/>
      <c r="J13" s="37"/>
      <c r="K13" s="37"/>
      <c r="L13" s="38"/>
      <c r="M13" s="39"/>
      <c r="N13" s="39"/>
      <c r="O13" s="37"/>
      <c r="P13" s="37"/>
      <c r="Q13" s="37"/>
      <c r="R13" s="38"/>
      <c r="S13" s="39"/>
      <c r="T13" s="39"/>
      <c r="U13" s="39"/>
      <c r="V13" s="39"/>
      <c r="W13" s="37"/>
      <c r="X13" s="39"/>
      <c r="Y13" s="39"/>
      <c r="Z13" s="39"/>
      <c r="AA13" s="40"/>
      <c r="AB13" s="41"/>
      <c r="AC13" s="41"/>
      <c r="AD13" s="279"/>
      <c r="AE13" s="279"/>
      <c r="AF13" s="279"/>
      <c r="AG13" s="279"/>
      <c r="AH13" s="279"/>
      <c r="AI13" s="279"/>
      <c r="AJ13" s="279"/>
      <c r="AK13" s="279"/>
      <c r="AL13" s="280"/>
      <c r="AM13" s="279"/>
      <c r="AN13" s="279"/>
      <c r="AO13" s="279"/>
      <c r="AP13" s="279"/>
      <c r="AQ13" s="279"/>
      <c r="AR13" s="41"/>
      <c r="AS13" s="41"/>
      <c r="AT13" s="41" t="e">
        <f t="shared" si="0"/>
        <v>#DIV/0!</v>
      </c>
    </row>
    <row r="14" spans="1:46" ht="18" customHeight="1">
      <c r="A14" s="33">
        <v>3</v>
      </c>
      <c r="B14" s="243" t="s">
        <v>30</v>
      </c>
      <c r="C14" s="34" t="s">
        <v>31</v>
      </c>
      <c r="D14" s="35"/>
      <c r="E14" s="35"/>
      <c r="F14" s="36"/>
      <c r="G14" s="37"/>
      <c r="H14" s="37"/>
      <c r="I14" s="37"/>
      <c r="J14" s="37"/>
      <c r="K14" s="37"/>
      <c r="L14" s="38"/>
      <c r="M14" s="39"/>
      <c r="N14" s="39"/>
      <c r="O14" s="37"/>
      <c r="P14" s="37"/>
      <c r="Q14" s="37"/>
      <c r="R14" s="38"/>
      <c r="S14" s="39"/>
      <c r="T14" s="39"/>
      <c r="U14" s="39"/>
      <c r="V14" s="39"/>
      <c r="W14" s="37"/>
      <c r="X14" s="39"/>
      <c r="Y14" s="39"/>
      <c r="Z14" s="39"/>
      <c r="AA14" s="40"/>
      <c r="AB14" s="41"/>
      <c r="AC14" s="41"/>
      <c r="AD14" s="279"/>
      <c r="AE14" s="279"/>
      <c r="AF14" s="279"/>
      <c r="AG14" s="279"/>
      <c r="AH14" s="279"/>
      <c r="AI14" s="279"/>
      <c r="AJ14" s="279"/>
      <c r="AK14" s="279"/>
      <c r="AL14" s="280"/>
      <c r="AM14" s="279"/>
      <c r="AN14" s="279"/>
      <c r="AO14" s="279"/>
      <c r="AP14" s="279"/>
      <c r="AQ14" s="279"/>
      <c r="AR14" s="41"/>
      <c r="AS14" s="41"/>
      <c r="AT14" s="41" t="e">
        <f t="shared" si="0"/>
        <v>#DIV/0!</v>
      </c>
    </row>
    <row r="15" spans="1:46" ht="18" customHeight="1">
      <c r="A15" s="33">
        <v>4</v>
      </c>
      <c r="B15" s="243" t="s">
        <v>32</v>
      </c>
      <c r="C15" s="34" t="s">
        <v>33</v>
      </c>
      <c r="D15" s="35"/>
      <c r="E15" s="35"/>
      <c r="F15" s="36"/>
      <c r="G15" s="37"/>
      <c r="H15" s="37"/>
      <c r="I15" s="37"/>
      <c r="J15" s="37"/>
      <c r="K15" s="37"/>
      <c r="L15" s="38"/>
      <c r="M15" s="39"/>
      <c r="N15" s="39"/>
      <c r="O15" s="37"/>
      <c r="P15" s="37"/>
      <c r="Q15" s="37"/>
      <c r="R15" s="38"/>
      <c r="S15" s="39"/>
      <c r="T15" s="39"/>
      <c r="U15" s="39"/>
      <c r="V15" s="39"/>
      <c r="W15" s="37"/>
      <c r="X15" s="39"/>
      <c r="Y15" s="39"/>
      <c r="Z15" s="39"/>
      <c r="AA15" s="40"/>
      <c r="AB15" s="41"/>
      <c r="AC15" s="41"/>
      <c r="AD15" s="279"/>
      <c r="AE15" s="279"/>
      <c r="AF15" s="279"/>
      <c r="AG15" s="279"/>
      <c r="AH15" s="279"/>
      <c r="AI15" s="279"/>
      <c r="AJ15" s="279"/>
      <c r="AK15" s="279"/>
      <c r="AL15" s="279"/>
      <c r="AM15" s="279"/>
      <c r="AN15" s="279"/>
      <c r="AO15" s="279"/>
      <c r="AP15" s="279"/>
      <c r="AQ15" s="279"/>
      <c r="AR15" s="41"/>
      <c r="AS15" s="41"/>
      <c r="AT15" s="41" t="e">
        <f t="shared" si="0"/>
        <v>#DIV/0!</v>
      </c>
    </row>
    <row r="16" spans="1:46" ht="18" customHeight="1">
      <c r="A16" s="33">
        <v>5</v>
      </c>
      <c r="B16" s="243" t="s">
        <v>34</v>
      </c>
      <c r="C16" s="34" t="s">
        <v>35</v>
      </c>
      <c r="D16" s="35"/>
      <c r="E16" s="35"/>
      <c r="F16" s="36"/>
      <c r="G16" s="37"/>
      <c r="H16" s="37"/>
      <c r="I16" s="37"/>
      <c r="J16" s="37"/>
      <c r="K16" s="37"/>
      <c r="L16" s="38"/>
      <c r="M16" s="39"/>
      <c r="N16" s="39"/>
      <c r="O16" s="37"/>
      <c r="P16" s="37"/>
      <c r="Q16" s="37"/>
      <c r="R16" s="38"/>
      <c r="S16" s="39"/>
      <c r="T16" s="39"/>
      <c r="U16" s="39"/>
      <c r="V16" s="39"/>
      <c r="W16" s="37"/>
      <c r="X16" s="39"/>
      <c r="Y16" s="39"/>
      <c r="Z16" s="39"/>
      <c r="AA16" s="40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 t="e">
        <f t="shared" si="0"/>
        <v>#DIV/0!</v>
      </c>
    </row>
    <row r="17" spans="1:46" ht="18" customHeight="1">
      <c r="A17" s="33">
        <v>6</v>
      </c>
      <c r="B17" s="243" t="s">
        <v>36</v>
      </c>
      <c r="C17" s="34" t="s">
        <v>37</v>
      </c>
      <c r="D17" s="35"/>
      <c r="E17" s="35"/>
      <c r="F17" s="36"/>
      <c r="G17" s="37"/>
      <c r="H17" s="37"/>
      <c r="I17" s="37"/>
      <c r="J17" s="37"/>
      <c r="K17" s="37"/>
      <c r="L17" s="38"/>
      <c r="M17" s="39"/>
      <c r="N17" s="39"/>
      <c r="O17" s="37"/>
      <c r="P17" s="37"/>
      <c r="Q17" s="37"/>
      <c r="R17" s="38"/>
      <c r="S17" s="39"/>
      <c r="T17" s="39"/>
      <c r="U17" s="39"/>
      <c r="V17" s="39"/>
      <c r="W17" s="37"/>
      <c r="X17" s="39"/>
      <c r="Y17" s="39"/>
      <c r="Z17" s="39"/>
      <c r="AA17" s="40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 t="e">
        <f t="shared" si="0"/>
        <v>#DIV/0!</v>
      </c>
    </row>
    <row r="18" spans="1:46" ht="18" customHeight="1">
      <c r="A18" s="33">
        <v>7</v>
      </c>
      <c r="B18" s="243" t="s">
        <v>38</v>
      </c>
      <c r="C18" s="34" t="s">
        <v>39</v>
      </c>
      <c r="D18" s="35"/>
      <c r="E18" s="35"/>
      <c r="F18" s="36"/>
      <c r="G18" s="37"/>
      <c r="H18" s="37"/>
      <c r="I18" s="37"/>
      <c r="J18" s="37"/>
      <c r="K18" s="37"/>
      <c r="L18" s="38"/>
      <c r="M18" s="39"/>
      <c r="N18" s="39"/>
      <c r="O18" s="37"/>
      <c r="P18" s="37"/>
      <c r="Q18" s="37"/>
      <c r="R18" s="38"/>
      <c r="S18" s="39"/>
      <c r="T18" s="39"/>
      <c r="U18" s="39"/>
      <c r="V18" s="39"/>
      <c r="W18" s="37"/>
      <c r="X18" s="39"/>
      <c r="Y18" s="39"/>
      <c r="Z18" s="39"/>
      <c r="AA18" s="40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 t="e">
        <f t="shared" si="0"/>
        <v>#DIV/0!</v>
      </c>
    </row>
    <row r="19" spans="1:46" ht="18" customHeight="1">
      <c r="A19" s="33">
        <v>8</v>
      </c>
      <c r="B19" s="243" t="s">
        <v>40</v>
      </c>
      <c r="C19" s="34" t="s">
        <v>41</v>
      </c>
      <c r="D19" s="35"/>
      <c r="E19" s="35"/>
      <c r="F19" s="36"/>
      <c r="G19" s="37"/>
      <c r="H19" s="37"/>
      <c r="I19" s="37"/>
      <c r="J19" s="37"/>
      <c r="K19" s="37"/>
      <c r="L19" s="38"/>
      <c r="M19" s="39"/>
      <c r="N19" s="39"/>
      <c r="O19" s="37"/>
      <c r="P19" s="37"/>
      <c r="Q19" s="37"/>
      <c r="R19" s="38"/>
      <c r="S19" s="39"/>
      <c r="T19" s="39"/>
      <c r="U19" s="39"/>
      <c r="V19" s="39"/>
      <c r="W19" s="37"/>
      <c r="X19" s="39"/>
      <c r="Y19" s="39"/>
      <c r="Z19" s="39"/>
      <c r="AA19" s="40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 t="e">
        <f t="shared" si="0"/>
        <v>#DIV/0!</v>
      </c>
    </row>
    <row r="20" spans="1:46" ht="18" customHeight="1">
      <c r="A20" s="33">
        <v>9</v>
      </c>
      <c r="B20" s="243" t="s">
        <v>42</v>
      </c>
      <c r="C20" s="34" t="s">
        <v>43</v>
      </c>
      <c r="D20" s="35"/>
      <c r="E20" s="35"/>
      <c r="F20" s="36"/>
      <c r="G20" s="37"/>
      <c r="H20" s="37"/>
      <c r="I20" s="37"/>
      <c r="J20" s="37"/>
      <c r="K20" s="37"/>
      <c r="L20" s="38"/>
      <c r="M20" s="39"/>
      <c r="N20" s="39"/>
      <c r="O20" s="37"/>
      <c r="P20" s="37"/>
      <c r="Q20" s="37"/>
      <c r="R20" s="38"/>
      <c r="S20" s="39"/>
      <c r="T20" s="39"/>
      <c r="U20" s="39"/>
      <c r="V20" s="39"/>
      <c r="W20" s="37"/>
      <c r="X20" s="39"/>
      <c r="Y20" s="39"/>
      <c r="Z20" s="39"/>
      <c r="AA20" s="40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 t="e">
        <f t="shared" si="0"/>
        <v>#DIV/0!</v>
      </c>
    </row>
    <row r="21" spans="1:46" ht="18" customHeight="1">
      <c r="A21" s="33">
        <v>10</v>
      </c>
      <c r="B21" s="243" t="s">
        <v>44</v>
      </c>
      <c r="C21" s="34" t="s">
        <v>45</v>
      </c>
      <c r="D21" s="35"/>
      <c r="E21" s="35"/>
      <c r="F21" s="36"/>
      <c r="G21" s="37"/>
      <c r="H21" s="37"/>
      <c r="I21" s="37"/>
      <c r="J21" s="37"/>
      <c r="K21" s="37"/>
      <c r="L21" s="38"/>
      <c r="M21" s="39"/>
      <c r="N21" s="39"/>
      <c r="O21" s="37"/>
      <c r="P21" s="37"/>
      <c r="Q21" s="37"/>
      <c r="R21" s="38"/>
      <c r="S21" s="39"/>
      <c r="T21" s="39"/>
      <c r="U21" s="39"/>
      <c r="V21" s="39"/>
      <c r="W21" s="37"/>
      <c r="X21" s="39"/>
      <c r="Y21" s="39"/>
      <c r="Z21" s="39"/>
      <c r="AA21" s="40"/>
      <c r="AS21" s="5"/>
      <c r="AT21" s="41" t="e">
        <f t="shared" si="0"/>
        <v>#DIV/0!</v>
      </c>
    </row>
    <row r="22" spans="1:46" ht="18" customHeight="1">
      <c r="A22" s="33">
        <v>11</v>
      </c>
      <c r="B22" s="243" t="s">
        <v>46</v>
      </c>
      <c r="C22" s="34" t="s">
        <v>47</v>
      </c>
      <c r="D22" s="35"/>
      <c r="E22" s="35"/>
      <c r="F22" s="36"/>
      <c r="G22" s="37"/>
      <c r="H22" s="37"/>
      <c r="I22" s="37"/>
      <c r="J22" s="37"/>
      <c r="K22" s="37"/>
      <c r="L22" s="38"/>
      <c r="M22" s="39"/>
      <c r="N22" s="39"/>
      <c r="O22" s="37"/>
      <c r="P22" s="37"/>
      <c r="Q22" s="37"/>
      <c r="R22" s="38"/>
      <c r="S22" s="39"/>
      <c r="T22" s="39"/>
      <c r="U22" s="39"/>
      <c r="V22" s="39"/>
      <c r="W22" s="37"/>
      <c r="X22" s="39"/>
      <c r="Y22" s="39"/>
      <c r="Z22" s="39"/>
      <c r="AA22" s="40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1" t="e">
        <f t="shared" si="0"/>
        <v>#DIV/0!</v>
      </c>
    </row>
    <row r="23" spans="1:46" ht="18" customHeight="1">
      <c r="A23" s="33">
        <v>12</v>
      </c>
      <c r="B23" s="243" t="s">
        <v>48</v>
      </c>
      <c r="C23" s="34" t="s">
        <v>49</v>
      </c>
      <c r="D23" s="35"/>
      <c r="E23" s="35"/>
      <c r="F23" s="36"/>
      <c r="G23" s="37"/>
      <c r="H23" s="37"/>
      <c r="I23" s="37"/>
      <c r="J23" s="37"/>
      <c r="K23" s="37"/>
      <c r="L23" s="38"/>
      <c r="M23" s="39"/>
      <c r="N23" s="39"/>
      <c r="O23" s="37"/>
      <c r="P23" s="37"/>
      <c r="Q23" s="37"/>
      <c r="R23" s="38"/>
      <c r="S23" s="39"/>
      <c r="T23" s="39"/>
      <c r="U23" s="39"/>
      <c r="V23" s="39"/>
      <c r="W23" s="37"/>
      <c r="X23" s="39"/>
      <c r="Y23" s="39"/>
      <c r="Z23" s="39"/>
      <c r="AA23" s="40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1" t="e">
        <f t="shared" si="0"/>
        <v>#DIV/0!</v>
      </c>
    </row>
    <row r="24" spans="1:46" ht="18" customHeight="1">
      <c r="A24" s="33">
        <v>13</v>
      </c>
      <c r="B24" s="243" t="s">
        <v>50</v>
      </c>
      <c r="C24" s="34" t="s">
        <v>51</v>
      </c>
      <c r="D24" s="35"/>
      <c r="E24" s="35"/>
      <c r="F24" s="36"/>
      <c r="G24" s="37"/>
      <c r="H24" s="37"/>
      <c r="I24" s="37"/>
      <c r="J24" s="37"/>
      <c r="K24" s="37"/>
      <c r="L24" s="38"/>
      <c r="M24" s="39"/>
      <c r="N24" s="39"/>
      <c r="O24" s="37"/>
      <c r="P24" s="37"/>
      <c r="Q24" s="37"/>
      <c r="R24" s="38"/>
      <c r="S24" s="39"/>
      <c r="T24" s="39"/>
      <c r="U24" s="39"/>
      <c r="V24" s="39"/>
      <c r="W24" s="37"/>
      <c r="X24" s="39"/>
      <c r="Y24" s="39"/>
      <c r="Z24" s="39"/>
      <c r="AA24" s="40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1" t="e">
        <f t="shared" si="0"/>
        <v>#DIV/0!</v>
      </c>
    </row>
    <row r="25" spans="1:46" ht="18" customHeight="1">
      <c r="A25" s="33">
        <v>14</v>
      </c>
      <c r="B25" s="243" t="s">
        <v>52</v>
      </c>
      <c r="C25" s="34" t="s">
        <v>53</v>
      </c>
      <c r="D25" s="35"/>
      <c r="E25" s="35"/>
      <c r="F25" s="36"/>
      <c r="G25" s="37"/>
      <c r="H25" s="37"/>
      <c r="I25" s="37"/>
      <c r="J25" s="37"/>
      <c r="K25" s="37"/>
      <c r="L25" s="38"/>
      <c r="M25" s="39"/>
      <c r="N25" s="39"/>
      <c r="O25" s="37"/>
      <c r="P25" s="37"/>
      <c r="Q25" s="37"/>
      <c r="R25" s="38"/>
      <c r="S25" s="39"/>
      <c r="T25" s="39"/>
      <c r="U25" s="39"/>
      <c r="V25" s="39"/>
      <c r="W25" s="37"/>
      <c r="X25" s="39"/>
      <c r="Y25" s="39"/>
      <c r="Z25" s="39"/>
      <c r="AA25" s="40"/>
      <c r="AT25" s="41" t="e">
        <f t="shared" si="0"/>
        <v>#DIV/0!</v>
      </c>
    </row>
    <row r="26" spans="1:46" ht="18" customHeight="1">
      <c r="A26" s="33">
        <v>15</v>
      </c>
      <c r="B26" s="243" t="s">
        <v>54</v>
      </c>
      <c r="C26" s="34" t="s">
        <v>55</v>
      </c>
      <c r="D26" s="35"/>
      <c r="E26" s="35"/>
      <c r="F26" s="36"/>
      <c r="G26" s="37"/>
      <c r="H26" s="37"/>
      <c r="I26" s="37"/>
      <c r="J26" s="37"/>
      <c r="K26" s="37"/>
      <c r="L26" s="38"/>
      <c r="M26" s="39"/>
      <c r="N26" s="39"/>
      <c r="O26" s="37"/>
      <c r="P26" s="37"/>
      <c r="Q26" s="37"/>
      <c r="R26" s="38"/>
      <c r="S26" s="39"/>
      <c r="T26" s="39"/>
      <c r="U26" s="39"/>
      <c r="V26" s="39"/>
      <c r="W26" s="37"/>
      <c r="X26" s="39"/>
      <c r="Y26" s="39"/>
      <c r="Z26" s="39"/>
      <c r="AA26" s="40"/>
      <c r="AT26" s="41" t="e">
        <f t="shared" si="0"/>
        <v>#DIV/0!</v>
      </c>
    </row>
    <row r="27" spans="1:46" ht="18" customHeight="1">
      <c r="A27" s="33">
        <v>16</v>
      </c>
      <c r="B27" s="243" t="s">
        <v>56</v>
      </c>
      <c r="C27" s="34" t="s">
        <v>57</v>
      </c>
      <c r="D27" s="35"/>
      <c r="E27" s="35"/>
      <c r="F27" s="36"/>
      <c r="G27" s="37"/>
      <c r="H27" s="37"/>
      <c r="I27" s="37"/>
      <c r="J27" s="37"/>
      <c r="K27" s="37"/>
      <c r="L27" s="38"/>
      <c r="M27" s="39"/>
      <c r="N27" s="39"/>
      <c r="O27" s="37"/>
      <c r="P27" s="37"/>
      <c r="Q27" s="37"/>
      <c r="R27" s="38"/>
      <c r="S27" s="39"/>
      <c r="T27" s="39"/>
      <c r="U27" s="39"/>
      <c r="V27" s="39"/>
      <c r="W27" s="37"/>
      <c r="X27" s="39"/>
      <c r="Y27" s="39"/>
      <c r="Z27" s="39"/>
      <c r="AA27" s="40"/>
      <c r="AT27" s="41" t="e">
        <f t="shared" si="0"/>
        <v>#DIV/0!</v>
      </c>
    </row>
    <row r="28" spans="1:46" ht="18" customHeight="1">
      <c r="A28" s="33">
        <v>17</v>
      </c>
      <c r="B28" s="243" t="s">
        <v>58</v>
      </c>
      <c r="C28" s="34" t="s">
        <v>59</v>
      </c>
      <c r="D28" s="35"/>
      <c r="E28" s="35"/>
      <c r="F28" s="36"/>
      <c r="G28" s="37"/>
      <c r="H28" s="37"/>
      <c r="I28" s="37"/>
      <c r="J28" s="37"/>
      <c r="K28" s="37"/>
      <c r="L28" s="38"/>
      <c r="M28" s="39"/>
      <c r="N28" s="39"/>
      <c r="O28" s="37"/>
      <c r="P28" s="37"/>
      <c r="Q28" s="37"/>
      <c r="R28" s="38"/>
      <c r="S28" s="39"/>
      <c r="T28" s="39"/>
      <c r="U28" s="39"/>
      <c r="V28" s="39"/>
      <c r="W28" s="37"/>
      <c r="X28" s="39"/>
      <c r="Y28" s="39"/>
      <c r="Z28" s="39"/>
      <c r="AA28" s="40"/>
      <c r="AT28" s="41" t="e">
        <f t="shared" si="0"/>
        <v>#DIV/0!</v>
      </c>
    </row>
    <row r="29" spans="1:46" ht="18" customHeight="1">
      <c r="A29" s="33">
        <v>18</v>
      </c>
      <c r="B29" s="243" t="s">
        <v>60</v>
      </c>
      <c r="C29" s="34" t="s">
        <v>61</v>
      </c>
      <c r="D29" s="35"/>
      <c r="E29" s="35"/>
      <c r="F29" s="36"/>
      <c r="G29" s="37"/>
      <c r="H29" s="37"/>
      <c r="I29" s="37"/>
      <c r="J29" s="37"/>
      <c r="K29" s="37"/>
      <c r="L29" s="38"/>
      <c r="M29" s="39"/>
      <c r="N29" s="39"/>
      <c r="O29" s="37"/>
      <c r="P29" s="37"/>
      <c r="Q29" s="37"/>
      <c r="R29" s="38"/>
      <c r="S29" s="39"/>
      <c r="T29" s="39"/>
      <c r="U29" s="39"/>
      <c r="V29" s="39"/>
      <c r="W29" s="37"/>
      <c r="X29" s="39"/>
      <c r="Y29" s="39"/>
      <c r="Z29" s="39"/>
      <c r="AA29" s="40"/>
      <c r="AT29" s="41" t="e">
        <f t="shared" si="0"/>
        <v>#DIV/0!</v>
      </c>
    </row>
    <row r="30" spans="1:46" ht="18" customHeight="1">
      <c r="A30" s="33">
        <v>19</v>
      </c>
      <c r="B30" s="243" t="s">
        <v>62</v>
      </c>
      <c r="C30" s="34" t="s">
        <v>63</v>
      </c>
      <c r="D30" s="35"/>
      <c r="E30" s="35"/>
      <c r="F30" s="36"/>
      <c r="G30" s="37"/>
      <c r="H30" s="37"/>
      <c r="I30" s="37"/>
      <c r="J30" s="37"/>
      <c r="K30" s="37"/>
      <c r="L30" s="38"/>
      <c r="M30" s="39"/>
      <c r="N30" s="39"/>
      <c r="O30" s="37"/>
      <c r="P30" s="37"/>
      <c r="Q30" s="37"/>
      <c r="R30" s="38"/>
      <c r="S30" s="39"/>
      <c r="T30" s="39"/>
      <c r="U30" s="39"/>
      <c r="V30" s="39"/>
      <c r="W30" s="37"/>
      <c r="X30" s="39"/>
      <c r="Y30" s="39"/>
      <c r="Z30" s="39"/>
      <c r="AA30" s="40"/>
      <c r="AT30" s="41" t="e">
        <f t="shared" si="0"/>
        <v>#DIV/0!</v>
      </c>
    </row>
    <row r="31" spans="1:46" ht="18" customHeight="1">
      <c r="A31" s="33">
        <v>20</v>
      </c>
      <c r="B31" s="243" t="s">
        <v>64</v>
      </c>
      <c r="C31" s="34" t="s">
        <v>65</v>
      </c>
      <c r="D31" s="35"/>
      <c r="E31" s="35"/>
      <c r="F31" s="36"/>
      <c r="G31" s="37"/>
      <c r="H31" s="37"/>
      <c r="I31" s="37"/>
      <c r="J31" s="37"/>
      <c r="K31" s="37"/>
      <c r="L31" s="38"/>
      <c r="M31" s="39"/>
      <c r="N31" s="39"/>
      <c r="O31" s="37"/>
      <c r="P31" s="37"/>
      <c r="Q31" s="37"/>
      <c r="R31" s="38"/>
      <c r="S31" s="39"/>
      <c r="T31" s="39"/>
      <c r="U31" s="39"/>
      <c r="V31" s="39"/>
      <c r="W31" s="37"/>
      <c r="X31" s="39"/>
      <c r="Y31" s="39"/>
      <c r="Z31" s="39"/>
      <c r="AA31" s="40"/>
      <c r="AT31" s="41" t="e">
        <f t="shared" si="0"/>
        <v>#DIV/0!</v>
      </c>
    </row>
    <row r="32" spans="1:46" ht="18" customHeight="1">
      <c r="A32" s="33"/>
      <c r="B32" s="243"/>
      <c r="C32" s="34"/>
      <c r="D32" s="35"/>
      <c r="E32" s="35"/>
      <c r="F32" s="36"/>
      <c r="G32" s="37"/>
      <c r="H32" s="37"/>
      <c r="I32" s="37"/>
      <c r="J32" s="37"/>
      <c r="K32" s="37"/>
      <c r="L32" s="38"/>
      <c r="M32" s="39"/>
      <c r="N32" s="39"/>
      <c r="O32" s="37"/>
      <c r="P32" s="37"/>
      <c r="Q32" s="37"/>
      <c r="R32" s="38"/>
      <c r="S32" s="39"/>
      <c r="T32" s="39"/>
      <c r="U32" s="39"/>
      <c r="V32" s="39"/>
      <c r="W32" s="37"/>
      <c r="X32" s="39"/>
      <c r="Y32" s="39"/>
      <c r="Z32" s="39"/>
      <c r="AA32" s="40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T32" s="41" t="e">
        <f t="shared" si="0"/>
        <v>#DIV/0!</v>
      </c>
    </row>
    <row r="33" spans="1:46" ht="18" customHeight="1">
      <c r="A33" s="33"/>
      <c r="B33" s="243"/>
      <c r="C33" s="34"/>
      <c r="D33" s="35"/>
      <c r="E33" s="35"/>
      <c r="F33" s="36"/>
      <c r="G33" s="37"/>
      <c r="H33" s="37"/>
      <c r="I33" s="37"/>
      <c r="J33" s="37"/>
      <c r="K33" s="37"/>
      <c r="L33" s="38"/>
      <c r="M33" s="39"/>
      <c r="N33" s="39"/>
      <c r="O33" s="37"/>
      <c r="P33" s="37"/>
      <c r="Q33" s="37"/>
      <c r="R33" s="38"/>
      <c r="S33" s="39"/>
      <c r="T33" s="39"/>
      <c r="U33" s="39"/>
      <c r="V33" s="39"/>
      <c r="W33" s="37"/>
      <c r="X33" s="39"/>
      <c r="Y33" s="39"/>
      <c r="Z33" s="39"/>
      <c r="AA33" s="40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T33" s="41" t="e">
        <f t="shared" si="0"/>
        <v>#DIV/0!</v>
      </c>
    </row>
    <row r="34" spans="1:46" ht="18" customHeight="1">
      <c r="A34" s="33"/>
      <c r="B34" s="243"/>
      <c r="C34" s="34"/>
      <c r="D34" s="35"/>
      <c r="E34" s="35"/>
      <c r="F34" s="36"/>
      <c r="G34" s="37"/>
      <c r="H34" s="37"/>
      <c r="I34" s="37"/>
      <c r="J34" s="37"/>
      <c r="K34" s="37"/>
      <c r="L34" s="38"/>
      <c r="M34" s="39"/>
      <c r="N34" s="39"/>
      <c r="O34" s="37"/>
      <c r="P34" s="37"/>
      <c r="Q34" s="37"/>
      <c r="R34" s="38"/>
      <c r="S34" s="39"/>
      <c r="T34" s="39"/>
      <c r="U34" s="39"/>
      <c r="V34" s="39"/>
      <c r="W34" s="37"/>
      <c r="X34" s="39"/>
      <c r="Y34" s="39"/>
      <c r="Z34" s="39"/>
      <c r="AA34" s="40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T34" s="41" t="e">
        <f t="shared" si="0"/>
        <v>#DIV/0!</v>
      </c>
    </row>
    <row r="35" spans="1:46" ht="18" customHeight="1">
      <c r="A35" s="33"/>
      <c r="B35" s="243"/>
      <c r="C35" s="34"/>
      <c r="D35" s="35"/>
      <c r="E35" s="35"/>
      <c r="F35" s="36"/>
      <c r="G35" s="37"/>
      <c r="H35" s="37"/>
      <c r="I35" s="37"/>
      <c r="J35" s="37"/>
      <c r="K35" s="37"/>
      <c r="L35" s="38"/>
      <c r="M35" s="39"/>
      <c r="N35" s="39"/>
      <c r="O35" s="37"/>
      <c r="P35" s="37"/>
      <c r="Q35" s="37"/>
      <c r="R35" s="38"/>
      <c r="S35" s="39"/>
      <c r="T35" s="39"/>
      <c r="U35" s="39"/>
      <c r="V35" s="39"/>
      <c r="W35" s="37"/>
      <c r="X35" s="39"/>
      <c r="Y35" s="39"/>
      <c r="Z35" s="39"/>
      <c r="AA35" s="40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T35" s="41" t="e">
        <f t="shared" si="0"/>
        <v>#DIV/0!</v>
      </c>
    </row>
    <row r="36" spans="1:46" ht="18" customHeight="1">
      <c r="A36" s="33"/>
      <c r="B36" s="243"/>
      <c r="C36" s="34"/>
      <c r="D36" s="35"/>
      <c r="E36" s="35"/>
      <c r="F36" s="36"/>
      <c r="G36" s="37"/>
      <c r="H36" s="37"/>
      <c r="I36" s="37"/>
      <c r="J36" s="37"/>
      <c r="K36" s="37"/>
      <c r="L36" s="38"/>
      <c r="M36" s="39"/>
      <c r="N36" s="39"/>
      <c r="O36" s="37"/>
      <c r="P36" s="37"/>
      <c r="Q36" s="37"/>
      <c r="R36" s="38"/>
      <c r="S36" s="39"/>
      <c r="T36" s="39"/>
      <c r="U36" s="39"/>
      <c r="V36" s="39"/>
      <c r="W36" s="37"/>
      <c r="X36" s="39"/>
      <c r="Y36" s="39"/>
      <c r="Z36" s="39"/>
      <c r="AA36" s="40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T36" s="41" t="e">
        <f t="shared" si="0"/>
        <v>#DIV/0!</v>
      </c>
    </row>
    <row r="37" spans="1:46" ht="18" customHeight="1">
      <c r="A37" s="33"/>
      <c r="B37" s="243"/>
      <c r="C37" s="34"/>
      <c r="D37" s="35"/>
      <c r="E37" s="35"/>
      <c r="F37" s="36"/>
      <c r="G37" s="37"/>
      <c r="H37" s="37"/>
      <c r="I37" s="37"/>
      <c r="J37" s="37"/>
      <c r="K37" s="37"/>
      <c r="L37" s="38"/>
      <c r="M37" s="39"/>
      <c r="N37" s="39"/>
      <c r="O37" s="37"/>
      <c r="P37" s="37"/>
      <c r="Q37" s="37"/>
      <c r="R37" s="38"/>
      <c r="S37" s="39"/>
      <c r="T37" s="39"/>
      <c r="U37" s="39"/>
      <c r="V37" s="39"/>
      <c r="W37" s="37"/>
      <c r="X37" s="39"/>
      <c r="Y37" s="39"/>
      <c r="Z37" s="39"/>
      <c r="AA37" s="40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T37" s="41" t="e">
        <f t="shared" si="0"/>
        <v>#DIV/0!</v>
      </c>
    </row>
    <row r="38" spans="1:46" ht="18" customHeight="1">
      <c r="A38" s="33"/>
      <c r="B38" s="243"/>
      <c r="C38" s="34"/>
      <c r="D38" s="35"/>
      <c r="E38" s="35"/>
      <c r="F38" s="36"/>
      <c r="G38" s="37"/>
      <c r="H38" s="37"/>
      <c r="I38" s="37"/>
      <c r="J38" s="37"/>
      <c r="K38" s="37"/>
      <c r="L38" s="38"/>
      <c r="M38" s="39"/>
      <c r="N38" s="39"/>
      <c r="O38" s="37"/>
      <c r="P38" s="37"/>
      <c r="Q38" s="37"/>
      <c r="R38" s="38"/>
      <c r="S38" s="39"/>
      <c r="T38" s="39"/>
      <c r="U38" s="39"/>
      <c r="V38" s="39"/>
      <c r="W38" s="37"/>
      <c r="X38" s="39"/>
      <c r="Y38" s="39"/>
      <c r="Z38" s="39"/>
      <c r="AA38" s="40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T38" s="41" t="e">
        <f t="shared" si="0"/>
        <v>#DIV/0!</v>
      </c>
    </row>
    <row r="39" spans="1:46" ht="18" customHeight="1">
      <c r="A39" s="33"/>
      <c r="B39" s="243"/>
      <c r="C39" s="34"/>
      <c r="D39" s="35"/>
      <c r="E39" s="35"/>
      <c r="F39" s="36"/>
      <c r="G39" s="37"/>
      <c r="H39" s="37"/>
      <c r="I39" s="37"/>
      <c r="J39" s="37"/>
      <c r="K39" s="37"/>
      <c r="L39" s="38"/>
      <c r="M39" s="39"/>
      <c r="N39" s="39"/>
      <c r="O39" s="37"/>
      <c r="P39" s="37"/>
      <c r="Q39" s="37"/>
      <c r="R39" s="38"/>
      <c r="S39" s="39"/>
      <c r="T39" s="39"/>
      <c r="U39" s="39"/>
      <c r="V39" s="39"/>
      <c r="W39" s="37"/>
      <c r="X39" s="39"/>
      <c r="Y39" s="39"/>
      <c r="Z39" s="39"/>
      <c r="AA39" s="40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T39" s="41" t="e">
        <f t="shared" si="0"/>
        <v>#DIV/0!</v>
      </c>
    </row>
    <row r="40" spans="1:46" ht="18" customHeight="1">
      <c r="A40" s="33"/>
      <c r="B40" s="243"/>
      <c r="C40" s="34"/>
      <c r="D40" s="35"/>
      <c r="E40" s="35"/>
      <c r="F40" s="36"/>
      <c r="G40" s="37"/>
      <c r="H40" s="37"/>
      <c r="I40" s="37"/>
      <c r="J40" s="37"/>
      <c r="K40" s="37"/>
      <c r="L40" s="38"/>
      <c r="M40" s="39"/>
      <c r="N40" s="39"/>
      <c r="O40" s="37"/>
      <c r="P40" s="37"/>
      <c r="Q40" s="37"/>
      <c r="R40" s="38"/>
      <c r="S40" s="39"/>
      <c r="T40" s="39"/>
      <c r="U40" s="39"/>
      <c r="V40" s="39"/>
      <c r="W40" s="37"/>
      <c r="X40" s="39"/>
      <c r="Y40" s="39"/>
      <c r="Z40" s="39"/>
      <c r="AA40" s="40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T40" s="41" t="e">
        <f t="shared" si="0"/>
        <v>#DIV/0!</v>
      </c>
    </row>
    <row r="41" spans="1:46" ht="18" customHeight="1">
      <c r="A41" s="33"/>
      <c r="B41" s="243"/>
      <c r="C41" s="34"/>
      <c r="D41" s="35"/>
      <c r="E41" s="35"/>
      <c r="F41" s="36"/>
      <c r="G41" s="37"/>
      <c r="H41" s="37"/>
      <c r="I41" s="37"/>
      <c r="J41" s="37"/>
      <c r="K41" s="37"/>
      <c r="L41" s="38"/>
      <c r="M41" s="39"/>
      <c r="N41" s="39"/>
      <c r="O41" s="37"/>
      <c r="P41" s="37"/>
      <c r="Q41" s="37"/>
      <c r="R41" s="38"/>
      <c r="S41" s="39"/>
      <c r="T41" s="39"/>
      <c r="U41" s="39"/>
      <c r="V41" s="39"/>
      <c r="W41" s="37"/>
      <c r="X41" s="39"/>
      <c r="Y41" s="39"/>
      <c r="Z41" s="39"/>
      <c r="AA41" s="40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T41" s="41" t="e">
        <f t="shared" si="0"/>
        <v>#DIV/0!</v>
      </c>
    </row>
    <row r="42" spans="1:46" ht="18" customHeight="1">
      <c r="A42" s="33"/>
      <c r="B42" s="243"/>
      <c r="C42" s="34"/>
      <c r="D42" s="35"/>
      <c r="E42" s="35"/>
      <c r="F42" s="36"/>
      <c r="G42" s="37"/>
      <c r="H42" s="37"/>
      <c r="I42" s="37"/>
      <c r="J42" s="37"/>
      <c r="K42" s="37"/>
      <c r="L42" s="38"/>
      <c r="M42" s="39"/>
      <c r="N42" s="39"/>
      <c r="O42" s="37"/>
      <c r="P42" s="37"/>
      <c r="Q42" s="37"/>
      <c r="R42" s="38"/>
      <c r="S42" s="39"/>
      <c r="T42" s="39"/>
      <c r="U42" s="39"/>
      <c r="V42" s="39"/>
      <c r="W42" s="37"/>
      <c r="X42" s="39"/>
      <c r="Y42" s="39"/>
      <c r="Z42" s="39"/>
      <c r="AA42" s="40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T42" s="41" t="e">
        <f t="shared" si="0"/>
        <v>#DIV/0!</v>
      </c>
    </row>
    <row r="43" spans="1:46" ht="18" customHeight="1">
      <c r="A43" s="33"/>
      <c r="B43" s="243"/>
      <c r="C43" s="34"/>
      <c r="D43" s="35"/>
      <c r="E43" s="35"/>
      <c r="F43" s="36"/>
      <c r="G43" s="37"/>
      <c r="H43" s="37"/>
      <c r="I43" s="37"/>
      <c r="J43" s="37"/>
      <c r="K43" s="37"/>
      <c r="L43" s="38"/>
      <c r="M43" s="39"/>
      <c r="N43" s="39"/>
      <c r="O43" s="37"/>
      <c r="P43" s="37"/>
      <c r="Q43" s="37"/>
      <c r="R43" s="38"/>
      <c r="S43" s="39"/>
      <c r="T43" s="39"/>
      <c r="U43" s="39"/>
      <c r="V43" s="39"/>
      <c r="W43" s="37"/>
      <c r="X43" s="39"/>
      <c r="Y43" s="39"/>
      <c r="Z43" s="39"/>
      <c r="AA43" s="40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T43" s="41" t="e">
        <f t="shared" si="0"/>
        <v>#DIV/0!</v>
      </c>
    </row>
    <row r="44" spans="1:46" ht="18" customHeight="1">
      <c r="A44" s="33"/>
      <c r="B44" s="243"/>
      <c r="C44" s="34"/>
      <c r="D44" s="35"/>
      <c r="E44" s="35"/>
      <c r="F44" s="36"/>
      <c r="G44" s="37"/>
      <c r="H44" s="37"/>
      <c r="I44" s="37"/>
      <c r="J44" s="37"/>
      <c r="K44" s="37"/>
      <c r="L44" s="38"/>
      <c r="M44" s="39"/>
      <c r="N44" s="39"/>
      <c r="O44" s="37"/>
      <c r="P44" s="37"/>
      <c r="Q44" s="37"/>
      <c r="R44" s="38"/>
      <c r="S44" s="39"/>
      <c r="T44" s="39"/>
      <c r="U44" s="39"/>
      <c r="V44" s="39"/>
      <c r="W44" s="37"/>
      <c r="X44" s="39"/>
      <c r="Y44" s="39"/>
      <c r="Z44" s="39"/>
      <c r="AA44" s="40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T44" s="41" t="e">
        <f t="shared" si="0"/>
        <v>#DIV/0!</v>
      </c>
    </row>
    <row r="45" spans="1:46" ht="18" customHeight="1">
      <c r="A45" s="33"/>
      <c r="B45" s="243"/>
      <c r="C45" s="34"/>
      <c r="D45" s="35"/>
      <c r="E45" s="35"/>
      <c r="F45" s="36"/>
      <c r="G45" s="37"/>
      <c r="H45" s="37"/>
      <c r="I45" s="37"/>
      <c r="J45" s="37"/>
      <c r="K45" s="37"/>
      <c r="L45" s="38"/>
      <c r="M45" s="39"/>
      <c r="N45" s="39"/>
      <c r="O45" s="37"/>
      <c r="P45" s="37"/>
      <c r="Q45" s="37"/>
      <c r="R45" s="38"/>
      <c r="S45" s="39"/>
      <c r="T45" s="39"/>
      <c r="U45" s="39"/>
      <c r="V45" s="39"/>
      <c r="W45" s="37"/>
      <c r="X45" s="39"/>
      <c r="Y45" s="39"/>
      <c r="Z45" s="39"/>
      <c r="AA45" s="40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T45" s="41" t="e">
        <f t="shared" si="0"/>
        <v>#DIV/0!</v>
      </c>
    </row>
    <row r="46" spans="1:46" ht="18" customHeight="1">
      <c r="A46" s="33"/>
      <c r="B46" s="243"/>
      <c r="C46" s="34"/>
      <c r="D46" s="35"/>
      <c r="E46" s="35"/>
      <c r="F46" s="36"/>
      <c r="G46" s="37"/>
      <c r="H46" s="37"/>
      <c r="I46" s="37"/>
      <c r="J46" s="37"/>
      <c r="K46" s="37"/>
      <c r="L46" s="38"/>
      <c r="M46" s="39"/>
      <c r="N46" s="39"/>
      <c r="O46" s="37"/>
      <c r="P46" s="37"/>
      <c r="Q46" s="37"/>
      <c r="R46" s="38"/>
      <c r="S46" s="39"/>
      <c r="T46" s="39"/>
      <c r="U46" s="39"/>
      <c r="V46" s="39"/>
      <c r="W46" s="37"/>
      <c r="X46" s="39"/>
      <c r="Y46" s="39"/>
      <c r="Z46" s="39"/>
      <c r="AA46" s="40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T46" s="41" t="e">
        <f t="shared" si="0"/>
        <v>#DIV/0!</v>
      </c>
    </row>
    <row r="47" spans="1:46" ht="18" customHeight="1">
      <c r="A47" s="33"/>
      <c r="B47" s="243"/>
      <c r="C47" s="34"/>
      <c r="D47" s="35"/>
      <c r="E47" s="35"/>
      <c r="F47" s="36"/>
      <c r="G47" s="37"/>
      <c r="H47" s="37"/>
      <c r="I47" s="37"/>
      <c r="J47" s="37"/>
      <c r="K47" s="37"/>
      <c r="L47" s="38"/>
      <c r="M47" s="39"/>
      <c r="N47" s="39"/>
      <c r="O47" s="37"/>
      <c r="P47" s="37"/>
      <c r="Q47" s="37"/>
      <c r="R47" s="38"/>
      <c r="S47" s="39"/>
      <c r="T47" s="39"/>
      <c r="U47" s="39"/>
      <c r="V47" s="39"/>
      <c r="W47" s="37"/>
      <c r="X47" s="39"/>
      <c r="Y47" s="39"/>
      <c r="Z47" s="39"/>
      <c r="AA47" s="40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T47" s="41" t="e">
        <f t="shared" si="0"/>
        <v>#DIV/0!</v>
      </c>
    </row>
    <row r="48" spans="1:46" ht="18" customHeight="1">
      <c r="A48" s="33"/>
      <c r="B48" s="243"/>
      <c r="C48" s="34"/>
      <c r="D48" s="35"/>
      <c r="E48" s="35"/>
      <c r="F48" s="36"/>
      <c r="G48" s="37"/>
      <c r="H48" s="37"/>
      <c r="I48" s="37"/>
      <c r="J48" s="37"/>
      <c r="K48" s="37"/>
      <c r="L48" s="38"/>
      <c r="M48" s="39"/>
      <c r="N48" s="39"/>
      <c r="O48" s="37"/>
      <c r="P48" s="37"/>
      <c r="Q48" s="37"/>
      <c r="R48" s="38"/>
      <c r="S48" s="39"/>
      <c r="T48" s="39"/>
      <c r="U48" s="39"/>
      <c r="V48" s="39"/>
      <c r="W48" s="37"/>
      <c r="X48" s="39"/>
      <c r="Y48" s="39"/>
      <c r="Z48" s="39"/>
      <c r="AA48" s="40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T48" s="41" t="e">
        <f t="shared" si="0"/>
        <v>#DIV/0!</v>
      </c>
    </row>
    <row r="49" spans="1:64" ht="18" customHeight="1">
      <c r="A49" s="33"/>
      <c r="B49" s="243"/>
      <c r="C49" s="34"/>
      <c r="D49" s="35"/>
      <c r="E49" s="35"/>
      <c r="F49" s="36"/>
      <c r="G49" s="37"/>
      <c r="H49" s="37"/>
      <c r="I49" s="37"/>
      <c r="J49" s="37"/>
      <c r="K49" s="37"/>
      <c r="L49" s="38"/>
      <c r="M49" s="39"/>
      <c r="N49" s="39"/>
      <c r="O49" s="37"/>
      <c r="P49" s="37"/>
      <c r="Q49" s="37"/>
      <c r="R49" s="38"/>
      <c r="S49" s="39"/>
      <c r="T49" s="39"/>
      <c r="U49" s="39"/>
      <c r="V49" s="39"/>
      <c r="W49" s="37"/>
      <c r="X49" s="39"/>
      <c r="Y49" s="39"/>
      <c r="Z49" s="39"/>
      <c r="AA49" s="40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T49" s="41" t="e">
        <f t="shared" si="0"/>
        <v>#DIV/0!</v>
      </c>
    </row>
    <row r="50" spans="1:64" ht="18" customHeight="1">
      <c r="A50" s="33"/>
      <c r="B50" s="243"/>
      <c r="C50" s="34"/>
      <c r="D50" s="35"/>
      <c r="E50" s="35"/>
      <c r="F50" s="36"/>
      <c r="G50" s="37"/>
      <c r="H50" s="37"/>
      <c r="I50" s="37"/>
      <c r="J50" s="37"/>
      <c r="K50" s="37"/>
      <c r="L50" s="38"/>
      <c r="M50" s="39"/>
      <c r="N50" s="39"/>
      <c r="O50" s="37"/>
      <c r="P50" s="37"/>
      <c r="Q50" s="37"/>
      <c r="R50" s="38"/>
      <c r="S50" s="39"/>
      <c r="T50" s="39"/>
      <c r="U50" s="39"/>
      <c r="V50" s="39"/>
      <c r="W50" s="37"/>
      <c r="X50" s="39"/>
      <c r="Y50" s="39"/>
      <c r="Z50" s="39"/>
      <c r="AA50" s="40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T50" s="41" t="e">
        <f t="shared" si="0"/>
        <v>#DIV/0!</v>
      </c>
    </row>
    <row r="51" spans="1:64" ht="18" customHeight="1">
      <c r="A51" s="33"/>
      <c r="B51" s="243"/>
      <c r="C51" s="34"/>
      <c r="D51" s="35"/>
      <c r="E51" s="35"/>
      <c r="F51" s="36"/>
      <c r="G51" s="37"/>
      <c r="H51" s="37"/>
      <c r="I51" s="37"/>
      <c r="J51" s="37"/>
      <c r="K51" s="37"/>
      <c r="L51" s="38"/>
      <c r="M51" s="39"/>
      <c r="N51" s="39"/>
      <c r="O51" s="37"/>
      <c r="P51" s="37"/>
      <c r="Q51" s="37"/>
      <c r="R51" s="38"/>
      <c r="S51" s="39"/>
      <c r="T51" s="39"/>
      <c r="U51" s="39"/>
      <c r="V51" s="39"/>
      <c r="W51" s="37"/>
      <c r="X51" s="39"/>
      <c r="Y51" s="39"/>
      <c r="Z51" s="39"/>
      <c r="AA51" s="40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T51" s="41" t="e">
        <f t="shared" si="0"/>
        <v>#DIV/0!</v>
      </c>
    </row>
    <row r="52" spans="1:64" ht="18" customHeight="1">
      <c r="A52" s="33"/>
      <c r="B52" s="243"/>
      <c r="C52" s="34"/>
      <c r="D52" s="35"/>
      <c r="E52" s="35"/>
      <c r="F52" s="36"/>
      <c r="G52" s="37"/>
      <c r="H52" s="37"/>
      <c r="I52" s="37"/>
      <c r="J52" s="37"/>
      <c r="K52" s="37"/>
      <c r="L52" s="38"/>
      <c r="M52" s="39"/>
      <c r="N52" s="39"/>
      <c r="O52" s="37"/>
      <c r="P52" s="37"/>
      <c r="Q52" s="37"/>
      <c r="R52" s="38"/>
      <c r="S52" s="39"/>
      <c r="T52" s="39"/>
      <c r="U52" s="39"/>
      <c r="V52" s="39"/>
      <c r="W52" s="37"/>
      <c r="X52" s="39"/>
      <c r="Y52" s="39"/>
      <c r="Z52" s="39"/>
      <c r="AA52" s="40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1"/>
      <c r="AQ52" s="1"/>
      <c r="AR52" s="1"/>
      <c r="AS52" s="1"/>
      <c r="AT52" s="1"/>
    </row>
    <row r="53" spans="1:64" ht="18" customHeight="1">
      <c r="A53" s="33"/>
      <c r="B53" s="243"/>
      <c r="C53" s="34"/>
      <c r="D53" s="35"/>
      <c r="E53" s="35"/>
      <c r="F53" s="36"/>
      <c r="G53" s="37"/>
      <c r="H53" s="37"/>
      <c r="I53" s="37"/>
      <c r="J53" s="37"/>
      <c r="K53" s="37"/>
      <c r="L53" s="38"/>
      <c r="M53" s="39"/>
      <c r="N53" s="39"/>
      <c r="O53" s="37"/>
      <c r="P53" s="37"/>
      <c r="Q53" s="37"/>
      <c r="R53" s="38"/>
      <c r="S53" s="39"/>
      <c r="T53" s="39"/>
      <c r="U53" s="39"/>
      <c r="V53" s="39"/>
      <c r="W53" s="37"/>
      <c r="X53" s="39"/>
      <c r="Y53" s="39"/>
      <c r="Z53" s="39"/>
      <c r="AA53" s="40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1"/>
      <c r="AQ53" s="1"/>
      <c r="AR53" s="1"/>
      <c r="AS53" s="1"/>
      <c r="AT53" s="1"/>
    </row>
    <row r="54" spans="1:64" ht="18" customHeight="1">
      <c r="A54" s="33"/>
      <c r="B54" s="243"/>
      <c r="C54" s="34"/>
      <c r="D54" s="35"/>
      <c r="E54" s="35"/>
      <c r="F54" s="36"/>
      <c r="G54" s="37"/>
      <c r="H54" s="37"/>
      <c r="I54" s="37"/>
      <c r="J54" s="37"/>
      <c r="K54" s="37"/>
      <c r="L54" s="37"/>
      <c r="M54" s="37"/>
      <c r="N54" s="37"/>
      <c r="O54" s="38"/>
      <c r="P54" s="39"/>
      <c r="Q54" s="39"/>
      <c r="R54" s="37"/>
      <c r="S54" s="37"/>
      <c r="T54" s="37"/>
      <c r="U54" s="38"/>
      <c r="V54" s="39"/>
      <c r="W54" s="39"/>
      <c r="X54" s="39"/>
      <c r="Y54" s="39"/>
      <c r="Z54" s="37"/>
      <c r="AA54" s="39"/>
      <c r="AB54" s="39"/>
      <c r="AC54" s="39"/>
      <c r="AD54" s="40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1"/>
      <c r="AQ54" s="1"/>
      <c r="AR54" s="1"/>
      <c r="AS54" s="1"/>
      <c r="AT54" s="1"/>
      <c r="BJ54" s="1"/>
      <c r="BK54" s="1"/>
      <c r="BL54" s="1"/>
    </row>
    <row r="55" spans="1:64" ht="18" customHeight="1">
      <c r="A55" s="33"/>
      <c r="B55" s="243"/>
      <c r="C55" s="34"/>
      <c r="D55" s="35"/>
      <c r="E55" s="35"/>
      <c r="F55" s="36"/>
      <c r="G55" s="37"/>
      <c r="H55" s="37"/>
      <c r="I55" s="37"/>
      <c r="J55" s="37"/>
      <c r="K55" s="37"/>
      <c r="L55" s="37"/>
      <c r="M55" s="37"/>
      <c r="N55" s="37"/>
      <c r="O55" s="38"/>
      <c r="P55" s="39"/>
      <c r="Q55" s="39"/>
      <c r="R55" s="37"/>
      <c r="S55" s="37"/>
      <c r="T55" s="37"/>
      <c r="U55" s="38"/>
      <c r="V55" s="39"/>
      <c r="W55" s="39"/>
      <c r="X55" s="39"/>
      <c r="Y55" s="39"/>
      <c r="Z55" s="37"/>
      <c r="AA55" s="39"/>
      <c r="AB55" s="39"/>
      <c r="AC55" s="39"/>
      <c r="AD55" s="40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1"/>
      <c r="AQ55" s="1"/>
      <c r="AR55" s="1"/>
      <c r="AS55" s="1"/>
      <c r="AT55" s="1"/>
      <c r="BJ55" s="1"/>
      <c r="BK55" s="1"/>
      <c r="BL55" s="1"/>
    </row>
    <row r="56" spans="1:64" ht="18" customHeight="1">
      <c r="A56" s="33"/>
      <c r="B56" s="243"/>
      <c r="C56" s="34"/>
      <c r="D56" s="35"/>
      <c r="E56" s="35"/>
      <c r="F56" s="36"/>
      <c r="G56" s="37"/>
      <c r="H56" s="37"/>
      <c r="I56" s="37"/>
      <c r="J56" s="37"/>
      <c r="K56" s="37"/>
      <c r="L56" s="37"/>
      <c r="M56" s="37"/>
      <c r="O56" s="38"/>
      <c r="P56" s="39"/>
      <c r="Q56" s="39"/>
      <c r="R56" s="37"/>
      <c r="S56" s="37"/>
      <c r="T56" s="37"/>
      <c r="U56" s="38"/>
      <c r="V56" s="39"/>
      <c r="W56" s="39"/>
      <c r="X56" s="39"/>
      <c r="Y56" s="39"/>
      <c r="Z56" s="37"/>
      <c r="AA56" s="39"/>
      <c r="AB56" s="39"/>
      <c r="AC56" s="39"/>
      <c r="AD56" s="40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1"/>
      <c r="AQ56" s="1"/>
      <c r="AR56" s="1"/>
      <c r="AS56" s="1"/>
      <c r="AT56" s="1"/>
      <c r="BJ56" s="1"/>
      <c r="BK56" s="1"/>
      <c r="BL56" s="1"/>
    </row>
    <row r="57" spans="1:64" ht="18" customHeight="1">
      <c r="A57" s="33"/>
      <c r="B57" s="243"/>
      <c r="C57" s="34"/>
      <c r="D57" s="35"/>
      <c r="E57" s="35"/>
      <c r="F57" s="36"/>
      <c r="G57" s="37"/>
      <c r="H57" s="37"/>
      <c r="I57" s="37"/>
      <c r="J57" s="37"/>
      <c r="K57" s="37"/>
      <c r="L57" s="37"/>
      <c r="M57" s="37"/>
      <c r="N57" s="37"/>
      <c r="O57" s="38"/>
      <c r="P57" s="39"/>
      <c r="Q57" s="39"/>
      <c r="R57" s="37"/>
      <c r="S57" s="37"/>
      <c r="T57" s="37"/>
      <c r="U57" s="38"/>
      <c r="V57" s="39"/>
      <c r="W57" s="39"/>
      <c r="X57" s="39"/>
      <c r="Y57" s="39"/>
      <c r="Z57" s="37"/>
      <c r="AA57" s="39"/>
      <c r="AB57" s="39"/>
      <c r="AC57" s="39"/>
      <c r="AD57" s="40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1"/>
      <c r="AQ57" s="1"/>
      <c r="AR57" s="1"/>
      <c r="AS57" s="1"/>
      <c r="AT57" s="1"/>
      <c r="BJ57" s="1"/>
      <c r="BK57" s="1"/>
      <c r="BL57" s="1"/>
    </row>
    <row r="58" spans="1:64" ht="18" customHeight="1">
      <c r="A58" s="33"/>
      <c r="B58" s="243"/>
      <c r="C58" s="34"/>
      <c r="D58" s="35"/>
      <c r="E58" s="35"/>
      <c r="F58" s="36"/>
      <c r="G58" s="37"/>
      <c r="H58" s="37"/>
      <c r="I58" s="37"/>
      <c r="J58" s="37"/>
      <c r="K58" s="37"/>
      <c r="L58" s="37"/>
      <c r="M58" s="37"/>
      <c r="N58" s="37"/>
      <c r="O58" s="38"/>
      <c r="P58" s="39"/>
      <c r="Q58" s="39"/>
      <c r="R58" s="37"/>
      <c r="S58" s="37"/>
      <c r="T58" s="37"/>
      <c r="U58" s="38"/>
      <c r="V58" s="39"/>
      <c r="W58" s="39"/>
      <c r="X58" s="39"/>
      <c r="Y58" s="39"/>
      <c r="Z58" s="37"/>
      <c r="AA58" s="39"/>
      <c r="AB58" s="39"/>
      <c r="AC58" s="39"/>
      <c r="AD58" s="40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1"/>
      <c r="AQ58" s="1"/>
      <c r="AR58" s="1"/>
      <c r="AS58" s="1"/>
      <c r="AT58" s="1"/>
      <c r="BJ58" s="1"/>
      <c r="BK58" s="1"/>
      <c r="BL58" s="1"/>
    </row>
    <row r="59" spans="1:64" ht="18" customHeight="1">
      <c r="A59" s="33"/>
      <c r="B59" s="243"/>
      <c r="C59" s="34"/>
      <c r="D59" s="35"/>
      <c r="E59" s="35"/>
      <c r="F59" s="36"/>
      <c r="G59" s="37"/>
      <c r="H59" s="37"/>
      <c r="I59" s="37"/>
      <c r="J59" s="37"/>
      <c r="K59" s="37"/>
      <c r="L59" s="37"/>
      <c r="M59" s="37"/>
      <c r="N59" s="37"/>
      <c r="O59" s="38"/>
      <c r="P59" s="39"/>
      <c r="Q59" s="39"/>
      <c r="R59" s="37"/>
      <c r="S59" s="37"/>
      <c r="T59" s="37"/>
      <c r="U59" s="38"/>
      <c r="V59" s="39"/>
      <c r="W59" s="39"/>
      <c r="X59" s="39"/>
      <c r="Y59" s="39"/>
      <c r="Z59" s="37"/>
      <c r="AA59" s="39"/>
      <c r="AB59" s="39"/>
      <c r="AC59" s="39"/>
      <c r="AD59" s="40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1"/>
      <c r="AQ59" s="1"/>
      <c r="AR59" s="1"/>
      <c r="AS59" s="1"/>
      <c r="AT59" s="1"/>
      <c r="BJ59" s="1"/>
      <c r="BK59" s="1"/>
      <c r="BL59" s="1"/>
    </row>
    <row r="60" spans="1:64" ht="18" customHeight="1">
      <c r="A60" s="33"/>
      <c r="B60" s="243"/>
      <c r="C60" s="34"/>
      <c r="D60" s="35"/>
      <c r="E60" s="35"/>
      <c r="F60" s="36"/>
      <c r="G60" s="39"/>
      <c r="H60" s="39"/>
      <c r="I60" s="37"/>
      <c r="J60" s="37"/>
      <c r="K60" s="37"/>
      <c r="L60" s="37"/>
      <c r="M60" s="37"/>
      <c r="N60" s="37"/>
      <c r="O60" s="38"/>
      <c r="P60" s="39"/>
      <c r="Q60" s="39"/>
      <c r="R60" s="37"/>
      <c r="S60" s="37"/>
      <c r="T60" s="37"/>
      <c r="U60" s="38"/>
      <c r="V60" s="39"/>
      <c r="W60" s="39"/>
      <c r="X60" s="39"/>
      <c r="Y60" s="39"/>
      <c r="Z60" s="37"/>
      <c r="AA60" s="39"/>
      <c r="AB60" s="39"/>
      <c r="AC60" s="39"/>
      <c r="AD60" s="40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1"/>
      <c r="AQ60" s="1"/>
      <c r="AR60" s="1"/>
      <c r="AS60" s="1"/>
      <c r="AT60" s="1"/>
      <c r="BJ60" s="1"/>
      <c r="BK60" s="1"/>
      <c r="BL60" s="1"/>
    </row>
    <row r="61" spans="1:64" ht="18" hidden="1" customHeight="1">
      <c r="A61" s="238" t="s">
        <v>66</v>
      </c>
      <c r="B61" s="244" t="s">
        <v>67</v>
      </c>
      <c r="C61" s="301" t="s">
        <v>68</v>
      </c>
      <c r="D61" s="302"/>
      <c r="E61" s="302"/>
      <c r="F61" s="215" t="s">
        <v>66</v>
      </c>
      <c r="G61" s="39"/>
      <c r="H61" s="39"/>
      <c r="I61" s="37"/>
      <c r="J61" s="37"/>
      <c r="K61" s="37"/>
      <c r="L61" s="37"/>
      <c r="M61" s="37"/>
      <c r="N61" s="37"/>
      <c r="O61" s="38"/>
      <c r="P61" s="39"/>
      <c r="Q61" s="39"/>
      <c r="R61" s="37"/>
      <c r="S61" s="37"/>
      <c r="T61" s="37"/>
      <c r="U61" s="38"/>
      <c r="V61" s="39"/>
      <c r="W61" s="39"/>
      <c r="X61" s="39"/>
      <c r="Y61" s="39"/>
      <c r="Z61" s="37"/>
      <c r="AA61" s="39"/>
      <c r="AB61" s="39"/>
      <c r="AC61" s="39"/>
      <c r="AD61" s="40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1"/>
      <c r="AQ61" s="1"/>
      <c r="AR61" s="1"/>
      <c r="AS61" s="1"/>
      <c r="AT61" s="1"/>
      <c r="BJ61" s="1"/>
      <c r="BK61" s="1"/>
      <c r="BL61" s="1"/>
    </row>
    <row r="62" spans="1:64" ht="18" customHeight="1">
      <c r="A62" s="240"/>
      <c r="B62" s="240"/>
      <c r="C62" s="241" t="s">
        <v>69</v>
      </c>
      <c r="D62" s="140"/>
      <c r="E62" s="140"/>
      <c r="F62" s="140"/>
      <c r="G62" s="39"/>
      <c r="H62" s="39"/>
      <c r="I62" s="37"/>
      <c r="J62" s="37"/>
      <c r="K62" s="37"/>
      <c r="L62" s="37"/>
      <c r="M62" s="37"/>
      <c r="N62" s="37"/>
      <c r="O62" s="38"/>
      <c r="P62" s="39"/>
      <c r="Q62" s="39"/>
      <c r="R62" s="37"/>
      <c r="S62" s="37"/>
      <c r="T62" s="37"/>
      <c r="U62" s="38"/>
      <c r="V62" s="39"/>
      <c r="W62" s="39"/>
      <c r="X62" s="39"/>
      <c r="Y62" s="39"/>
      <c r="Z62" s="37"/>
      <c r="AA62" s="39"/>
      <c r="AB62" s="39"/>
      <c r="AC62" s="39"/>
      <c r="AD62" s="40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1"/>
      <c r="AQ62" s="1"/>
      <c r="AR62" s="1"/>
      <c r="AS62" s="1"/>
      <c r="AT62" s="1"/>
      <c r="BJ62" s="1"/>
      <c r="BK62" s="1"/>
      <c r="BL62" s="1"/>
    </row>
    <row r="63" spans="1:64" ht="18" hidden="1" customHeight="1">
      <c r="A63" s="239" t="s">
        <v>70</v>
      </c>
      <c r="B63" s="245" t="s">
        <v>71</v>
      </c>
      <c r="C63" s="303" t="s">
        <v>72</v>
      </c>
      <c r="D63" s="304"/>
      <c r="E63" s="305"/>
      <c r="F63" s="204"/>
      <c r="G63" s="39"/>
      <c r="H63" s="39"/>
      <c r="I63" s="37"/>
      <c r="J63" s="37"/>
      <c r="K63" s="37"/>
      <c r="L63" s="37"/>
      <c r="M63" s="37"/>
      <c r="N63" s="37"/>
      <c r="O63" s="38"/>
      <c r="P63" s="39"/>
      <c r="Q63" s="39"/>
      <c r="R63" s="37"/>
      <c r="S63" s="37"/>
      <c r="T63" s="37"/>
      <c r="U63" s="38"/>
      <c r="V63" s="39"/>
      <c r="W63" s="39"/>
      <c r="X63" s="39"/>
      <c r="Y63" s="39"/>
      <c r="Z63" s="37"/>
      <c r="AA63" s="39"/>
      <c r="AB63" s="39"/>
      <c r="AC63" s="39"/>
      <c r="AD63" s="40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1"/>
      <c r="AQ63" s="1"/>
      <c r="AR63" s="1"/>
      <c r="AS63" s="1"/>
      <c r="AT63" s="1"/>
      <c r="BJ63" s="1"/>
      <c r="BK63" s="1"/>
      <c r="BL63" s="1"/>
    </row>
    <row r="64" spans="1:64" ht="18" customHeight="1">
      <c r="A64" s="33">
        <v>1</v>
      </c>
      <c r="B64" s="243" t="s">
        <v>73</v>
      </c>
      <c r="C64" s="34" t="s">
        <v>74</v>
      </c>
      <c r="D64" s="35"/>
      <c r="E64" s="35"/>
      <c r="F64" s="36"/>
      <c r="G64" s="39"/>
      <c r="H64" s="39"/>
      <c r="I64" s="37"/>
      <c r="J64" s="37"/>
      <c r="K64" s="37"/>
      <c r="L64" s="37"/>
      <c r="M64" s="37"/>
      <c r="N64" s="37"/>
      <c r="O64" s="38"/>
      <c r="P64" s="39"/>
      <c r="Q64" s="39"/>
      <c r="R64" s="37"/>
      <c r="S64" s="37"/>
      <c r="T64" s="37"/>
      <c r="U64" s="38"/>
      <c r="V64" s="39"/>
      <c r="W64" s="39"/>
      <c r="X64" s="39"/>
      <c r="Y64" s="39"/>
      <c r="Z64" s="37"/>
      <c r="AA64" s="39"/>
      <c r="AB64" s="39"/>
      <c r="AC64" s="39"/>
      <c r="AD64" s="40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1"/>
      <c r="AQ64" s="1"/>
      <c r="AR64" s="1"/>
      <c r="AS64" s="1"/>
      <c r="AT64" s="1"/>
      <c r="BJ64" s="1"/>
      <c r="BK64" s="1"/>
      <c r="BL64" s="1"/>
    </row>
    <row r="65" spans="1:64" ht="18" customHeight="1">
      <c r="A65" s="33">
        <v>2</v>
      </c>
      <c r="B65" s="243" t="s">
        <v>75</v>
      </c>
      <c r="C65" s="34" t="s">
        <v>76</v>
      </c>
      <c r="D65" s="35"/>
      <c r="E65" s="35"/>
      <c r="F65" s="36"/>
      <c r="G65" s="39"/>
      <c r="H65" s="39"/>
      <c r="I65" s="37"/>
      <c r="J65" s="37"/>
      <c r="K65" s="37"/>
      <c r="L65" s="37"/>
      <c r="M65" s="37"/>
      <c r="N65" s="37"/>
      <c r="O65" s="38"/>
      <c r="P65" s="39"/>
      <c r="Q65" s="39"/>
      <c r="R65" s="37"/>
      <c r="S65" s="37"/>
      <c r="T65" s="37"/>
      <c r="U65" s="38"/>
      <c r="V65" s="39"/>
      <c r="W65" s="39"/>
      <c r="X65" s="39"/>
      <c r="Y65" s="39"/>
      <c r="Z65" s="37"/>
      <c r="AA65" s="39"/>
      <c r="AB65" s="39"/>
      <c r="AC65" s="39"/>
      <c r="AD65" s="40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1"/>
      <c r="AQ65" s="1"/>
      <c r="AR65" s="1"/>
      <c r="AS65" s="1"/>
      <c r="AT65" s="1"/>
      <c r="BJ65" s="1"/>
      <c r="BK65" s="1"/>
      <c r="BL65" s="1"/>
    </row>
    <row r="66" spans="1:64" ht="18" customHeight="1">
      <c r="A66" s="33">
        <v>3</v>
      </c>
      <c r="B66" s="243" t="s">
        <v>77</v>
      </c>
      <c r="C66" s="34" t="s">
        <v>78</v>
      </c>
      <c r="D66" s="35"/>
      <c r="E66" s="35"/>
      <c r="F66" s="36"/>
      <c r="G66" s="39"/>
      <c r="H66" s="39"/>
      <c r="I66" s="37"/>
      <c r="J66" s="37"/>
      <c r="K66" s="37"/>
      <c r="L66" s="37"/>
      <c r="M66" s="37"/>
      <c r="N66" s="37"/>
      <c r="O66" s="38"/>
      <c r="P66" s="39"/>
      <c r="Q66" s="39"/>
      <c r="R66" s="37"/>
      <c r="S66" s="37"/>
      <c r="T66" s="37"/>
      <c r="U66" s="38"/>
      <c r="V66" s="39"/>
      <c r="W66" s="39"/>
      <c r="X66" s="39"/>
      <c r="Y66" s="39"/>
      <c r="Z66" s="37"/>
      <c r="AA66" s="39"/>
      <c r="AB66" s="39"/>
      <c r="AC66" s="39"/>
      <c r="AD66" s="40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1"/>
      <c r="AQ66" s="1"/>
      <c r="AR66" s="1"/>
      <c r="AS66" s="1"/>
      <c r="AT66" s="1"/>
      <c r="BJ66" s="1"/>
      <c r="BK66" s="1"/>
      <c r="BL66" s="1"/>
    </row>
    <row r="67" spans="1:64" ht="18" customHeight="1">
      <c r="A67" s="33">
        <v>4</v>
      </c>
      <c r="B67" s="243" t="s">
        <v>79</v>
      </c>
      <c r="C67" s="43" t="s">
        <v>80</v>
      </c>
      <c r="D67" s="35"/>
      <c r="E67" s="35"/>
      <c r="F67" s="36"/>
      <c r="G67" s="39"/>
      <c r="H67" s="39"/>
      <c r="I67" s="37"/>
      <c r="J67" s="37"/>
      <c r="K67" s="37"/>
      <c r="L67" s="37"/>
      <c r="M67" s="37"/>
      <c r="N67" s="37"/>
      <c r="O67" s="38"/>
      <c r="P67" s="39"/>
      <c r="Q67" s="39"/>
      <c r="R67" s="37"/>
      <c r="S67" s="37"/>
      <c r="T67" s="37"/>
      <c r="U67" s="38"/>
      <c r="V67" s="39"/>
      <c r="W67" s="39"/>
      <c r="X67" s="39"/>
      <c r="Y67" s="39"/>
      <c r="Z67" s="37"/>
      <c r="AA67" s="39"/>
      <c r="AB67" s="39"/>
      <c r="AC67" s="39"/>
      <c r="AD67" s="40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1"/>
      <c r="AQ67" s="1"/>
      <c r="AR67" s="1"/>
      <c r="AS67" s="1"/>
      <c r="AT67" s="1"/>
      <c r="BJ67" s="1"/>
      <c r="BK67" s="1"/>
      <c r="BL67" s="1"/>
    </row>
    <row r="68" spans="1:64" ht="18" customHeight="1">
      <c r="A68" s="33">
        <v>5</v>
      </c>
      <c r="B68" s="243" t="s">
        <v>81</v>
      </c>
      <c r="C68" s="34" t="s">
        <v>82</v>
      </c>
      <c r="D68" s="35"/>
      <c r="E68" s="35"/>
      <c r="F68" s="36"/>
      <c r="G68" s="39"/>
      <c r="H68" s="39"/>
      <c r="I68" s="37"/>
      <c r="J68" s="37"/>
      <c r="K68" s="37"/>
      <c r="L68" s="37"/>
      <c r="M68" s="37"/>
      <c r="N68" s="37"/>
      <c r="O68" s="38"/>
      <c r="P68" s="39"/>
      <c r="Q68" s="39"/>
      <c r="R68" s="37"/>
      <c r="S68" s="37"/>
      <c r="T68" s="37"/>
      <c r="U68" s="38"/>
      <c r="V68" s="39"/>
      <c r="W68" s="39"/>
      <c r="X68" s="39"/>
      <c r="Y68" s="39"/>
      <c r="Z68" s="37"/>
      <c r="AA68" s="39"/>
      <c r="AB68" s="39"/>
      <c r="AC68" s="39"/>
      <c r="AD68" s="40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1"/>
      <c r="AQ68" s="1"/>
      <c r="AR68" s="1"/>
      <c r="AS68" s="1"/>
      <c r="AT68" s="1"/>
      <c r="BJ68" s="1"/>
      <c r="BK68" s="1"/>
      <c r="BL68" s="1"/>
    </row>
    <row r="69" spans="1:64" ht="18" customHeight="1">
      <c r="A69" s="33">
        <v>6</v>
      </c>
      <c r="B69" s="243" t="s">
        <v>83</v>
      </c>
      <c r="C69" s="34" t="s">
        <v>84</v>
      </c>
      <c r="D69" s="35"/>
      <c r="E69" s="35"/>
      <c r="F69" s="36"/>
      <c r="G69" s="37"/>
      <c r="H69" s="37"/>
      <c r="I69" s="37"/>
      <c r="J69" s="37"/>
      <c r="K69" s="37"/>
      <c r="L69" s="37"/>
      <c r="M69" s="37"/>
      <c r="N69" s="37"/>
      <c r="O69" s="38"/>
      <c r="P69" s="39"/>
      <c r="Q69" s="39"/>
      <c r="R69" s="37"/>
      <c r="S69" s="37"/>
      <c r="T69" s="37"/>
      <c r="U69" s="38"/>
      <c r="V69" s="39"/>
      <c r="W69" s="39"/>
      <c r="X69" s="39"/>
      <c r="Y69" s="39"/>
      <c r="Z69" s="37"/>
      <c r="AA69" s="39"/>
      <c r="AB69" s="39"/>
      <c r="AC69" s="39"/>
      <c r="AD69" s="40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1"/>
      <c r="AQ69" s="1"/>
      <c r="AR69" s="1"/>
      <c r="AS69" s="1"/>
      <c r="AT69" s="1"/>
      <c r="BJ69" s="1"/>
      <c r="BK69" s="1"/>
      <c r="BL69" s="1"/>
    </row>
    <row r="70" spans="1:64" ht="18" customHeight="1">
      <c r="A70" s="33">
        <v>7</v>
      </c>
      <c r="B70" s="243" t="s">
        <v>85</v>
      </c>
      <c r="C70" s="34" t="s">
        <v>86</v>
      </c>
      <c r="D70" s="35"/>
      <c r="E70" s="35"/>
      <c r="F70" s="36"/>
      <c r="G70" s="37"/>
      <c r="H70" s="37"/>
      <c r="I70" s="37"/>
      <c r="J70" s="37"/>
      <c r="K70" s="37"/>
      <c r="L70" s="38"/>
      <c r="M70" s="39"/>
      <c r="N70" s="39"/>
      <c r="O70" s="37"/>
      <c r="P70" s="37"/>
      <c r="Q70" s="37"/>
      <c r="R70" s="38"/>
      <c r="S70" s="39"/>
      <c r="T70" s="39"/>
      <c r="U70" s="39"/>
      <c r="V70" s="39"/>
      <c r="W70" s="37"/>
      <c r="X70" s="39"/>
      <c r="Y70" s="39"/>
      <c r="Z70" s="39"/>
      <c r="AA70" s="40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1"/>
      <c r="AQ70" s="1"/>
      <c r="AR70" s="1"/>
      <c r="AS70" s="1"/>
      <c r="AT70" s="1"/>
    </row>
    <row r="71" spans="1:64" ht="18" customHeight="1">
      <c r="A71" s="33">
        <v>8</v>
      </c>
      <c r="B71" s="243" t="s">
        <v>87</v>
      </c>
      <c r="C71" s="34" t="s">
        <v>88</v>
      </c>
      <c r="D71" s="35"/>
      <c r="E71" s="35"/>
      <c r="F71" s="36"/>
      <c r="G71" s="37"/>
      <c r="H71" s="37"/>
      <c r="I71" s="37"/>
      <c r="J71" s="37"/>
      <c r="K71" s="37"/>
      <c r="L71" s="38"/>
      <c r="M71" s="39"/>
      <c r="N71" s="39"/>
      <c r="O71" s="37"/>
      <c r="P71" s="37"/>
      <c r="Q71" s="37"/>
      <c r="R71" s="38"/>
      <c r="S71" s="39"/>
      <c r="T71" s="39"/>
      <c r="U71" s="39"/>
      <c r="V71" s="39"/>
      <c r="W71" s="37"/>
      <c r="X71" s="39"/>
      <c r="Y71" s="39"/>
      <c r="Z71" s="39"/>
      <c r="AA71" s="40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1"/>
      <c r="AQ71" s="1"/>
      <c r="AR71" s="1"/>
      <c r="AS71" s="1"/>
      <c r="AT71" s="1"/>
    </row>
    <row r="72" spans="1:64" ht="18" customHeight="1">
      <c r="A72" s="33">
        <v>9</v>
      </c>
      <c r="B72" s="243" t="s">
        <v>89</v>
      </c>
      <c r="C72" s="34" t="s">
        <v>90</v>
      </c>
      <c r="D72" s="35"/>
      <c r="E72" s="35"/>
      <c r="F72" s="36"/>
      <c r="G72" s="37"/>
      <c r="H72" s="37"/>
      <c r="I72" s="37"/>
      <c r="J72" s="37"/>
      <c r="K72" s="37"/>
      <c r="L72" s="38"/>
      <c r="M72" s="39"/>
      <c r="N72" s="39"/>
      <c r="O72" s="37"/>
      <c r="P72" s="37"/>
      <c r="Q72" s="37"/>
      <c r="R72" s="38"/>
      <c r="S72" s="39"/>
      <c r="T72" s="39"/>
      <c r="U72" s="39"/>
      <c r="V72" s="39"/>
      <c r="W72" s="37"/>
      <c r="X72" s="39"/>
      <c r="Y72" s="39"/>
      <c r="Z72" s="39"/>
      <c r="AA72" s="40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1"/>
      <c r="AQ72" s="1"/>
      <c r="AR72" s="1"/>
      <c r="AS72" s="1"/>
      <c r="AT72" s="1"/>
    </row>
    <row r="73" spans="1:64" ht="18" customHeight="1">
      <c r="A73" s="33">
        <v>10</v>
      </c>
      <c r="B73" s="243" t="s">
        <v>91</v>
      </c>
      <c r="C73" s="34" t="s">
        <v>92</v>
      </c>
      <c r="D73" s="35"/>
      <c r="E73" s="35"/>
      <c r="F73" s="36"/>
      <c r="G73" s="37"/>
      <c r="H73" s="37"/>
      <c r="I73" s="37"/>
      <c r="J73" s="37"/>
      <c r="K73" s="37"/>
      <c r="L73" s="38"/>
      <c r="M73" s="39"/>
      <c r="N73" s="39"/>
      <c r="O73" s="37"/>
      <c r="P73" s="37"/>
      <c r="Q73" s="37"/>
      <c r="R73" s="38"/>
      <c r="S73" s="39"/>
      <c r="T73" s="39"/>
      <c r="U73" s="39"/>
      <c r="V73" s="39"/>
      <c r="W73" s="37"/>
      <c r="X73" s="39"/>
      <c r="Y73" s="39"/>
      <c r="Z73" s="39"/>
      <c r="AA73" s="40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T73" s="41" t="e">
        <f t="shared" ref="AT73:AT111" si="1">(W73/$W$9)*100</f>
        <v>#DIV/0!</v>
      </c>
    </row>
    <row r="74" spans="1:64" ht="18" customHeight="1">
      <c r="A74" s="33">
        <v>11</v>
      </c>
      <c r="B74" s="243" t="s">
        <v>93</v>
      </c>
      <c r="C74" s="34" t="s">
        <v>94</v>
      </c>
      <c r="D74" s="35"/>
      <c r="E74" s="35"/>
      <c r="F74" s="36"/>
      <c r="G74" s="37"/>
      <c r="H74" s="37"/>
      <c r="I74" s="37"/>
      <c r="J74" s="37"/>
      <c r="K74" s="37"/>
      <c r="L74" s="38"/>
      <c r="M74" s="39"/>
      <c r="N74" s="39"/>
      <c r="O74" s="37"/>
      <c r="P74" s="37"/>
      <c r="Q74" s="37"/>
      <c r="R74" s="38"/>
      <c r="S74" s="39"/>
      <c r="T74" s="39"/>
      <c r="U74" s="39"/>
      <c r="V74" s="39"/>
      <c r="W74" s="37"/>
      <c r="X74" s="39"/>
      <c r="Y74" s="39"/>
      <c r="Z74" s="39"/>
      <c r="AA74" s="40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T74" s="41" t="e">
        <f t="shared" si="1"/>
        <v>#DIV/0!</v>
      </c>
    </row>
    <row r="75" spans="1:64" ht="18" customHeight="1">
      <c r="A75" s="33">
        <v>12</v>
      </c>
      <c r="B75" s="243" t="s">
        <v>95</v>
      </c>
      <c r="C75" s="34" t="s">
        <v>96</v>
      </c>
      <c r="D75" s="35"/>
      <c r="E75" s="35"/>
      <c r="F75" s="36"/>
      <c r="G75" s="37"/>
      <c r="H75" s="37"/>
      <c r="I75" s="37"/>
      <c r="J75" s="37"/>
      <c r="K75" s="37"/>
      <c r="L75" s="38"/>
      <c r="M75" s="39"/>
      <c r="N75" s="39"/>
      <c r="O75" s="37"/>
      <c r="P75" s="37"/>
      <c r="Q75" s="37"/>
      <c r="R75" s="38"/>
      <c r="S75" s="39"/>
      <c r="T75" s="39"/>
      <c r="U75" s="39"/>
      <c r="V75" s="39"/>
      <c r="W75" s="37"/>
      <c r="X75" s="39"/>
      <c r="Y75" s="39"/>
      <c r="Z75" s="39"/>
      <c r="AA75" s="40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T75" s="41" t="e">
        <f t="shared" si="1"/>
        <v>#DIV/0!</v>
      </c>
    </row>
    <row r="76" spans="1:64" ht="18" customHeight="1">
      <c r="A76" s="33">
        <v>13</v>
      </c>
      <c r="B76" s="243" t="s">
        <v>97</v>
      </c>
      <c r="C76" s="34" t="s">
        <v>98</v>
      </c>
      <c r="D76" s="35"/>
      <c r="E76" s="35"/>
      <c r="F76" s="36"/>
      <c r="G76" s="37"/>
      <c r="H76" s="37"/>
      <c r="I76" s="37"/>
      <c r="J76" s="37"/>
      <c r="K76" s="37"/>
      <c r="L76" s="38"/>
      <c r="M76" s="39"/>
      <c r="N76" s="39"/>
      <c r="O76" s="37"/>
      <c r="P76" s="37"/>
      <c r="Q76" s="37"/>
      <c r="R76" s="38"/>
      <c r="S76" s="39"/>
      <c r="T76" s="39"/>
      <c r="U76" s="39"/>
      <c r="V76" s="39"/>
      <c r="W76" s="37"/>
      <c r="X76" s="39"/>
      <c r="Y76" s="39"/>
      <c r="Z76" s="39"/>
      <c r="AA76" s="40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T76" s="41" t="e">
        <f t="shared" si="1"/>
        <v>#DIV/0!</v>
      </c>
    </row>
    <row r="77" spans="1:64" ht="18" customHeight="1">
      <c r="A77" s="33">
        <v>14</v>
      </c>
      <c r="B77" s="243" t="s">
        <v>99</v>
      </c>
      <c r="C77" s="34" t="s">
        <v>100</v>
      </c>
      <c r="D77" s="35"/>
      <c r="E77" s="35"/>
      <c r="F77" s="36"/>
      <c r="G77" s="37"/>
      <c r="H77" s="37"/>
      <c r="I77" s="37"/>
      <c r="J77" s="37"/>
      <c r="K77" s="37"/>
      <c r="L77" s="38"/>
      <c r="M77" s="39"/>
      <c r="N77" s="39"/>
      <c r="O77" s="37"/>
      <c r="P77" s="37"/>
      <c r="Q77" s="37"/>
      <c r="R77" s="38"/>
      <c r="S77" s="39"/>
      <c r="T77" s="39"/>
      <c r="U77" s="39"/>
      <c r="V77" s="39"/>
      <c r="W77" s="37"/>
      <c r="X77" s="39"/>
      <c r="Y77" s="39"/>
      <c r="Z77" s="39"/>
      <c r="AA77" s="40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T77" s="41" t="e">
        <f t="shared" si="1"/>
        <v>#DIV/0!</v>
      </c>
    </row>
    <row r="78" spans="1:64" ht="18" customHeight="1">
      <c r="A78" s="33">
        <v>15</v>
      </c>
      <c r="B78" s="243" t="s">
        <v>101</v>
      </c>
      <c r="C78" s="34" t="s">
        <v>102</v>
      </c>
      <c r="D78" s="35"/>
      <c r="E78" s="35"/>
      <c r="F78" s="36"/>
      <c r="G78" s="37"/>
      <c r="H78" s="37"/>
      <c r="I78" s="37"/>
      <c r="J78" s="37"/>
      <c r="K78" s="37"/>
      <c r="L78" s="38"/>
      <c r="M78" s="39"/>
      <c r="N78" s="39"/>
      <c r="O78" s="37"/>
      <c r="P78" s="37"/>
      <c r="Q78" s="37"/>
      <c r="R78" s="38"/>
      <c r="S78" s="39"/>
      <c r="T78" s="39"/>
      <c r="U78" s="39"/>
      <c r="V78" s="39"/>
      <c r="W78" s="37"/>
      <c r="X78" s="39"/>
      <c r="Y78" s="39"/>
      <c r="Z78" s="39"/>
      <c r="AA78" s="40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T78" s="41" t="e">
        <f t="shared" si="1"/>
        <v>#DIV/0!</v>
      </c>
    </row>
    <row r="79" spans="1:64" ht="18" customHeight="1">
      <c r="A79" s="33">
        <v>16</v>
      </c>
      <c r="B79" s="243" t="s">
        <v>103</v>
      </c>
      <c r="C79" s="34" t="s">
        <v>104</v>
      </c>
      <c r="D79" s="35"/>
      <c r="E79" s="35"/>
      <c r="F79" s="36"/>
      <c r="G79" s="37"/>
      <c r="H79" s="37"/>
      <c r="I79" s="37"/>
      <c r="J79" s="37"/>
      <c r="K79" s="37"/>
      <c r="L79" s="38"/>
      <c r="M79" s="39"/>
      <c r="N79" s="39"/>
      <c r="O79" s="37"/>
      <c r="P79" s="37"/>
      <c r="Q79" s="37"/>
      <c r="R79" s="38"/>
      <c r="S79" s="39"/>
      <c r="T79" s="39"/>
      <c r="U79" s="39"/>
      <c r="V79" s="39"/>
      <c r="W79" s="37"/>
      <c r="X79" s="39"/>
      <c r="Y79" s="39"/>
      <c r="Z79" s="39"/>
      <c r="AA79" s="40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T79" s="41" t="e">
        <f t="shared" si="1"/>
        <v>#DIV/0!</v>
      </c>
    </row>
    <row r="80" spans="1:64" ht="18" customHeight="1">
      <c r="A80" s="33">
        <v>17</v>
      </c>
      <c r="B80" s="243" t="s">
        <v>105</v>
      </c>
      <c r="C80" s="34" t="s">
        <v>106</v>
      </c>
      <c r="D80" s="35"/>
      <c r="E80" s="35"/>
      <c r="F80" s="36"/>
      <c r="G80" s="37"/>
      <c r="H80" s="37"/>
      <c r="I80" s="37"/>
      <c r="J80" s="37"/>
      <c r="K80" s="37"/>
      <c r="L80" s="38"/>
      <c r="M80" s="39"/>
      <c r="N80" s="39"/>
      <c r="O80" s="37"/>
      <c r="P80" s="37"/>
      <c r="Q80" s="37"/>
      <c r="R80" s="38"/>
      <c r="S80" s="39"/>
      <c r="T80" s="39"/>
      <c r="U80" s="39"/>
      <c r="V80" s="39"/>
      <c r="W80" s="37"/>
      <c r="X80" s="39"/>
      <c r="Y80" s="39"/>
      <c r="Z80" s="39"/>
      <c r="AA80" s="40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T80" s="41" t="e">
        <f t="shared" si="1"/>
        <v>#DIV/0!</v>
      </c>
    </row>
    <row r="81" spans="1:46" ht="18" customHeight="1">
      <c r="A81" s="33">
        <v>18</v>
      </c>
      <c r="B81" s="243" t="s">
        <v>107</v>
      </c>
      <c r="C81" s="34" t="s">
        <v>108</v>
      </c>
      <c r="D81" s="35"/>
      <c r="E81" s="35"/>
      <c r="F81" s="36"/>
      <c r="G81" s="37"/>
      <c r="H81" s="37"/>
      <c r="I81" s="37"/>
      <c r="J81" s="37"/>
      <c r="K81" s="37"/>
      <c r="L81" s="38"/>
      <c r="M81" s="39"/>
      <c r="N81" s="39"/>
      <c r="O81" s="37"/>
      <c r="P81" s="37"/>
      <c r="Q81" s="37"/>
      <c r="R81" s="38"/>
      <c r="S81" s="39"/>
      <c r="T81" s="39"/>
      <c r="U81" s="39"/>
      <c r="V81" s="39"/>
      <c r="W81" s="37"/>
      <c r="X81" s="39"/>
      <c r="Y81" s="39"/>
      <c r="Z81" s="39"/>
      <c r="AA81" s="40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T81" s="41" t="e">
        <f t="shared" si="1"/>
        <v>#DIV/0!</v>
      </c>
    </row>
    <row r="82" spans="1:46" ht="18" customHeight="1">
      <c r="A82" s="33">
        <v>19</v>
      </c>
      <c r="B82" s="243" t="s">
        <v>109</v>
      </c>
      <c r="C82" s="34" t="s">
        <v>110</v>
      </c>
      <c r="D82" s="35"/>
      <c r="E82" s="35"/>
      <c r="F82" s="36"/>
      <c r="G82" s="37"/>
      <c r="H82" s="37"/>
      <c r="I82" s="37"/>
      <c r="J82" s="37"/>
      <c r="K82" s="37"/>
      <c r="L82" s="38"/>
      <c r="M82" s="39"/>
      <c r="N82" s="39"/>
      <c r="O82" s="37"/>
      <c r="P82" s="37"/>
      <c r="Q82" s="37"/>
      <c r="R82" s="38"/>
      <c r="S82" s="39"/>
      <c r="T82" s="39"/>
      <c r="U82" s="39"/>
      <c r="V82" s="39"/>
      <c r="W82" s="37"/>
      <c r="X82" s="39"/>
      <c r="Y82" s="39"/>
      <c r="Z82" s="39"/>
      <c r="AA82" s="40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T82" s="41" t="e">
        <f t="shared" si="1"/>
        <v>#DIV/0!</v>
      </c>
    </row>
    <row r="83" spans="1:46" ht="18" customHeight="1">
      <c r="A83" s="33">
        <v>20</v>
      </c>
      <c r="B83" s="243" t="s">
        <v>111</v>
      </c>
      <c r="C83" s="34" t="s">
        <v>112</v>
      </c>
      <c r="D83" s="35"/>
      <c r="E83" s="35"/>
      <c r="F83" s="36"/>
      <c r="G83" s="37"/>
      <c r="H83" s="37"/>
      <c r="I83" s="37"/>
      <c r="J83" s="37"/>
      <c r="K83" s="37"/>
      <c r="L83" s="38"/>
      <c r="M83" s="39"/>
      <c r="N83" s="39"/>
      <c r="O83" s="37"/>
      <c r="P83" s="37"/>
      <c r="Q83" s="37"/>
      <c r="R83" s="38"/>
      <c r="S83" s="39"/>
      <c r="T83" s="39"/>
      <c r="U83" s="39"/>
      <c r="V83" s="39"/>
      <c r="W83" s="37"/>
      <c r="X83" s="39"/>
      <c r="Y83" s="39"/>
      <c r="Z83" s="39"/>
      <c r="AA83" s="40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T83" s="41" t="e">
        <f t="shared" si="1"/>
        <v>#DIV/0!</v>
      </c>
    </row>
    <row r="84" spans="1:46" ht="18" customHeight="1">
      <c r="A84" s="33">
        <v>21</v>
      </c>
      <c r="B84" s="243" t="s">
        <v>113</v>
      </c>
      <c r="C84" s="34" t="s">
        <v>114</v>
      </c>
      <c r="D84" s="35"/>
      <c r="E84" s="35"/>
      <c r="F84" s="36"/>
      <c r="G84" s="37"/>
      <c r="H84" s="37"/>
      <c r="I84" s="37"/>
      <c r="J84" s="37"/>
      <c r="K84" s="37"/>
      <c r="L84" s="38"/>
      <c r="M84" s="39"/>
      <c r="N84" s="39"/>
      <c r="O84" s="37"/>
      <c r="P84" s="37"/>
      <c r="Q84" s="37"/>
      <c r="R84" s="38"/>
      <c r="S84" s="39"/>
      <c r="T84" s="39"/>
      <c r="U84" s="39"/>
      <c r="V84" s="39"/>
      <c r="W84" s="37"/>
      <c r="X84" s="39"/>
      <c r="Y84" s="39"/>
      <c r="Z84" s="39"/>
      <c r="AA84" s="40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T84" s="41" t="e">
        <f t="shared" si="1"/>
        <v>#DIV/0!</v>
      </c>
    </row>
    <row r="85" spans="1:46" ht="18" customHeight="1">
      <c r="A85" s="33">
        <v>22</v>
      </c>
      <c r="B85" s="243" t="s">
        <v>115</v>
      </c>
      <c r="C85" s="34" t="s">
        <v>116</v>
      </c>
      <c r="D85" s="35"/>
      <c r="E85" s="35"/>
      <c r="F85" s="36"/>
      <c r="G85" s="37"/>
      <c r="H85" s="37"/>
      <c r="I85" s="37"/>
      <c r="J85" s="37"/>
      <c r="K85" s="37"/>
      <c r="L85" s="38"/>
      <c r="M85" s="39"/>
      <c r="N85" s="39"/>
      <c r="O85" s="37"/>
      <c r="P85" s="37"/>
      <c r="Q85" s="37"/>
      <c r="R85" s="38"/>
      <c r="S85" s="39"/>
      <c r="T85" s="39"/>
      <c r="U85" s="39"/>
      <c r="V85" s="39"/>
      <c r="W85" s="37"/>
      <c r="X85" s="39"/>
      <c r="Y85" s="39"/>
      <c r="Z85" s="39"/>
      <c r="AA85" s="40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T85" s="41" t="e">
        <f t="shared" si="1"/>
        <v>#DIV/0!</v>
      </c>
    </row>
    <row r="86" spans="1:46" ht="18" customHeight="1">
      <c r="A86" s="33">
        <v>23</v>
      </c>
      <c r="B86" s="243" t="s">
        <v>117</v>
      </c>
      <c r="C86" s="34" t="s">
        <v>118</v>
      </c>
      <c r="D86" s="35"/>
      <c r="E86" s="35"/>
      <c r="F86" s="36"/>
      <c r="G86" s="37"/>
      <c r="H86" s="37"/>
      <c r="I86" s="37"/>
      <c r="J86" s="37"/>
      <c r="K86" s="37"/>
      <c r="L86" s="38"/>
      <c r="M86" s="39"/>
      <c r="N86" s="39"/>
      <c r="O86" s="37"/>
      <c r="P86" s="37"/>
      <c r="Q86" s="37"/>
      <c r="R86" s="38"/>
      <c r="S86" s="39"/>
      <c r="T86" s="39"/>
      <c r="U86" s="39"/>
      <c r="V86" s="39"/>
      <c r="W86" s="37"/>
      <c r="X86" s="39"/>
      <c r="Y86" s="39"/>
      <c r="Z86" s="39"/>
      <c r="AA86" s="40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T86" s="41" t="e">
        <f t="shared" si="1"/>
        <v>#DIV/0!</v>
      </c>
    </row>
    <row r="87" spans="1:46" ht="18" customHeight="1">
      <c r="A87" s="33">
        <v>24</v>
      </c>
      <c r="B87" s="243" t="s">
        <v>119</v>
      </c>
      <c r="C87" s="34" t="s">
        <v>120</v>
      </c>
      <c r="D87" s="35"/>
      <c r="E87" s="35"/>
      <c r="F87" s="36"/>
      <c r="G87" s="37"/>
      <c r="H87" s="37"/>
      <c r="I87" s="37"/>
      <c r="J87" s="37"/>
      <c r="K87" s="37"/>
      <c r="L87" s="38"/>
      <c r="M87" s="39"/>
      <c r="N87" s="39"/>
      <c r="O87" s="37"/>
      <c r="P87" s="37"/>
      <c r="Q87" s="37"/>
      <c r="R87" s="38"/>
      <c r="S87" s="39"/>
      <c r="T87" s="39"/>
      <c r="U87" s="39"/>
      <c r="V87" s="39"/>
      <c r="W87" s="37"/>
      <c r="X87" s="39"/>
      <c r="Y87" s="39"/>
      <c r="Z87" s="39"/>
      <c r="AA87" s="40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T87" s="41" t="e">
        <f t="shared" si="1"/>
        <v>#DIV/0!</v>
      </c>
    </row>
    <row r="88" spans="1:46" ht="18" customHeight="1">
      <c r="A88" s="33">
        <v>25</v>
      </c>
      <c r="B88" s="243" t="s">
        <v>121</v>
      </c>
      <c r="C88" s="34" t="s">
        <v>122</v>
      </c>
      <c r="D88" s="35"/>
      <c r="E88" s="35"/>
      <c r="F88" s="36"/>
      <c r="G88" s="37"/>
      <c r="H88" s="37"/>
      <c r="I88" s="37"/>
      <c r="J88" s="37"/>
      <c r="K88" s="37"/>
      <c r="L88" s="38"/>
      <c r="M88" s="39"/>
      <c r="N88" s="39"/>
      <c r="O88" s="37"/>
      <c r="P88" s="37"/>
      <c r="Q88" s="37"/>
      <c r="R88" s="38"/>
      <c r="S88" s="39"/>
      <c r="T88" s="39"/>
      <c r="U88" s="39"/>
      <c r="V88" s="39"/>
      <c r="W88" s="37"/>
      <c r="X88" s="39"/>
      <c r="Y88" s="39"/>
      <c r="Z88" s="39"/>
      <c r="AA88" s="40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T88" s="41" t="e">
        <f t="shared" si="1"/>
        <v>#DIV/0!</v>
      </c>
    </row>
    <row r="89" spans="1:46" ht="18" customHeight="1">
      <c r="A89" s="33">
        <v>26</v>
      </c>
      <c r="B89" s="243" t="s">
        <v>123</v>
      </c>
      <c r="C89" s="34" t="s">
        <v>124</v>
      </c>
      <c r="D89" s="35"/>
      <c r="E89" s="35"/>
      <c r="F89" s="36"/>
      <c r="G89" s="37"/>
      <c r="H89" s="37"/>
      <c r="I89" s="37"/>
      <c r="J89" s="37"/>
      <c r="K89" s="37"/>
      <c r="L89" s="38"/>
      <c r="M89" s="39"/>
      <c r="N89" s="39"/>
      <c r="O89" s="37"/>
      <c r="P89" s="37"/>
      <c r="Q89" s="37"/>
      <c r="R89" s="38"/>
      <c r="S89" s="39"/>
      <c r="T89" s="39"/>
      <c r="U89" s="39"/>
      <c r="V89" s="39"/>
      <c r="W89" s="37"/>
      <c r="X89" s="39"/>
      <c r="Y89" s="39"/>
      <c r="Z89" s="39"/>
      <c r="AA89" s="40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T89" s="41" t="e">
        <f t="shared" si="1"/>
        <v>#DIV/0!</v>
      </c>
    </row>
    <row r="90" spans="1:46" ht="18" customHeight="1">
      <c r="A90" s="33"/>
      <c r="B90" s="243"/>
      <c r="C90" s="34"/>
      <c r="D90" s="35"/>
      <c r="E90" s="35"/>
      <c r="F90" s="36"/>
      <c r="G90" s="37"/>
      <c r="H90" s="37"/>
      <c r="I90" s="37"/>
      <c r="J90" s="37"/>
      <c r="K90" s="37"/>
      <c r="L90" s="38"/>
      <c r="M90" s="39"/>
      <c r="N90" s="39"/>
      <c r="O90" s="37"/>
      <c r="P90" s="37"/>
      <c r="Q90" s="37"/>
      <c r="R90" s="38"/>
      <c r="S90" s="39"/>
      <c r="T90" s="39"/>
      <c r="U90" s="39"/>
      <c r="V90" s="39"/>
      <c r="W90" s="37"/>
      <c r="X90" s="39"/>
      <c r="Y90" s="39"/>
      <c r="Z90" s="39"/>
      <c r="AA90" s="40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T90" s="41" t="e">
        <f t="shared" si="1"/>
        <v>#DIV/0!</v>
      </c>
    </row>
    <row r="91" spans="1:46" ht="18" customHeight="1">
      <c r="A91" s="33"/>
      <c r="B91" s="243"/>
      <c r="C91" s="34"/>
      <c r="D91" s="35"/>
      <c r="E91" s="35"/>
      <c r="F91" s="36"/>
      <c r="G91" s="37"/>
      <c r="H91" s="37"/>
      <c r="I91" s="37"/>
      <c r="J91" s="37"/>
      <c r="K91" s="37"/>
      <c r="L91" s="38"/>
      <c r="M91" s="39"/>
      <c r="N91" s="39"/>
      <c r="O91" s="37"/>
      <c r="P91" s="37"/>
      <c r="Q91" s="37"/>
      <c r="R91" s="38"/>
      <c r="S91" s="39"/>
      <c r="T91" s="39"/>
      <c r="U91" s="39"/>
      <c r="V91" s="39"/>
      <c r="W91" s="37"/>
      <c r="X91" s="39"/>
      <c r="Y91" s="39"/>
      <c r="Z91" s="39"/>
      <c r="AA91" s="40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T91" s="41" t="e">
        <f t="shared" si="1"/>
        <v>#DIV/0!</v>
      </c>
    </row>
    <row r="92" spans="1:46" ht="18" customHeight="1">
      <c r="A92" s="33"/>
      <c r="B92" s="243"/>
      <c r="C92" s="34"/>
      <c r="D92" s="35"/>
      <c r="E92" s="35"/>
      <c r="F92" s="36"/>
      <c r="G92" s="37"/>
      <c r="H92" s="37"/>
      <c r="I92" s="37"/>
      <c r="J92" s="37"/>
      <c r="K92" s="37"/>
      <c r="L92" s="38"/>
      <c r="M92" s="39"/>
      <c r="N92" s="39"/>
      <c r="O92" s="37"/>
      <c r="P92" s="37"/>
      <c r="Q92" s="37"/>
      <c r="R92" s="38"/>
      <c r="S92" s="39"/>
      <c r="T92" s="39"/>
      <c r="U92" s="39"/>
      <c r="V92" s="39"/>
      <c r="W92" s="37"/>
      <c r="X92" s="39"/>
      <c r="Y92" s="39"/>
      <c r="Z92" s="39"/>
      <c r="AA92" s="40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T92" s="41" t="e">
        <f t="shared" si="1"/>
        <v>#DIV/0!</v>
      </c>
    </row>
    <row r="93" spans="1:46" ht="18" customHeight="1">
      <c r="A93" s="33"/>
      <c r="B93" s="243"/>
      <c r="C93" s="34"/>
      <c r="D93" s="35"/>
      <c r="E93" s="35"/>
      <c r="F93" s="36"/>
      <c r="G93" s="37"/>
      <c r="H93" s="37"/>
      <c r="I93" s="37"/>
      <c r="J93" s="37"/>
      <c r="K93" s="37"/>
      <c r="L93" s="38"/>
      <c r="M93" s="39"/>
      <c r="N93" s="39"/>
      <c r="O93" s="37"/>
      <c r="P93" s="37"/>
      <c r="Q93" s="37"/>
      <c r="R93" s="38"/>
      <c r="S93" s="39"/>
      <c r="T93" s="39"/>
      <c r="U93" s="39"/>
      <c r="V93" s="39"/>
      <c r="W93" s="37"/>
      <c r="X93" s="39"/>
      <c r="Y93" s="39"/>
      <c r="Z93" s="39"/>
      <c r="AA93" s="40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T93" s="41" t="e">
        <f t="shared" si="1"/>
        <v>#DIV/0!</v>
      </c>
    </row>
    <row r="94" spans="1:46" ht="18" customHeight="1">
      <c r="A94" s="33"/>
      <c r="B94" s="243"/>
      <c r="C94" s="34"/>
      <c r="D94" s="35"/>
      <c r="E94" s="35"/>
      <c r="F94" s="36"/>
      <c r="G94" s="37"/>
      <c r="H94" s="37"/>
      <c r="I94" s="37"/>
      <c r="J94" s="37"/>
      <c r="K94" s="37"/>
      <c r="L94" s="38"/>
      <c r="M94" s="39"/>
      <c r="N94" s="39"/>
      <c r="O94" s="37"/>
      <c r="P94" s="37"/>
      <c r="Q94" s="37"/>
      <c r="R94" s="38"/>
      <c r="S94" s="39"/>
      <c r="T94" s="39"/>
      <c r="U94" s="39"/>
      <c r="V94" s="39"/>
      <c r="W94" s="37"/>
      <c r="X94" s="39"/>
      <c r="Y94" s="39"/>
      <c r="Z94" s="39"/>
      <c r="AA94" s="40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T94" s="41" t="e">
        <f t="shared" si="1"/>
        <v>#DIV/0!</v>
      </c>
    </row>
    <row r="95" spans="1:46" ht="18" customHeight="1">
      <c r="A95" s="33"/>
      <c r="B95" s="243"/>
      <c r="C95" s="34"/>
      <c r="D95" s="35"/>
      <c r="E95" s="35"/>
      <c r="F95" s="36"/>
      <c r="G95" s="37"/>
      <c r="H95" s="37"/>
      <c r="I95" s="37"/>
      <c r="J95" s="37"/>
      <c r="K95" s="37"/>
      <c r="L95" s="38"/>
      <c r="M95" s="39"/>
      <c r="N95" s="39"/>
      <c r="O95" s="37"/>
      <c r="P95" s="37"/>
      <c r="Q95" s="37"/>
      <c r="R95" s="38"/>
      <c r="S95" s="39"/>
      <c r="T95" s="39"/>
      <c r="U95" s="39"/>
      <c r="V95" s="39"/>
      <c r="W95" s="37"/>
      <c r="X95" s="39"/>
      <c r="Y95" s="39"/>
      <c r="Z95" s="39"/>
      <c r="AA95" s="40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T95" s="41" t="e">
        <f t="shared" si="1"/>
        <v>#DIV/0!</v>
      </c>
    </row>
    <row r="96" spans="1:46" ht="18" customHeight="1">
      <c r="A96" s="33"/>
      <c r="B96" s="243"/>
      <c r="C96" s="34"/>
      <c r="D96" s="35"/>
      <c r="E96" s="35"/>
      <c r="F96" s="36"/>
      <c r="G96" s="37"/>
      <c r="H96" s="37"/>
      <c r="I96" s="37"/>
      <c r="J96" s="37"/>
      <c r="K96" s="37"/>
      <c r="L96" s="38"/>
      <c r="M96" s="39"/>
      <c r="N96" s="39"/>
      <c r="O96" s="37"/>
      <c r="P96" s="37"/>
      <c r="Q96" s="37"/>
      <c r="R96" s="38"/>
      <c r="S96" s="39"/>
      <c r="T96" s="39"/>
      <c r="U96" s="39"/>
      <c r="V96" s="39"/>
      <c r="W96" s="37"/>
      <c r="X96" s="39"/>
      <c r="Y96" s="39"/>
      <c r="Z96" s="39"/>
      <c r="AA96" s="40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T96" s="41" t="e">
        <f t="shared" si="1"/>
        <v>#DIV/0!</v>
      </c>
    </row>
    <row r="97" spans="1:46" ht="18" customHeight="1">
      <c r="A97" s="33"/>
      <c r="B97" s="243"/>
      <c r="C97" s="34"/>
      <c r="D97" s="35"/>
      <c r="E97" s="35"/>
      <c r="F97" s="36"/>
      <c r="G97" s="37"/>
      <c r="H97" s="37"/>
      <c r="I97" s="37"/>
      <c r="J97" s="37"/>
      <c r="K97" s="37"/>
      <c r="L97" s="38"/>
      <c r="M97" s="39"/>
      <c r="N97" s="39"/>
      <c r="O97" s="37"/>
      <c r="P97" s="37"/>
      <c r="Q97" s="37"/>
      <c r="R97" s="38"/>
      <c r="S97" s="39"/>
      <c r="T97" s="39"/>
      <c r="U97" s="39"/>
      <c r="V97" s="39"/>
      <c r="W97" s="37"/>
      <c r="X97" s="39"/>
      <c r="Y97" s="39"/>
      <c r="Z97" s="39"/>
      <c r="AA97" s="40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T97" s="41" t="e">
        <f t="shared" si="1"/>
        <v>#DIV/0!</v>
      </c>
    </row>
    <row r="98" spans="1:46" ht="18" customHeight="1">
      <c r="A98" s="33"/>
      <c r="B98" s="243"/>
      <c r="C98" s="34"/>
      <c r="D98" s="35"/>
      <c r="E98" s="35"/>
      <c r="F98" s="36"/>
      <c r="G98" s="37"/>
      <c r="H98" s="37"/>
      <c r="I98" s="37"/>
      <c r="J98" s="37"/>
      <c r="K98" s="37"/>
      <c r="L98" s="38"/>
      <c r="M98" s="39"/>
      <c r="N98" s="39"/>
      <c r="O98" s="37"/>
      <c r="P98" s="37"/>
      <c r="Q98" s="37"/>
      <c r="R98" s="38"/>
      <c r="S98" s="39"/>
      <c r="T98" s="39"/>
      <c r="U98" s="39"/>
      <c r="V98" s="39"/>
      <c r="W98" s="37"/>
      <c r="X98" s="39"/>
      <c r="Y98" s="39"/>
      <c r="Z98" s="39"/>
      <c r="AA98" s="40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T98" s="41" t="e">
        <f t="shared" si="1"/>
        <v>#DIV/0!</v>
      </c>
    </row>
    <row r="99" spans="1:46" ht="18" customHeight="1">
      <c r="A99" s="33"/>
      <c r="B99" s="243"/>
      <c r="C99" s="34"/>
      <c r="D99" s="35"/>
      <c r="E99" s="35"/>
      <c r="F99" s="36"/>
      <c r="G99" s="37"/>
      <c r="H99" s="37"/>
      <c r="I99" s="37"/>
      <c r="J99" s="37"/>
      <c r="K99" s="37"/>
      <c r="L99" s="38"/>
      <c r="M99" s="39"/>
      <c r="N99" s="39"/>
      <c r="O99" s="37"/>
      <c r="P99" s="37"/>
      <c r="Q99" s="37"/>
      <c r="R99" s="38"/>
      <c r="S99" s="39"/>
      <c r="T99" s="39"/>
      <c r="U99" s="39"/>
      <c r="V99" s="39"/>
      <c r="W99" s="37"/>
      <c r="X99" s="39"/>
      <c r="Y99" s="39"/>
      <c r="Z99" s="39"/>
      <c r="AA99" s="40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T99" s="41" t="e">
        <f t="shared" si="1"/>
        <v>#DIV/0!</v>
      </c>
    </row>
    <row r="100" spans="1:46" ht="18" customHeight="1">
      <c r="A100" s="33"/>
      <c r="B100" s="243"/>
      <c r="C100" s="34"/>
      <c r="D100" s="35"/>
      <c r="E100" s="35"/>
      <c r="F100" s="36"/>
      <c r="G100" s="37"/>
      <c r="H100" s="37"/>
      <c r="I100" s="37"/>
      <c r="J100" s="37"/>
      <c r="K100" s="37"/>
      <c r="L100" s="38"/>
      <c r="M100" s="39"/>
      <c r="N100" s="39"/>
      <c r="O100" s="37"/>
      <c r="P100" s="37"/>
      <c r="Q100" s="37"/>
      <c r="R100" s="38"/>
      <c r="S100" s="39"/>
      <c r="T100" s="39"/>
      <c r="U100" s="39"/>
      <c r="V100" s="39"/>
      <c r="W100" s="37"/>
      <c r="X100" s="39"/>
      <c r="Y100" s="39"/>
      <c r="Z100" s="39"/>
      <c r="AA100" s="40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T100" s="41" t="e">
        <f t="shared" si="1"/>
        <v>#DIV/0!</v>
      </c>
    </row>
    <row r="101" spans="1:46" ht="18" customHeight="1">
      <c r="A101" s="33"/>
      <c r="B101" s="243"/>
      <c r="C101" s="34"/>
      <c r="D101" s="35"/>
      <c r="E101" s="35"/>
      <c r="F101" s="36"/>
      <c r="G101" s="37"/>
      <c r="H101" s="37"/>
      <c r="I101" s="37"/>
      <c r="J101" s="37"/>
      <c r="K101" s="37"/>
      <c r="L101" s="38"/>
      <c r="M101" s="39"/>
      <c r="N101" s="39"/>
      <c r="O101" s="37"/>
      <c r="P101" s="37"/>
      <c r="Q101" s="37"/>
      <c r="R101" s="38"/>
      <c r="S101" s="39"/>
      <c r="T101" s="39"/>
      <c r="U101" s="39"/>
      <c r="V101" s="39"/>
      <c r="W101" s="37"/>
      <c r="X101" s="39"/>
      <c r="Y101" s="39"/>
      <c r="Z101" s="39"/>
      <c r="AA101" s="40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T101" s="41" t="e">
        <f t="shared" si="1"/>
        <v>#DIV/0!</v>
      </c>
    </row>
    <row r="102" spans="1:46" ht="18" customHeight="1">
      <c r="A102" s="33"/>
      <c r="B102" s="243"/>
      <c r="C102" s="34"/>
      <c r="D102" s="35"/>
      <c r="E102" s="35"/>
      <c r="F102" s="36"/>
      <c r="G102" s="37"/>
      <c r="H102" s="37"/>
      <c r="I102" s="37"/>
      <c r="J102" s="37"/>
      <c r="K102" s="37"/>
      <c r="L102" s="38"/>
      <c r="M102" s="39"/>
      <c r="N102" s="39"/>
      <c r="O102" s="37"/>
      <c r="P102" s="37"/>
      <c r="Q102" s="37"/>
      <c r="R102" s="38"/>
      <c r="S102" s="39"/>
      <c r="T102" s="39"/>
      <c r="U102" s="39"/>
      <c r="V102" s="39"/>
      <c r="W102" s="37"/>
      <c r="X102" s="39"/>
      <c r="Y102" s="39"/>
      <c r="Z102" s="39"/>
      <c r="AA102" s="40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T102" s="41" t="e">
        <f t="shared" si="1"/>
        <v>#DIV/0!</v>
      </c>
    </row>
    <row r="103" spans="1:46" ht="18" customHeight="1">
      <c r="A103" s="33"/>
      <c r="B103" s="243"/>
      <c r="C103" s="34"/>
      <c r="D103" s="35"/>
      <c r="E103" s="35"/>
      <c r="F103" s="36"/>
      <c r="G103" s="37"/>
      <c r="H103" s="37"/>
      <c r="I103" s="37"/>
      <c r="J103" s="37"/>
      <c r="K103" s="37"/>
      <c r="L103" s="38"/>
      <c r="M103" s="39"/>
      <c r="N103" s="39"/>
      <c r="O103" s="37"/>
      <c r="P103" s="37"/>
      <c r="Q103" s="37"/>
      <c r="R103" s="38"/>
      <c r="S103" s="39"/>
      <c r="T103" s="39"/>
      <c r="U103" s="39"/>
      <c r="V103" s="39"/>
      <c r="W103" s="37"/>
      <c r="X103" s="39"/>
      <c r="Y103" s="39"/>
      <c r="Z103" s="39"/>
      <c r="AA103" s="40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T103" s="41" t="e">
        <f t="shared" si="1"/>
        <v>#DIV/0!</v>
      </c>
    </row>
    <row r="104" spans="1:46" ht="18" customHeight="1">
      <c r="A104" s="33"/>
      <c r="B104" s="243"/>
      <c r="C104" s="34"/>
      <c r="D104" s="35"/>
      <c r="E104" s="35"/>
      <c r="F104" s="36"/>
      <c r="G104" s="37"/>
      <c r="H104" s="37"/>
      <c r="I104" s="37"/>
      <c r="J104" s="37"/>
      <c r="K104" s="37"/>
      <c r="L104" s="38"/>
      <c r="M104" s="39"/>
      <c r="N104" s="39"/>
      <c r="O104" s="37"/>
      <c r="P104" s="37"/>
      <c r="Q104" s="37"/>
      <c r="R104" s="38"/>
      <c r="S104" s="39"/>
      <c r="T104" s="39"/>
      <c r="U104" s="39"/>
      <c r="V104" s="39"/>
      <c r="W104" s="37"/>
      <c r="X104" s="39"/>
      <c r="Y104" s="39"/>
      <c r="Z104" s="39"/>
      <c r="AA104" s="40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T104" s="41" t="e">
        <f t="shared" si="1"/>
        <v>#DIV/0!</v>
      </c>
    </row>
    <row r="105" spans="1:46" ht="18" customHeight="1">
      <c r="A105" s="33"/>
      <c r="B105" s="243"/>
      <c r="C105" s="34"/>
      <c r="D105" s="35"/>
      <c r="E105" s="35"/>
      <c r="F105" s="36"/>
      <c r="G105" s="37"/>
      <c r="H105" s="37"/>
      <c r="I105" s="37"/>
      <c r="J105" s="37"/>
      <c r="K105" s="37"/>
      <c r="L105" s="38"/>
      <c r="M105" s="39"/>
      <c r="N105" s="39"/>
      <c r="O105" s="37"/>
      <c r="P105" s="37"/>
      <c r="Q105" s="37"/>
      <c r="R105" s="38"/>
      <c r="S105" s="39"/>
      <c r="T105" s="39"/>
      <c r="U105" s="39"/>
      <c r="V105" s="39"/>
      <c r="W105" s="37"/>
      <c r="X105" s="39"/>
      <c r="Y105" s="39"/>
      <c r="Z105" s="39"/>
      <c r="AA105" s="40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T105" s="41" t="e">
        <f t="shared" si="1"/>
        <v>#DIV/0!</v>
      </c>
    </row>
    <row r="106" spans="1:46" ht="18" customHeight="1">
      <c r="A106" s="33"/>
      <c r="B106" s="243"/>
      <c r="C106" s="34"/>
      <c r="D106" s="35"/>
      <c r="E106" s="35"/>
      <c r="F106" s="36"/>
      <c r="G106" s="37"/>
      <c r="H106" s="37"/>
      <c r="I106" s="37"/>
      <c r="J106" s="37"/>
      <c r="K106" s="37"/>
      <c r="L106" s="38"/>
      <c r="M106" s="39"/>
      <c r="N106" s="39"/>
      <c r="O106" s="37"/>
      <c r="P106" s="37"/>
      <c r="Q106" s="37"/>
      <c r="R106" s="38"/>
      <c r="S106" s="39"/>
      <c r="T106" s="39"/>
      <c r="U106" s="39"/>
      <c r="V106" s="39"/>
      <c r="W106" s="37"/>
      <c r="X106" s="39"/>
      <c r="Y106" s="39"/>
      <c r="Z106" s="39"/>
      <c r="AA106" s="40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T106" s="41" t="e">
        <f t="shared" si="1"/>
        <v>#DIV/0!</v>
      </c>
    </row>
    <row r="107" spans="1:46" ht="18" customHeight="1">
      <c r="A107" s="33"/>
      <c r="B107" s="243"/>
      <c r="C107" s="34"/>
      <c r="D107" s="35"/>
      <c r="E107" s="35"/>
      <c r="F107" s="36"/>
      <c r="G107" s="37"/>
      <c r="H107" s="37"/>
      <c r="I107" s="37"/>
      <c r="J107" s="37"/>
      <c r="K107" s="37"/>
      <c r="L107" s="38"/>
      <c r="M107" s="39"/>
      <c r="N107" s="39"/>
      <c r="O107" s="37"/>
      <c r="P107" s="37"/>
      <c r="Q107" s="37"/>
      <c r="R107" s="38"/>
      <c r="S107" s="39"/>
      <c r="T107" s="39"/>
      <c r="U107" s="39"/>
      <c r="V107" s="39"/>
      <c r="W107" s="37"/>
      <c r="X107" s="39"/>
      <c r="Y107" s="39"/>
      <c r="Z107" s="39"/>
      <c r="AA107" s="40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T107" s="41" t="e">
        <f t="shared" si="1"/>
        <v>#DIV/0!</v>
      </c>
    </row>
    <row r="108" spans="1:46" ht="18" customHeight="1">
      <c r="A108" s="33"/>
      <c r="B108" s="243"/>
      <c r="C108" s="34"/>
      <c r="D108" s="35"/>
      <c r="E108" s="35"/>
      <c r="F108" s="36"/>
      <c r="G108" s="37"/>
      <c r="H108" s="37"/>
      <c r="I108" s="37"/>
      <c r="J108" s="37"/>
      <c r="K108" s="37"/>
      <c r="L108" s="38"/>
      <c r="M108" s="39"/>
      <c r="N108" s="39"/>
      <c r="O108" s="37"/>
      <c r="P108" s="37"/>
      <c r="Q108" s="37"/>
      <c r="R108" s="38"/>
      <c r="S108" s="39"/>
      <c r="T108" s="39"/>
      <c r="U108" s="39"/>
      <c r="V108" s="39"/>
      <c r="W108" s="37"/>
      <c r="X108" s="39"/>
      <c r="Y108" s="39"/>
      <c r="Z108" s="39"/>
      <c r="AA108" s="40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T108" s="41" t="e">
        <f t="shared" si="1"/>
        <v>#DIV/0!</v>
      </c>
    </row>
    <row r="109" spans="1:46" ht="18" customHeight="1">
      <c r="A109" s="33"/>
      <c r="B109" s="243"/>
      <c r="C109" s="34"/>
      <c r="D109" s="35"/>
      <c r="E109" s="35"/>
      <c r="F109" s="36"/>
      <c r="G109" s="37"/>
      <c r="H109" s="37"/>
      <c r="I109" s="37"/>
      <c r="J109" s="37"/>
      <c r="K109" s="37"/>
      <c r="L109" s="38"/>
      <c r="M109" s="39"/>
      <c r="N109" s="39"/>
      <c r="O109" s="37"/>
      <c r="P109" s="37"/>
      <c r="Q109" s="37"/>
      <c r="R109" s="38"/>
      <c r="S109" s="39"/>
      <c r="T109" s="39"/>
      <c r="U109" s="39"/>
      <c r="V109" s="39"/>
      <c r="W109" s="37"/>
      <c r="X109" s="39"/>
      <c r="Y109" s="39"/>
      <c r="Z109" s="39"/>
      <c r="AA109" s="40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T109" s="41" t="e">
        <f t="shared" si="1"/>
        <v>#DIV/0!</v>
      </c>
    </row>
    <row r="110" spans="1:46" ht="18" customHeight="1">
      <c r="A110" s="33"/>
      <c r="B110" s="243"/>
      <c r="C110" s="34"/>
      <c r="D110" s="35"/>
      <c r="E110" s="35"/>
      <c r="F110" s="36"/>
      <c r="G110" s="37"/>
      <c r="H110" s="37"/>
      <c r="I110" s="37"/>
      <c r="J110" s="37"/>
      <c r="K110" s="37"/>
      <c r="L110" s="38"/>
      <c r="M110" s="39"/>
      <c r="N110" s="39"/>
      <c r="O110" s="37"/>
      <c r="P110" s="37"/>
      <c r="Q110" s="37"/>
      <c r="R110" s="38"/>
      <c r="S110" s="39"/>
      <c r="T110" s="39"/>
      <c r="U110" s="39"/>
      <c r="V110" s="39"/>
      <c r="W110" s="37"/>
      <c r="X110" s="39"/>
      <c r="Y110" s="39"/>
      <c r="Z110" s="39"/>
      <c r="AA110" s="40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T110" s="41" t="e">
        <f t="shared" si="1"/>
        <v>#DIV/0!</v>
      </c>
    </row>
    <row r="111" spans="1:46" ht="18" customHeight="1">
      <c r="A111" s="44"/>
      <c r="B111" s="247"/>
      <c r="C111" s="248"/>
      <c r="D111" s="45"/>
      <c r="E111" s="45"/>
      <c r="F111" s="46"/>
      <c r="G111" s="37"/>
      <c r="H111" s="37"/>
      <c r="I111" s="37"/>
      <c r="J111" s="37"/>
      <c r="K111" s="37"/>
      <c r="L111" s="38"/>
      <c r="M111" s="39"/>
      <c r="N111" s="39"/>
      <c r="O111" s="37"/>
      <c r="P111" s="37"/>
      <c r="Q111" s="37"/>
      <c r="R111" s="38"/>
      <c r="S111" s="39"/>
      <c r="T111" s="39"/>
      <c r="U111" s="39"/>
      <c r="V111" s="39"/>
      <c r="W111" s="37"/>
      <c r="X111" s="39"/>
      <c r="Y111" s="39"/>
      <c r="Z111" s="39"/>
      <c r="AA111" s="40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T111" s="41" t="e">
        <f t="shared" si="1"/>
        <v>#DIV/0!</v>
      </c>
    </row>
    <row r="112" spans="1:46" ht="17.45" hidden="1" customHeight="1">
      <c r="A112" s="220" t="s">
        <v>125</v>
      </c>
      <c r="B112" s="246" t="s">
        <v>126</v>
      </c>
      <c r="C112" s="302" t="s">
        <v>127</v>
      </c>
      <c r="D112" s="302"/>
      <c r="E112" s="302"/>
      <c r="F112" s="216"/>
      <c r="G112" s="8"/>
      <c r="H112" s="200"/>
      <c r="I112" s="200"/>
      <c r="J112" s="200"/>
      <c r="K112" s="8"/>
      <c r="L112" s="200"/>
      <c r="M112" s="200"/>
      <c r="N112" s="200"/>
      <c r="O112" s="8"/>
      <c r="P112" s="200"/>
      <c r="Q112" s="200"/>
      <c r="R112" s="200"/>
      <c r="S112" s="218"/>
      <c r="T112" s="200"/>
      <c r="U112" s="200"/>
      <c r="V112" s="200"/>
      <c r="W112" s="8"/>
      <c r="X112" s="200"/>
      <c r="Y112" s="200"/>
      <c r="Z112" s="200"/>
      <c r="AA112" s="219"/>
      <c r="AB112" s="200"/>
      <c r="AC112" s="200"/>
      <c r="AD112" s="3"/>
      <c r="AE112" s="3"/>
      <c r="AF112" s="2"/>
      <c r="AG112" s="3"/>
      <c r="AH112" s="3"/>
      <c r="AI112" s="3"/>
      <c r="AJ112" s="138"/>
      <c r="AK112" s="1"/>
      <c r="AL112" s="1"/>
      <c r="AM112" s="1"/>
      <c r="AN112" s="48"/>
      <c r="AO112" s="1"/>
      <c r="AP112" s="1"/>
      <c r="AQ112" s="1"/>
      <c r="AR112" s="1"/>
      <c r="AS112" s="1"/>
      <c r="AT112" s="1"/>
    </row>
    <row r="118" spans="13:46" s="2" customFormat="1">
      <c r="M118" s="3"/>
      <c r="N118" s="3"/>
      <c r="S118" s="3"/>
      <c r="T118" s="3"/>
      <c r="U118" s="3"/>
      <c r="V118" s="3"/>
      <c r="X118" s="3"/>
      <c r="Y118" s="3"/>
      <c r="Z118" s="3"/>
      <c r="AA118" s="4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47"/>
      <c r="AT118" s="47"/>
    </row>
  </sheetData>
  <sheetProtection formatCells="0" formatColumns="0" formatRows="0" insertColumns="0" insertRows="0" insertHyperlinks="0" deleteColumns="0" deleteRows="0" sort="0" autoFilter="0" pivotTables="0"/>
  <autoFilter ref="C10:C111" xr:uid="{00000000-0009-0000-0000-000000000000}"/>
  <mergeCells count="37">
    <mergeCell ref="C61:E61"/>
    <mergeCell ref="C63:E63"/>
    <mergeCell ref="C112:E112"/>
    <mergeCell ref="A1:AA2"/>
    <mergeCell ref="W5:Y5"/>
    <mergeCell ref="C5:G5"/>
    <mergeCell ref="M4:P4"/>
    <mergeCell ref="K7:N7"/>
    <mergeCell ref="A3:AA3"/>
    <mergeCell ref="A7:C7"/>
    <mergeCell ref="H5:P5"/>
    <mergeCell ref="R5:S5"/>
    <mergeCell ref="Z5:AA5"/>
    <mergeCell ref="T5:V5"/>
    <mergeCell ref="G7:J7"/>
    <mergeCell ref="R7:W7"/>
    <mergeCell ref="AD13:AK15"/>
    <mergeCell ref="AL13:AQ15"/>
    <mergeCell ref="H4:I4"/>
    <mergeCell ref="O7:Q7"/>
    <mergeCell ref="AD9:AK12"/>
    <mergeCell ref="AL9:AQ12"/>
    <mergeCell ref="C4:G4"/>
    <mergeCell ref="J4:L4"/>
    <mergeCell ref="U8:Y8"/>
    <mergeCell ref="AA8:AA9"/>
    <mergeCell ref="O8:T8"/>
    <mergeCell ref="Z8:Z9"/>
    <mergeCell ref="G8:N8"/>
    <mergeCell ref="A9:C9"/>
    <mergeCell ref="X7:Y7"/>
    <mergeCell ref="Z7:AA7"/>
    <mergeCell ref="B10:C10"/>
    <mergeCell ref="AD7:AK7"/>
    <mergeCell ref="AL7:AQ7"/>
    <mergeCell ref="AD8:AK8"/>
    <mergeCell ref="AL8:AQ8"/>
  </mergeCells>
  <conditionalFormatting sqref="S112:V112">
    <cfRule type="cellIs" dxfId="29" priority="1" operator="lessThan">
      <formula>75</formula>
    </cfRule>
  </conditionalFormatting>
  <conditionalFormatting sqref="W62:Z63">
    <cfRule type="containsText" dxfId="28" priority="2" operator="containsText" text="Developing">
      <formula>NOT(ISERROR(SEARCH("Developing",W62:Z63)))</formula>
    </cfRule>
    <cfRule type="containsText" dxfId="27" priority="3" operator="containsText" text="Emerging">
      <formula>NOT(ISERROR(SEARCH("Emerging",W62:Z63)))</formula>
    </cfRule>
  </conditionalFormatting>
  <conditionalFormatting sqref="W112:Z112">
    <cfRule type="containsText" dxfId="26" priority="4" operator="containsText" text="Developing">
      <formula>NOT(ISERROR(SEARCH("Developing",W112:Z112)))</formula>
    </cfRule>
    <cfRule type="containsText" dxfId="25" priority="5" operator="containsText" text="Emerging">
      <formula>NOT(ISERROR(SEARCH("Emerging",W112:Z112)))</formula>
    </cfRule>
  </conditionalFormatting>
  <conditionalFormatting sqref="AA62:AC63">
    <cfRule type="containsText" dxfId="24" priority="6" operator="containsText" text="FAILED">
      <formula>NOT(ISERROR(SEARCH("FAILED",AA62:AC63)))</formula>
    </cfRule>
  </conditionalFormatting>
  <conditionalFormatting sqref="AA112:AC112">
    <cfRule type="containsText" dxfId="23" priority="7" operator="containsText" text="FAILED">
      <formula>NOT(ISERROR(SEARCH("FAILED",AA112:AC112)))</formula>
    </cfRule>
  </conditionalFormatting>
  <dataValidations count="3">
    <dataValidation allowBlank="1" showInputMessage="1" showErrorMessage="1" prompt="Do not type name of learners here. Go to INPUT DATA sheet." sqref="C61 C112" xr:uid="{00000000-0002-0000-0000-000000000000}"/>
    <dataValidation type="whole" operator="lessThanOrEqual" allowBlank="1" showInputMessage="1" showErrorMessage="1" error="INPUT NUMBER LESS THAN OR EQUAL THE HIGHEST POSSIBLE SCORE" prompt="Input Raw Score" sqref="BM12:GH12" xr:uid="{00000000-0002-0000-0000-000002000000}">
      <formula1>#REF!</formula1>
    </dataValidation>
    <dataValidation allowBlank="1" showErrorMessage="1" sqref="AD9 AD13:AD14" xr:uid="{00000000-0002-0000-0000-000080000000}"/>
  </dataValidations>
  <printOptions horizontalCentered="1"/>
  <pageMargins left="0.7" right="0.7" top="0.75" bottom="0.75" header="0.3" footer="0.3"/>
  <rowBreaks count="1" manualBreakCount="1">
    <brk id="6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33"/>
  </sheetPr>
  <dimension ref="A1:BH122"/>
  <sheetViews>
    <sheetView showGridLines="0" tabSelected="1" zoomScale="85" zoomScaleNormal="85" workbookViewId="0">
      <selection activeCell="AF78" sqref="AF78"/>
    </sheetView>
  </sheetViews>
  <sheetFormatPr defaultColWidth="4.7109375" defaultRowHeight="15"/>
  <cols>
    <col min="1" max="1" width="9.42578125" style="2" customWidth="1"/>
    <col min="2" max="2" width="17.28515625" style="2" customWidth="1"/>
    <col min="3" max="3" width="33.42578125" style="2" customWidth="1"/>
    <col min="4" max="7" width="4.7109375" style="2"/>
    <col min="8" max="8" width="5.140625" style="2" customWidth="1"/>
    <col min="9" max="10" width="7.140625" style="3" customWidth="1"/>
    <col min="11" max="11" width="6.42578125" style="2" customWidth="1"/>
    <col min="12" max="13" width="4.7109375" style="2"/>
    <col min="14" max="14" width="6.28515625" style="2" customWidth="1"/>
    <col min="15" max="17" width="7.140625" style="3" customWidth="1"/>
    <col min="18" max="18" width="4.7109375" style="3"/>
    <col min="19" max="19" width="4.7109375" style="2"/>
    <col min="20" max="20" width="7.140625" style="2" customWidth="1"/>
    <col min="21" max="22" width="7.140625" style="3" customWidth="1"/>
    <col min="23" max="23" width="11.28515625" style="3" customWidth="1"/>
    <col min="24" max="24" width="11.28515625" style="4" customWidth="1"/>
    <col min="25" max="25" width="15.28515625" style="1" customWidth="1"/>
    <col min="26" max="26" width="18.85546875" style="1" customWidth="1"/>
    <col min="27" max="27" width="2.7109375" style="1" customWidth="1"/>
    <col min="28" max="28" width="26" style="1" customWidth="1"/>
    <col min="29" max="29" width="8.28515625" style="48" customWidth="1"/>
    <col min="30" max="30" width="8.7109375" style="48" customWidth="1"/>
    <col min="31" max="31" width="9" style="48" customWidth="1"/>
    <col min="32" max="43" width="4.7109375" style="48"/>
    <col min="44" max="45" width="4.7109375" style="5"/>
    <col min="46" max="46" width="4.7109375" style="6"/>
    <col min="47" max="47" width="4.7109375" style="6" hidden="1"/>
    <col min="48" max="49" width="4.7109375" style="6"/>
    <col min="50" max="60" width="4.7109375" style="1"/>
  </cols>
  <sheetData>
    <row r="1" spans="1:50" ht="15" customHeight="1">
      <c r="A1" s="341" t="s">
        <v>0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1"/>
      <c r="T1" s="341"/>
      <c r="U1" s="341"/>
      <c r="V1" s="341"/>
      <c r="W1" s="341"/>
      <c r="X1" s="341"/>
      <c r="Y1" s="6"/>
    </row>
    <row r="2" spans="1:50" ht="15" customHeight="1">
      <c r="A2" s="341"/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  <c r="P2" s="341"/>
      <c r="Q2" s="341"/>
      <c r="R2" s="341"/>
      <c r="S2" s="341"/>
      <c r="T2" s="341"/>
      <c r="U2" s="341"/>
      <c r="V2" s="341"/>
      <c r="W2" s="341"/>
      <c r="X2" s="341"/>
      <c r="Y2" s="6"/>
    </row>
    <row r="3" spans="1:50" ht="15" customHeight="1">
      <c r="A3" s="342"/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6"/>
    </row>
    <row r="4" spans="1:50" ht="21" customHeight="1">
      <c r="A4" s="47"/>
      <c r="C4" s="172" t="s">
        <v>2</v>
      </c>
      <c r="D4" s="324">
        <f>INPUT!H4</f>
        <v>10</v>
      </c>
      <c r="E4" s="326"/>
      <c r="F4" s="343" t="s">
        <v>3</v>
      </c>
      <c r="G4" s="344"/>
      <c r="H4" s="345"/>
      <c r="I4" s="324" t="str">
        <f>INPUT!M4</f>
        <v>CDO</v>
      </c>
      <c r="J4" s="325"/>
      <c r="K4" s="325"/>
      <c r="L4" s="326"/>
      <c r="M4" s="50"/>
      <c r="N4" s="8"/>
      <c r="O4" s="51"/>
      <c r="P4" s="52"/>
      <c r="Q4" s="52"/>
      <c r="R4" s="52"/>
      <c r="S4" s="53"/>
      <c r="T4" s="53"/>
      <c r="U4" s="124"/>
      <c r="V4" s="53"/>
      <c r="W4" s="53"/>
      <c r="X4" s="13"/>
      <c r="Y4" s="13"/>
      <c r="Z4" s="12"/>
      <c r="AA4" s="12"/>
      <c r="AB4" s="12"/>
      <c r="AC4" s="12"/>
    </row>
    <row r="5" spans="1:50" ht="21" customHeight="1">
      <c r="A5" s="47"/>
      <c r="C5" s="172" t="s">
        <v>5</v>
      </c>
      <c r="D5" s="324" t="str">
        <f>INPUT!H5</f>
        <v>Bridgette School Management System</v>
      </c>
      <c r="E5" s="325"/>
      <c r="F5" s="325"/>
      <c r="G5" s="325"/>
      <c r="H5" s="325"/>
      <c r="I5" s="325"/>
      <c r="J5" s="325"/>
      <c r="K5" s="325"/>
      <c r="L5" s="326"/>
      <c r="M5" s="50"/>
      <c r="N5" s="267" t="s">
        <v>7</v>
      </c>
      <c r="O5" s="327"/>
      <c r="P5" s="328">
        <f>INPUT!T5</f>
        <v>405198</v>
      </c>
      <c r="Q5" s="329"/>
      <c r="R5" s="330"/>
      <c r="S5" s="331" t="s">
        <v>8</v>
      </c>
      <c r="T5" s="307"/>
      <c r="U5" s="307"/>
      <c r="V5" s="332"/>
      <c r="W5" s="328" t="str">
        <f>INPUT!Z5</f>
        <v>{school_year}</v>
      </c>
      <c r="X5" s="330"/>
      <c r="Y5" s="13"/>
      <c r="Z5" s="12"/>
      <c r="AA5" s="12"/>
      <c r="AB5" s="12"/>
      <c r="AC5" s="12"/>
    </row>
    <row r="6" spans="1:50" ht="14.65" customHeight="1"/>
    <row r="7" spans="1:50" ht="23.25" customHeight="1">
      <c r="A7" s="348" t="s">
        <v>128</v>
      </c>
      <c r="B7" s="349"/>
      <c r="C7" s="350"/>
      <c r="D7" s="183" t="s">
        <v>10</v>
      </c>
      <c r="E7" s="184"/>
      <c r="F7" s="183"/>
      <c r="G7" s="182"/>
      <c r="H7" s="182"/>
      <c r="I7" s="333" t="str">
        <f>INPUT!K7</f>
        <v>Grade 8 Diamond</v>
      </c>
      <c r="J7" s="333"/>
      <c r="K7" s="334"/>
      <c r="L7" s="335" t="s">
        <v>12</v>
      </c>
      <c r="M7" s="275"/>
      <c r="N7" s="275"/>
      <c r="O7" s="336" t="str">
        <f>INPUT!R7</f>
        <v>Abueva, Apple Joy Middle Name</v>
      </c>
      <c r="P7" s="336"/>
      <c r="Q7" s="337"/>
      <c r="R7" s="335" t="s">
        <v>14</v>
      </c>
      <c r="S7" s="275"/>
      <c r="T7" s="275"/>
      <c r="U7" s="336" t="str">
        <f>INPUT!Z7</f>
        <v>Science 8</v>
      </c>
      <c r="V7" s="336"/>
      <c r="W7" s="337"/>
      <c r="X7" s="185"/>
      <c r="Y7" s="6"/>
    </row>
    <row r="8" spans="1:50" s="4" customFormat="1" ht="46.9" customHeight="1">
      <c r="A8" s="356"/>
      <c r="B8" s="358" t="s">
        <v>17</v>
      </c>
      <c r="C8" s="360" t="s">
        <v>18</v>
      </c>
      <c r="D8" s="362" t="str">
        <f>INPUT!AD7 &amp; " (" &amp; TEXT(INPUT!AL7, "0%") &amp; ")"</f>
        <v>WRITTEN / ORAL WORKS (20%)</v>
      </c>
      <c r="E8" s="363"/>
      <c r="F8" s="363"/>
      <c r="G8" s="363"/>
      <c r="H8" s="363"/>
      <c r="I8" s="363"/>
      <c r="J8" s="363"/>
      <c r="K8" s="364"/>
      <c r="L8" s="338" t="str">
        <f>INPUT!AD8 &amp; " (" &amp; TEXT(INPUT!AL8, "0%") &amp; ")"</f>
        <v>PRODUCT / PERFORMANCE TASKS (80%)</v>
      </c>
      <c r="M8" s="339"/>
      <c r="N8" s="339"/>
      <c r="O8" s="339"/>
      <c r="P8" s="339"/>
      <c r="Q8" s="340"/>
      <c r="R8" s="338" t="str">
        <f>INPUT!AD9 &amp; " (" &amp; TEXT(INPUT!AL9, "0%") &amp; ")"</f>
        <v>PLACEHOLDER (20%)</v>
      </c>
      <c r="S8" s="339"/>
      <c r="T8" s="339"/>
      <c r="U8" s="339"/>
      <c r="V8" s="339"/>
      <c r="W8" s="340"/>
      <c r="X8" s="321" t="s">
        <v>129</v>
      </c>
      <c r="Y8" s="321" t="s">
        <v>130</v>
      </c>
      <c r="Z8" s="321" t="s">
        <v>131</v>
      </c>
      <c r="AA8" s="18"/>
      <c r="AS8" s="19"/>
      <c r="AT8" s="19"/>
      <c r="AU8" s="19"/>
      <c r="AV8" s="19"/>
      <c r="AW8" s="19"/>
      <c r="AX8" s="19"/>
    </row>
    <row r="9" spans="1:50" s="20" customFormat="1" ht="18" customHeight="1">
      <c r="A9" s="357"/>
      <c r="B9" s="359"/>
      <c r="C9" s="361"/>
      <c r="D9" s="55">
        <v>1</v>
      </c>
      <c r="E9" s="54">
        <v>2</v>
      </c>
      <c r="F9" s="54">
        <v>3</v>
      </c>
      <c r="G9" s="54">
        <v>4</v>
      </c>
      <c r="H9" s="54">
        <v>5</v>
      </c>
      <c r="I9" s="56" t="s">
        <v>132</v>
      </c>
      <c r="J9" s="57" t="s">
        <v>133</v>
      </c>
      <c r="K9" s="58" t="s">
        <v>134</v>
      </c>
      <c r="L9" s="55">
        <v>1</v>
      </c>
      <c r="M9" s="54">
        <v>2</v>
      </c>
      <c r="N9" s="54">
        <v>3</v>
      </c>
      <c r="O9" s="56" t="s">
        <v>132</v>
      </c>
      <c r="P9" s="57" t="s">
        <v>133</v>
      </c>
      <c r="Q9" s="58" t="s">
        <v>134</v>
      </c>
      <c r="R9" s="59" t="s">
        <v>135</v>
      </c>
      <c r="S9" s="60" t="s">
        <v>136</v>
      </c>
      <c r="T9" s="54" t="s">
        <v>137</v>
      </c>
      <c r="U9" s="56" t="s">
        <v>132</v>
      </c>
      <c r="V9" s="57" t="s">
        <v>133</v>
      </c>
      <c r="W9" s="58" t="s">
        <v>134</v>
      </c>
      <c r="X9" s="322"/>
      <c r="Y9" s="322"/>
      <c r="Z9" s="322"/>
      <c r="AA9" s="18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22"/>
      <c r="AT9" s="22"/>
      <c r="AU9" s="22"/>
      <c r="AV9" s="22"/>
      <c r="AW9" s="27"/>
      <c r="AX9" s="27"/>
    </row>
    <row r="10" spans="1:50" s="23" customFormat="1" ht="18" customHeight="1">
      <c r="A10" s="351" t="s">
        <v>20</v>
      </c>
      <c r="B10" s="352"/>
      <c r="C10" s="353"/>
      <c r="D10" s="62">
        <v>1</v>
      </c>
      <c r="E10" s="63">
        <v>1</v>
      </c>
      <c r="F10" s="63">
        <v>1</v>
      </c>
      <c r="G10" s="63">
        <v>1</v>
      </c>
      <c r="H10" s="63">
        <v>1</v>
      </c>
      <c r="I10" s="56">
        <f>IF(COUNT($D10:$H10)=0,"",SUM($D10:$H10))</f>
        <v>5</v>
      </c>
      <c r="J10" s="57">
        <v>100</v>
      </c>
      <c r="K10" s="58">
        <f>INPUT!AL7</f>
        <v>0.2</v>
      </c>
      <c r="L10" s="62">
        <v>1</v>
      </c>
      <c r="M10" s="63">
        <v>1</v>
      </c>
      <c r="N10" s="63">
        <v>1</v>
      </c>
      <c r="O10" s="56">
        <f>IF(COUNT($L10:$N10)=0,"",SUM($L10:$N10))</f>
        <v>3</v>
      </c>
      <c r="P10" s="57">
        <v>100</v>
      </c>
      <c r="Q10" s="58">
        <f>INPUT!AL8</f>
        <v>0.8</v>
      </c>
      <c r="R10" s="64">
        <v>1</v>
      </c>
      <c r="S10" s="65">
        <v>1</v>
      </c>
      <c r="T10" s="63">
        <v>1</v>
      </c>
      <c r="U10" s="66">
        <f>IF(COUNT($R10:$T10=0),"",SUM($R10:$T10))</f>
        <v>3</v>
      </c>
      <c r="V10" s="57">
        <v>100</v>
      </c>
      <c r="W10" s="58">
        <f>INPUT!AL9</f>
        <v>0.2</v>
      </c>
      <c r="X10" s="323"/>
      <c r="Y10" s="323"/>
      <c r="Z10" s="323"/>
      <c r="AA10" s="18"/>
      <c r="AB10" s="67"/>
      <c r="AC10" s="6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5"/>
      <c r="AT10" s="5"/>
      <c r="AU10" s="5"/>
      <c r="AV10" s="5"/>
      <c r="AW10" s="41"/>
      <c r="AX10" s="41"/>
    </row>
    <row r="11" spans="1:50" s="23" customFormat="1" ht="18" customHeight="1">
      <c r="A11" s="251"/>
      <c r="B11" s="354" t="s">
        <v>22</v>
      </c>
      <c r="C11" s="355"/>
      <c r="D11" s="69"/>
      <c r="E11" s="70"/>
      <c r="F11" s="70"/>
      <c r="G11" s="70"/>
      <c r="H11" s="70"/>
      <c r="I11" s="71"/>
      <c r="J11" s="72"/>
      <c r="K11" s="73"/>
      <c r="L11" s="69"/>
      <c r="M11" s="70"/>
      <c r="N11" s="70"/>
      <c r="O11" s="71"/>
      <c r="P11" s="72"/>
      <c r="Q11" s="73"/>
      <c r="R11" s="74"/>
      <c r="S11" s="71"/>
      <c r="T11" s="70"/>
      <c r="U11" s="70"/>
      <c r="V11" s="72"/>
      <c r="W11" s="73"/>
      <c r="X11" s="75"/>
      <c r="Y11" s="76"/>
      <c r="Z11" s="77"/>
      <c r="AA11" s="18"/>
      <c r="AB11" s="67"/>
      <c r="AC11" s="6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5"/>
      <c r="AT11" s="5"/>
      <c r="AU11" s="5"/>
      <c r="AV11" s="5"/>
      <c r="AW11" s="41"/>
      <c r="AX11" s="41"/>
    </row>
    <row r="12" spans="1:50" s="23" customFormat="1" ht="18" hidden="1" customHeight="1">
      <c r="A12" s="226" t="s">
        <v>23</v>
      </c>
      <c r="B12" s="180" t="s">
        <v>24</v>
      </c>
      <c r="C12" s="186" t="s">
        <v>25</v>
      </c>
      <c r="D12" s="188" t="s">
        <v>138</v>
      </c>
      <c r="E12" s="188" t="s">
        <v>138</v>
      </c>
      <c r="F12" s="188" t="s">
        <v>138</v>
      </c>
      <c r="G12" s="188" t="s">
        <v>138</v>
      </c>
      <c r="H12" s="188" t="s">
        <v>138</v>
      </c>
      <c r="I12" s="189" t="s">
        <v>139</v>
      </c>
      <c r="J12" s="190" t="s">
        <v>140</v>
      </c>
      <c r="K12" s="190" t="s">
        <v>141</v>
      </c>
      <c r="L12" s="188" t="s">
        <v>142</v>
      </c>
      <c r="M12" s="188" t="s">
        <v>142</v>
      </c>
      <c r="N12" s="188" t="s">
        <v>142</v>
      </c>
      <c r="O12" s="189" t="s">
        <v>143</v>
      </c>
      <c r="P12" s="190" t="s">
        <v>144</v>
      </c>
      <c r="Q12" s="190" t="s">
        <v>145</v>
      </c>
      <c r="R12" s="192" t="s">
        <v>146</v>
      </c>
      <c r="S12" s="193" t="s">
        <v>147</v>
      </c>
      <c r="T12" s="194" t="s">
        <v>148</v>
      </c>
      <c r="U12" s="188" t="s">
        <v>149</v>
      </c>
      <c r="V12" s="190" t="s">
        <v>150</v>
      </c>
      <c r="W12" s="190" t="s">
        <v>151</v>
      </c>
      <c r="X12" s="195" t="s">
        <v>152</v>
      </c>
      <c r="Y12" s="196" t="s">
        <v>153</v>
      </c>
      <c r="Z12" s="191" t="s">
        <v>154</v>
      </c>
      <c r="AA12" s="18"/>
      <c r="AB12" s="67"/>
      <c r="AC12" s="6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5"/>
      <c r="AT12" s="5"/>
      <c r="AU12" s="5"/>
      <c r="AV12" s="5"/>
      <c r="AW12" s="41"/>
      <c r="AX12" s="41"/>
    </row>
    <row r="13" spans="1:50" ht="18" customHeight="1">
      <c r="A13" s="179">
        <f>INPUT!A12</f>
        <v>1</v>
      </c>
      <c r="B13" s="179" t="str">
        <f>INPUT!B12</f>
        <v>2022-00001</v>
      </c>
      <c r="C13" s="179" t="str">
        <f>INPUT!C12</f>
        <v>Ando, Ryanjel</v>
      </c>
      <c r="D13" s="78">
        <v>1</v>
      </c>
      <c r="E13" s="78">
        <v>1</v>
      </c>
      <c r="F13" s="78">
        <v>1</v>
      </c>
      <c r="G13" s="78">
        <v>1</v>
      </c>
      <c r="H13" s="78">
        <v>1</v>
      </c>
      <c r="I13" s="80">
        <f t="shared" ref="I13:I44" si="0">IF(COUNT($D13:$H13)=0,"",SUM($D13:$H13))</f>
        <v>5</v>
      </c>
      <c r="J13" s="81">
        <f t="shared" ref="J13:J44" si="1">IF(ISERROR(IF($I13="","",ROUND(($I13/$I$10)*$J$10,2))),"",IF($I13="","",ROUND(($I13/$I$10)*$J$10,2)))</f>
        <v>100</v>
      </c>
      <c r="K13" s="82">
        <f t="shared" ref="K13:K44" si="2">IF($J13="","",ROUND($J13*$K$10,2))</f>
        <v>20</v>
      </c>
      <c r="L13" s="78">
        <v>1</v>
      </c>
      <c r="M13" s="78">
        <v>1</v>
      </c>
      <c r="N13" s="78">
        <v>1</v>
      </c>
      <c r="O13" s="80">
        <f t="shared" ref="O13:O44" si="3">IF(COUNT($L13:$N13)=0,"",SUM($L13:$N13))</f>
        <v>3</v>
      </c>
      <c r="P13" s="81">
        <f t="shared" ref="P13:P44" si="4">IF(ISERROR(IF($O13="","",ROUND(($O13/$O$10)*$P$10,2))),"",IF($O13="","",ROUND(($O13/$O$10)*$P$10,2)))</f>
        <v>100</v>
      </c>
      <c r="Q13" s="82">
        <f t="shared" ref="Q13:Q44" si="5">IF($P13="","",ROUND($P13*$Q$10,2))</f>
        <v>80</v>
      </c>
      <c r="R13" s="78">
        <v>1</v>
      </c>
      <c r="S13" s="78">
        <v>1</v>
      </c>
      <c r="T13" s="78">
        <v>1</v>
      </c>
      <c r="U13" s="80">
        <f t="shared" ref="U13:U44" si="6">IF(COUNT($R13:$T13)=0,"",SUM($R13:$T13))</f>
        <v>3</v>
      </c>
      <c r="V13" s="81">
        <f t="shared" ref="V13:V44" si="7">IF(ISERROR(IF($U13="","",ROUND(($U13/$U$10)*$V$10,2))),"",IF($U13="","",ROUND(($U13/$U$10)*$V$10,2)))</f>
        <v>100</v>
      </c>
      <c r="W13" s="82">
        <f t="shared" ref="W13:W44" si="8">IF($V13="","",ROUND($V13*$W$10,2))</f>
        <v>20</v>
      </c>
      <c r="X13" s="83">
        <f>IF(ISERROR(IF($U13="","",ROUND(SUM($K13,$Q13,$W13),2))),"",IF($U13="","",ROUND(SUM($K13,$Q13,$W13),2)))</f>
        <v>120</v>
      </c>
      <c r="Y13" s="84">
        <f>IF(ISERROR(IF($U13="","",VLOOKUP(X13,NewTransmu,4,TRUE))),"",IF($U13="","",VLOOKUP(X13,NewTransmu,4,TRUE)))</f>
        <v>100</v>
      </c>
      <c r="Z13" s="85" t="str">
        <f t="shared" ref="Z13:Z44" si="9">IF(ISERROR(IF(Y13="","",VLOOKUP(Y13,DESCRIPTORS,4,TRUE))),"",IF(Y13="","",VLOOKUP(Y13,DESCRIPTORS,4,TRUE)))</f>
        <v>Advancing</v>
      </c>
      <c r="AB13" s="47"/>
      <c r="AC13" s="6"/>
      <c r="AD13" s="41"/>
      <c r="AE13" s="41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41"/>
      <c r="AT13" s="41">
        <f t="shared" ref="AT13:AT44" si="10">(R13/$R$10)*100</f>
        <v>100</v>
      </c>
      <c r="AU13" s="41">
        <f t="shared" ref="AU13:AU44" si="11">(S13/$S$10)*100</f>
        <v>100</v>
      </c>
      <c r="AV13" s="41">
        <f t="shared" ref="AV13:AV44" si="12">(T13/$T$10)*100</f>
        <v>100</v>
      </c>
      <c r="AX13" s="6"/>
    </row>
    <row r="14" spans="1:50" ht="18" customHeight="1">
      <c r="A14" s="179">
        <f>INPUT!A13</f>
        <v>2</v>
      </c>
      <c r="B14" s="179" t="str">
        <f>INPUT!B13</f>
        <v>2022-00044</v>
      </c>
      <c r="C14" s="179" t="str">
        <f>INPUT!C13</f>
        <v>Arante, Cobe Mc Daniel</v>
      </c>
      <c r="D14" s="87">
        <v>1</v>
      </c>
      <c r="E14" s="87">
        <v>1</v>
      </c>
      <c r="F14" s="87">
        <v>1</v>
      </c>
      <c r="G14" s="87">
        <v>1</v>
      </c>
      <c r="H14" s="87">
        <v>1</v>
      </c>
      <c r="I14" s="89">
        <f t="shared" si="0"/>
        <v>5</v>
      </c>
      <c r="J14" s="57">
        <f t="shared" si="1"/>
        <v>100</v>
      </c>
      <c r="K14" s="90">
        <f t="shared" si="2"/>
        <v>20</v>
      </c>
      <c r="L14" s="87">
        <v>1</v>
      </c>
      <c r="M14" s="87">
        <v>1</v>
      </c>
      <c r="N14" s="87">
        <v>1</v>
      </c>
      <c r="O14" s="89">
        <f t="shared" si="3"/>
        <v>3</v>
      </c>
      <c r="P14" s="57">
        <f t="shared" si="4"/>
        <v>100</v>
      </c>
      <c r="Q14" s="90">
        <f t="shared" si="5"/>
        <v>80</v>
      </c>
      <c r="R14" s="87">
        <v>1</v>
      </c>
      <c r="S14" s="87">
        <v>1</v>
      </c>
      <c r="T14" s="87">
        <v>1</v>
      </c>
      <c r="U14" s="89">
        <f t="shared" si="6"/>
        <v>3</v>
      </c>
      <c r="V14" s="57">
        <f t="shared" si="7"/>
        <v>100</v>
      </c>
      <c r="W14" s="90">
        <f t="shared" si="8"/>
        <v>20</v>
      </c>
      <c r="X14" s="91">
        <f t="shared" ref="X14:X45" si="13">IF(ISERROR(IF($T14="","",ROUND(SUM($K14,$Q14,$W14),2))),"",IF($T14="","",ROUND(SUM($K14,$Q14,$W14),2)))</f>
        <v>120</v>
      </c>
      <c r="Y14" s="92">
        <f t="shared" ref="Y14:Y45" si="14">IF(ISERROR(IF($T14="","",VLOOKUP(X14,NewTransmu,4,TRUE))),"",IF($T14="","",VLOOKUP(X14,NewTransmu,4,TRUE)))</f>
        <v>100</v>
      </c>
      <c r="Z14" s="93" t="str">
        <f t="shared" si="9"/>
        <v>Advancing</v>
      </c>
      <c r="AB14" s="94"/>
      <c r="AC14" s="94" t="s">
        <v>135</v>
      </c>
      <c r="AD14" s="94" t="s">
        <v>136</v>
      </c>
      <c r="AE14" s="94" t="s">
        <v>137</v>
      </c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41"/>
      <c r="AT14" s="41">
        <f t="shared" si="10"/>
        <v>100</v>
      </c>
      <c r="AU14" s="41">
        <f t="shared" si="11"/>
        <v>100</v>
      </c>
      <c r="AV14" s="41">
        <f t="shared" si="12"/>
        <v>100</v>
      </c>
      <c r="AX14" s="6"/>
    </row>
    <row r="15" spans="1:50" ht="18" customHeight="1">
      <c r="A15" s="179">
        <f>INPUT!A14</f>
        <v>3</v>
      </c>
      <c r="B15" s="179" t="str">
        <f>INPUT!B14</f>
        <v>2022-00418</v>
      </c>
      <c r="C15" s="179" t="str">
        <f>INPUT!C14</f>
        <v>Barnido, Charllys Moore</v>
      </c>
      <c r="D15" s="87">
        <v>1</v>
      </c>
      <c r="E15" s="87">
        <v>1</v>
      </c>
      <c r="F15" s="87">
        <v>1</v>
      </c>
      <c r="G15" s="87">
        <v>1</v>
      </c>
      <c r="H15" s="87">
        <v>1</v>
      </c>
      <c r="I15" s="89">
        <f t="shared" si="0"/>
        <v>5</v>
      </c>
      <c r="J15" s="57">
        <f t="shared" si="1"/>
        <v>100</v>
      </c>
      <c r="K15" s="90">
        <f t="shared" si="2"/>
        <v>20</v>
      </c>
      <c r="L15" s="87">
        <v>1</v>
      </c>
      <c r="M15" s="87">
        <v>1</v>
      </c>
      <c r="N15" s="87">
        <v>1</v>
      </c>
      <c r="O15" s="89">
        <f t="shared" si="3"/>
        <v>3</v>
      </c>
      <c r="P15" s="57">
        <f t="shared" si="4"/>
        <v>100</v>
      </c>
      <c r="Q15" s="90">
        <f t="shared" si="5"/>
        <v>80</v>
      </c>
      <c r="R15" s="87">
        <v>1</v>
      </c>
      <c r="S15" s="87">
        <v>1</v>
      </c>
      <c r="T15" s="87">
        <v>1</v>
      </c>
      <c r="U15" s="89">
        <f t="shared" si="6"/>
        <v>3</v>
      </c>
      <c r="V15" s="57">
        <f t="shared" si="7"/>
        <v>100</v>
      </c>
      <c r="W15" s="90">
        <f t="shared" si="8"/>
        <v>20</v>
      </c>
      <c r="X15" s="91">
        <f t="shared" si="13"/>
        <v>120</v>
      </c>
      <c r="Y15" s="92">
        <f t="shared" si="14"/>
        <v>100</v>
      </c>
      <c r="Z15" s="93" t="str">
        <f t="shared" si="9"/>
        <v>Advancing</v>
      </c>
      <c r="AB15" s="95" t="s">
        <v>155</v>
      </c>
      <c r="AC15" s="96">
        <f>COUNTA(R13:R115)</f>
        <v>46</v>
      </c>
      <c r="AD15" s="96">
        <f>COUNTA(S13:S115)</f>
        <v>46</v>
      </c>
      <c r="AE15" s="96">
        <f>COUNTA(T13:T115)</f>
        <v>46</v>
      </c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41"/>
      <c r="AT15" s="41">
        <f t="shared" si="10"/>
        <v>100</v>
      </c>
      <c r="AU15" s="41">
        <f t="shared" si="11"/>
        <v>100</v>
      </c>
      <c r="AV15" s="41">
        <f t="shared" si="12"/>
        <v>100</v>
      </c>
      <c r="AX15" s="6"/>
    </row>
    <row r="16" spans="1:50" ht="18" customHeight="1">
      <c r="A16" s="179">
        <f>INPUT!A15</f>
        <v>4</v>
      </c>
      <c r="B16" s="179" t="str">
        <f>INPUT!B15</f>
        <v>2023-00532</v>
      </c>
      <c r="C16" s="179" t="str">
        <f>INPUT!C15</f>
        <v>CAPILI, SCHAN MARC STEVEN</v>
      </c>
      <c r="D16" s="87">
        <v>1</v>
      </c>
      <c r="E16" s="87">
        <v>1</v>
      </c>
      <c r="F16" s="87">
        <v>1</v>
      </c>
      <c r="G16" s="87">
        <v>1</v>
      </c>
      <c r="H16" s="87">
        <v>1</v>
      </c>
      <c r="I16" s="89">
        <f t="shared" si="0"/>
        <v>5</v>
      </c>
      <c r="J16" s="57">
        <f t="shared" si="1"/>
        <v>100</v>
      </c>
      <c r="K16" s="90">
        <f t="shared" si="2"/>
        <v>20</v>
      </c>
      <c r="L16" s="87">
        <v>1</v>
      </c>
      <c r="M16" s="87">
        <v>1</v>
      </c>
      <c r="N16" s="87">
        <v>1</v>
      </c>
      <c r="O16" s="89">
        <f t="shared" si="3"/>
        <v>3</v>
      </c>
      <c r="P16" s="57">
        <f t="shared" si="4"/>
        <v>100</v>
      </c>
      <c r="Q16" s="90">
        <f t="shared" si="5"/>
        <v>80</v>
      </c>
      <c r="R16" s="87">
        <v>1</v>
      </c>
      <c r="S16" s="87">
        <v>1</v>
      </c>
      <c r="T16" s="87">
        <v>1</v>
      </c>
      <c r="U16" s="89">
        <f t="shared" si="6"/>
        <v>3</v>
      </c>
      <c r="V16" s="57">
        <f t="shared" si="7"/>
        <v>100</v>
      </c>
      <c r="W16" s="90">
        <f t="shared" si="8"/>
        <v>20</v>
      </c>
      <c r="X16" s="91">
        <f t="shared" si="13"/>
        <v>120</v>
      </c>
      <c r="Y16" s="92">
        <f t="shared" si="14"/>
        <v>100</v>
      </c>
      <c r="Z16" s="93" t="str">
        <f t="shared" si="9"/>
        <v>Advancing</v>
      </c>
      <c r="AB16" s="97" t="s">
        <v>156</v>
      </c>
      <c r="AC16" s="96">
        <f>R10</f>
        <v>1</v>
      </c>
      <c r="AD16" s="96">
        <f>S10</f>
        <v>1</v>
      </c>
      <c r="AE16" s="96">
        <f>T10</f>
        <v>1</v>
      </c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41"/>
      <c r="AT16" s="41">
        <f t="shared" si="10"/>
        <v>100</v>
      </c>
      <c r="AU16" s="41">
        <f t="shared" si="11"/>
        <v>100</v>
      </c>
      <c r="AV16" s="41">
        <f t="shared" si="12"/>
        <v>100</v>
      </c>
      <c r="AX16" s="6"/>
    </row>
    <row r="17" spans="1:50" ht="18" customHeight="1">
      <c r="A17" s="179">
        <f>INPUT!A16</f>
        <v>5</v>
      </c>
      <c r="B17" s="179" t="str">
        <f>INPUT!B16</f>
        <v>2022-00002</v>
      </c>
      <c r="C17" s="179" t="str">
        <f>INPUT!C16</f>
        <v>Cuizon, Cyril</v>
      </c>
      <c r="D17" s="87">
        <v>1</v>
      </c>
      <c r="E17" s="87">
        <v>1</v>
      </c>
      <c r="F17" s="87">
        <v>1</v>
      </c>
      <c r="G17" s="87">
        <v>1</v>
      </c>
      <c r="H17" s="87">
        <v>1</v>
      </c>
      <c r="I17" s="89">
        <f t="shared" si="0"/>
        <v>5</v>
      </c>
      <c r="J17" s="57">
        <f t="shared" si="1"/>
        <v>100</v>
      </c>
      <c r="K17" s="90">
        <f t="shared" si="2"/>
        <v>20</v>
      </c>
      <c r="L17" s="87">
        <v>1</v>
      </c>
      <c r="M17" s="87">
        <v>1</v>
      </c>
      <c r="N17" s="87">
        <v>1</v>
      </c>
      <c r="O17" s="89">
        <f t="shared" si="3"/>
        <v>3</v>
      </c>
      <c r="P17" s="57">
        <f t="shared" si="4"/>
        <v>100</v>
      </c>
      <c r="Q17" s="90">
        <f t="shared" si="5"/>
        <v>80</v>
      </c>
      <c r="R17" s="87">
        <v>1</v>
      </c>
      <c r="S17" s="87">
        <v>1</v>
      </c>
      <c r="T17" s="87">
        <v>1</v>
      </c>
      <c r="U17" s="89">
        <f t="shared" si="6"/>
        <v>3</v>
      </c>
      <c r="V17" s="57">
        <f t="shared" si="7"/>
        <v>100</v>
      </c>
      <c r="W17" s="90">
        <f t="shared" si="8"/>
        <v>20</v>
      </c>
      <c r="X17" s="91">
        <f t="shared" si="13"/>
        <v>120</v>
      </c>
      <c r="Y17" s="92">
        <f t="shared" si="14"/>
        <v>100</v>
      </c>
      <c r="Z17" s="93" t="str">
        <f t="shared" si="9"/>
        <v>Advancing</v>
      </c>
      <c r="AB17" s="98"/>
      <c r="AC17" s="98"/>
      <c r="AD17" s="98"/>
      <c r="AE17" s="98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41"/>
      <c r="AT17" s="41">
        <f t="shared" si="10"/>
        <v>100</v>
      </c>
      <c r="AU17" s="41">
        <f t="shared" si="11"/>
        <v>100</v>
      </c>
      <c r="AV17" s="41">
        <f t="shared" si="12"/>
        <v>100</v>
      </c>
      <c r="AX17" s="6"/>
    </row>
    <row r="18" spans="1:50" ht="18" customHeight="1">
      <c r="A18" s="179">
        <f>INPUT!A17</f>
        <v>6</v>
      </c>
      <c r="B18" s="179" t="str">
        <f>INPUT!B17</f>
        <v>2022-00003</v>
      </c>
      <c r="C18" s="179" t="str">
        <f>INPUT!C17</f>
        <v>Deguiñon, Paul Jhon</v>
      </c>
      <c r="D18" s="87">
        <v>1</v>
      </c>
      <c r="E18" s="87">
        <v>1</v>
      </c>
      <c r="F18" s="87">
        <v>1</v>
      </c>
      <c r="G18" s="87">
        <v>1</v>
      </c>
      <c r="H18" s="87">
        <v>1</v>
      </c>
      <c r="I18" s="89">
        <f t="shared" si="0"/>
        <v>5</v>
      </c>
      <c r="J18" s="57">
        <f t="shared" si="1"/>
        <v>100</v>
      </c>
      <c r="K18" s="90">
        <f t="shared" si="2"/>
        <v>20</v>
      </c>
      <c r="L18" s="87">
        <v>1</v>
      </c>
      <c r="M18" s="87">
        <v>1</v>
      </c>
      <c r="N18" s="87">
        <v>1</v>
      </c>
      <c r="O18" s="89">
        <f t="shared" si="3"/>
        <v>3</v>
      </c>
      <c r="P18" s="57">
        <f t="shared" si="4"/>
        <v>100</v>
      </c>
      <c r="Q18" s="90">
        <f t="shared" si="5"/>
        <v>80</v>
      </c>
      <c r="R18" s="87">
        <v>1</v>
      </c>
      <c r="S18" s="87">
        <v>1</v>
      </c>
      <c r="T18" s="87">
        <v>1</v>
      </c>
      <c r="U18" s="89">
        <f t="shared" si="6"/>
        <v>3</v>
      </c>
      <c r="V18" s="57">
        <f t="shared" si="7"/>
        <v>100</v>
      </c>
      <c r="W18" s="90">
        <f t="shared" si="8"/>
        <v>20</v>
      </c>
      <c r="X18" s="91">
        <f t="shared" si="13"/>
        <v>120</v>
      </c>
      <c r="Y18" s="92">
        <f t="shared" si="14"/>
        <v>100</v>
      </c>
      <c r="Z18" s="93" t="str">
        <f t="shared" si="9"/>
        <v>Advancing</v>
      </c>
      <c r="AB18" s="99" t="s">
        <v>157</v>
      </c>
      <c r="AC18" s="94" t="s">
        <v>135</v>
      </c>
      <c r="AD18" s="94" t="s">
        <v>136</v>
      </c>
      <c r="AE18" s="94" t="s">
        <v>137</v>
      </c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41"/>
      <c r="AT18" s="41">
        <f t="shared" si="10"/>
        <v>100</v>
      </c>
      <c r="AU18" s="41">
        <f t="shared" si="11"/>
        <v>100</v>
      </c>
      <c r="AV18" s="41">
        <f t="shared" si="12"/>
        <v>100</v>
      </c>
      <c r="AX18" s="6"/>
    </row>
    <row r="19" spans="1:50" ht="18" customHeight="1">
      <c r="A19" s="179">
        <f>INPUT!A18</f>
        <v>7</v>
      </c>
      <c r="B19" s="179" t="str">
        <f>INPUT!B18</f>
        <v>002026-000193</v>
      </c>
      <c r="C19" s="179" t="str">
        <f>INPUT!C18</f>
        <v>Dela Cruz, Juan</v>
      </c>
      <c r="D19" s="87">
        <v>1</v>
      </c>
      <c r="E19" s="87">
        <v>1</v>
      </c>
      <c r="F19" s="87">
        <v>1</v>
      </c>
      <c r="G19" s="87">
        <v>1</v>
      </c>
      <c r="H19" s="87">
        <v>1</v>
      </c>
      <c r="I19" s="89">
        <f t="shared" si="0"/>
        <v>5</v>
      </c>
      <c r="J19" s="57">
        <f t="shared" si="1"/>
        <v>100</v>
      </c>
      <c r="K19" s="90">
        <f t="shared" si="2"/>
        <v>20</v>
      </c>
      <c r="L19" s="87">
        <v>1</v>
      </c>
      <c r="M19" s="87">
        <v>1</v>
      </c>
      <c r="N19" s="87">
        <v>1</v>
      </c>
      <c r="O19" s="89">
        <f t="shared" si="3"/>
        <v>3</v>
      </c>
      <c r="P19" s="57">
        <f t="shared" si="4"/>
        <v>100</v>
      </c>
      <c r="Q19" s="90">
        <f t="shared" si="5"/>
        <v>80</v>
      </c>
      <c r="R19" s="87">
        <v>1</v>
      </c>
      <c r="S19" s="87">
        <v>1</v>
      </c>
      <c r="T19" s="87">
        <v>1</v>
      </c>
      <c r="U19" s="89">
        <f t="shared" si="6"/>
        <v>3</v>
      </c>
      <c r="V19" s="57">
        <f t="shared" si="7"/>
        <v>100</v>
      </c>
      <c r="W19" s="90">
        <f t="shared" si="8"/>
        <v>20</v>
      </c>
      <c r="X19" s="91">
        <f t="shared" si="13"/>
        <v>120</v>
      </c>
      <c r="Y19" s="92">
        <f t="shared" si="14"/>
        <v>100</v>
      </c>
      <c r="Z19" s="93" t="str">
        <f t="shared" si="9"/>
        <v>Advancing</v>
      </c>
      <c r="AB19" s="100" t="s">
        <v>158</v>
      </c>
      <c r="AC19" s="101">
        <f>COUNTIF(AT13:AT115,"&gt;=75")</f>
        <v>46</v>
      </c>
      <c r="AD19" s="101">
        <f>COUNTIF(AU13:AU115,"&gt;=75")</f>
        <v>46</v>
      </c>
      <c r="AE19" s="101">
        <f>COUNTIF(AV13:AV115,"&gt;=75")</f>
        <v>46</v>
      </c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41"/>
      <c r="AT19" s="41">
        <f t="shared" si="10"/>
        <v>100</v>
      </c>
      <c r="AU19" s="41">
        <f t="shared" si="11"/>
        <v>100</v>
      </c>
      <c r="AV19" s="41">
        <f t="shared" si="12"/>
        <v>100</v>
      </c>
      <c r="AX19" s="6"/>
    </row>
    <row r="20" spans="1:50" ht="18" customHeight="1">
      <c r="A20" s="179">
        <f>INPUT!A19</f>
        <v>8</v>
      </c>
      <c r="B20" s="179" t="str">
        <f>INPUT!B19</f>
        <v>2022-00047</v>
      </c>
      <c r="C20" s="179" t="str">
        <f>INPUT!C19</f>
        <v>Dela Cruz, Stacey Samson</v>
      </c>
      <c r="D20" s="87">
        <v>1</v>
      </c>
      <c r="E20" s="87">
        <v>1</v>
      </c>
      <c r="F20" s="87">
        <v>1</v>
      </c>
      <c r="G20" s="87">
        <v>1</v>
      </c>
      <c r="H20" s="87">
        <v>1</v>
      </c>
      <c r="I20" s="89">
        <f t="shared" si="0"/>
        <v>5</v>
      </c>
      <c r="J20" s="57">
        <f t="shared" si="1"/>
        <v>100</v>
      </c>
      <c r="K20" s="90">
        <f t="shared" si="2"/>
        <v>20</v>
      </c>
      <c r="L20" s="87">
        <v>1</v>
      </c>
      <c r="M20" s="87">
        <v>1</v>
      </c>
      <c r="N20" s="87">
        <v>1</v>
      </c>
      <c r="O20" s="89">
        <f t="shared" si="3"/>
        <v>3</v>
      </c>
      <c r="P20" s="57">
        <f t="shared" si="4"/>
        <v>100</v>
      </c>
      <c r="Q20" s="90">
        <f t="shared" si="5"/>
        <v>80</v>
      </c>
      <c r="R20" s="87">
        <v>1</v>
      </c>
      <c r="S20" s="87">
        <v>1</v>
      </c>
      <c r="T20" s="87">
        <v>1</v>
      </c>
      <c r="U20" s="89">
        <f t="shared" si="6"/>
        <v>3</v>
      </c>
      <c r="V20" s="57">
        <f t="shared" si="7"/>
        <v>100</v>
      </c>
      <c r="W20" s="90">
        <f t="shared" si="8"/>
        <v>20</v>
      </c>
      <c r="X20" s="91">
        <f t="shared" si="13"/>
        <v>120</v>
      </c>
      <c r="Y20" s="92">
        <f t="shared" si="14"/>
        <v>100</v>
      </c>
      <c r="Z20" s="93" t="str">
        <f t="shared" si="9"/>
        <v>Advancing</v>
      </c>
      <c r="AB20" s="100" t="s">
        <v>159</v>
      </c>
      <c r="AC20" s="102">
        <f>IFERROR(AC19/AC15,"")</f>
        <v>1</v>
      </c>
      <c r="AD20" s="102">
        <f>IFERROR(AD19/AD15,"")</f>
        <v>1</v>
      </c>
      <c r="AE20" s="102">
        <f>IFERROR(AE19/AE15,"")</f>
        <v>1</v>
      </c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41"/>
      <c r="AT20" s="41">
        <f t="shared" si="10"/>
        <v>100</v>
      </c>
      <c r="AU20" s="41">
        <f t="shared" si="11"/>
        <v>100</v>
      </c>
      <c r="AV20" s="41">
        <f t="shared" si="12"/>
        <v>100</v>
      </c>
      <c r="AX20" s="6"/>
    </row>
    <row r="21" spans="1:50" ht="18" customHeight="1">
      <c r="A21" s="179">
        <f>INPUT!A20</f>
        <v>9</v>
      </c>
      <c r="B21" s="179" t="str">
        <f>INPUT!B20</f>
        <v>2023-00510</v>
      </c>
      <c r="C21" s="179" t="str">
        <f>INPUT!C20</f>
        <v>DURIAS, KIRK ADRIANE</v>
      </c>
      <c r="D21" s="87">
        <v>1</v>
      </c>
      <c r="E21" s="87">
        <v>1</v>
      </c>
      <c r="F21" s="87">
        <v>1</v>
      </c>
      <c r="G21" s="87">
        <v>1</v>
      </c>
      <c r="H21" s="87">
        <v>1</v>
      </c>
      <c r="I21" s="89">
        <f t="shared" si="0"/>
        <v>5</v>
      </c>
      <c r="J21" s="57">
        <f t="shared" si="1"/>
        <v>100</v>
      </c>
      <c r="K21" s="90">
        <f t="shared" si="2"/>
        <v>20</v>
      </c>
      <c r="L21" s="87">
        <v>1</v>
      </c>
      <c r="M21" s="87">
        <v>1</v>
      </c>
      <c r="N21" s="87">
        <v>1</v>
      </c>
      <c r="O21" s="89">
        <f t="shared" si="3"/>
        <v>3</v>
      </c>
      <c r="P21" s="57">
        <f t="shared" si="4"/>
        <v>100</v>
      </c>
      <c r="Q21" s="90">
        <f t="shared" si="5"/>
        <v>80</v>
      </c>
      <c r="R21" s="87">
        <v>1</v>
      </c>
      <c r="S21" s="87">
        <v>1</v>
      </c>
      <c r="T21" s="87">
        <v>1</v>
      </c>
      <c r="U21" s="89">
        <f t="shared" si="6"/>
        <v>3</v>
      </c>
      <c r="V21" s="57">
        <f t="shared" si="7"/>
        <v>100</v>
      </c>
      <c r="W21" s="90">
        <f t="shared" si="8"/>
        <v>20</v>
      </c>
      <c r="X21" s="91">
        <f t="shared" si="13"/>
        <v>120</v>
      </c>
      <c r="Y21" s="92">
        <f t="shared" si="14"/>
        <v>100</v>
      </c>
      <c r="Z21" s="93" t="str">
        <f t="shared" si="9"/>
        <v>Advancing</v>
      </c>
      <c r="AB21" s="100" t="s">
        <v>160</v>
      </c>
      <c r="AC21" s="101">
        <f>AC15-AC19</f>
        <v>0</v>
      </c>
      <c r="AD21" s="101">
        <f>AD15-AD19</f>
        <v>0</v>
      </c>
      <c r="AE21" s="101">
        <f>AE15-AE19</f>
        <v>0</v>
      </c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41"/>
      <c r="AT21" s="41">
        <f t="shared" si="10"/>
        <v>100</v>
      </c>
      <c r="AU21" s="41">
        <f t="shared" si="11"/>
        <v>100</v>
      </c>
      <c r="AV21" s="41">
        <f t="shared" si="12"/>
        <v>100</v>
      </c>
      <c r="AX21" s="6"/>
    </row>
    <row r="22" spans="1:50" ht="18" customHeight="1">
      <c r="A22" s="179">
        <f>INPUT!A21</f>
        <v>10</v>
      </c>
      <c r="B22" s="179" t="str">
        <f>INPUT!B21</f>
        <v>2022-00005</v>
      </c>
      <c r="C22" s="179" t="str">
        <f>INPUT!C21</f>
        <v>Fernandez, Jhon Kenneth</v>
      </c>
      <c r="D22" s="87">
        <v>1</v>
      </c>
      <c r="E22" s="87">
        <v>1</v>
      </c>
      <c r="F22" s="87">
        <v>1</v>
      </c>
      <c r="G22" s="87">
        <v>1</v>
      </c>
      <c r="H22" s="87">
        <v>1</v>
      </c>
      <c r="I22" s="89">
        <f t="shared" si="0"/>
        <v>5</v>
      </c>
      <c r="J22" s="57">
        <f t="shared" si="1"/>
        <v>100</v>
      </c>
      <c r="K22" s="90">
        <f t="shared" si="2"/>
        <v>20</v>
      </c>
      <c r="L22" s="87">
        <v>1</v>
      </c>
      <c r="M22" s="87">
        <v>1</v>
      </c>
      <c r="N22" s="87">
        <v>1</v>
      </c>
      <c r="O22" s="89">
        <f t="shared" si="3"/>
        <v>3</v>
      </c>
      <c r="P22" s="57">
        <f t="shared" si="4"/>
        <v>100</v>
      </c>
      <c r="Q22" s="90">
        <f t="shared" si="5"/>
        <v>80</v>
      </c>
      <c r="R22" s="87">
        <v>1</v>
      </c>
      <c r="S22" s="87">
        <v>1</v>
      </c>
      <c r="T22" s="87">
        <v>1</v>
      </c>
      <c r="U22" s="89">
        <f t="shared" si="6"/>
        <v>3</v>
      </c>
      <c r="V22" s="57">
        <f t="shared" si="7"/>
        <v>100</v>
      </c>
      <c r="W22" s="90">
        <f t="shared" si="8"/>
        <v>20</v>
      </c>
      <c r="X22" s="91">
        <f t="shared" si="13"/>
        <v>120</v>
      </c>
      <c r="Y22" s="92">
        <f t="shared" si="14"/>
        <v>100</v>
      </c>
      <c r="Z22" s="93" t="str">
        <f t="shared" si="9"/>
        <v>Advancing</v>
      </c>
      <c r="AB22" s="100" t="s">
        <v>159</v>
      </c>
      <c r="AC22" s="102">
        <f>IFERROR(1-AC20,"")</f>
        <v>0</v>
      </c>
      <c r="AD22" s="102">
        <f>IFERROR(1-AD20,"")</f>
        <v>0</v>
      </c>
      <c r="AE22" s="102">
        <f>IFERROR(1-AE20,"")</f>
        <v>0</v>
      </c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41"/>
      <c r="AT22" s="41">
        <f t="shared" si="10"/>
        <v>100</v>
      </c>
      <c r="AU22" s="41">
        <f t="shared" si="11"/>
        <v>100</v>
      </c>
      <c r="AV22" s="41">
        <f t="shared" si="12"/>
        <v>100</v>
      </c>
      <c r="AX22" s="6"/>
    </row>
    <row r="23" spans="1:50" ht="18" customHeight="1">
      <c r="A23" s="179">
        <f>INPUT!A22</f>
        <v>11</v>
      </c>
      <c r="B23" s="179" t="str">
        <f>INPUT!B22</f>
        <v>2022-00006</v>
      </c>
      <c r="C23" s="179" t="str">
        <f>INPUT!C22</f>
        <v>Figueroa, John Rech</v>
      </c>
      <c r="D23" s="87">
        <v>1</v>
      </c>
      <c r="E23" s="87">
        <v>1</v>
      </c>
      <c r="F23" s="87">
        <v>1</v>
      </c>
      <c r="G23" s="87">
        <v>1</v>
      </c>
      <c r="H23" s="87">
        <v>1</v>
      </c>
      <c r="I23" s="89">
        <f t="shared" si="0"/>
        <v>5</v>
      </c>
      <c r="J23" s="57">
        <f t="shared" si="1"/>
        <v>100</v>
      </c>
      <c r="K23" s="90">
        <f t="shared" si="2"/>
        <v>20</v>
      </c>
      <c r="L23" s="87">
        <v>1</v>
      </c>
      <c r="M23" s="87">
        <v>1</v>
      </c>
      <c r="N23" s="87">
        <v>1</v>
      </c>
      <c r="O23" s="89">
        <f t="shared" si="3"/>
        <v>3</v>
      </c>
      <c r="P23" s="57">
        <f t="shared" si="4"/>
        <v>100</v>
      </c>
      <c r="Q23" s="90">
        <f t="shared" si="5"/>
        <v>80</v>
      </c>
      <c r="R23" s="87">
        <v>1</v>
      </c>
      <c r="S23" s="87">
        <v>1</v>
      </c>
      <c r="T23" s="87">
        <v>1</v>
      </c>
      <c r="U23" s="89">
        <f t="shared" si="6"/>
        <v>3</v>
      </c>
      <c r="V23" s="57">
        <f t="shared" si="7"/>
        <v>100</v>
      </c>
      <c r="W23" s="90">
        <f t="shared" si="8"/>
        <v>20</v>
      </c>
      <c r="X23" s="91">
        <f t="shared" si="13"/>
        <v>120</v>
      </c>
      <c r="Y23" s="92">
        <f t="shared" si="14"/>
        <v>100</v>
      </c>
      <c r="Z23" s="93" t="str">
        <f t="shared" si="9"/>
        <v>Advancing</v>
      </c>
      <c r="AB23" s="98"/>
      <c r="AC23" s="98"/>
      <c r="AD23" s="98"/>
      <c r="AE23" s="98"/>
      <c r="AR23" s="48"/>
      <c r="AT23" s="41">
        <f t="shared" si="10"/>
        <v>100</v>
      </c>
      <c r="AU23" s="41">
        <f t="shared" si="11"/>
        <v>100</v>
      </c>
      <c r="AV23" s="41">
        <f t="shared" si="12"/>
        <v>100</v>
      </c>
      <c r="AX23" s="6"/>
    </row>
    <row r="24" spans="1:50" ht="18" customHeight="1">
      <c r="A24" s="179">
        <f>INPUT!A23</f>
        <v>12</v>
      </c>
      <c r="B24" s="179" t="str">
        <f>INPUT!B23</f>
        <v>2022-00007</v>
      </c>
      <c r="C24" s="179" t="str">
        <f>INPUT!C23</f>
        <v>Intes, TJ Philip</v>
      </c>
      <c r="D24" s="87">
        <v>1</v>
      </c>
      <c r="E24" s="87">
        <v>1</v>
      </c>
      <c r="F24" s="87">
        <v>1</v>
      </c>
      <c r="G24" s="87">
        <v>1</v>
      </c>
      <c r="H24" s="87">
        <v>1</v>
      </c>
      <c r="I24" s="89">
        <f t="shared" si="0"/>
        <v>5</v>
      </c>
      <c r="J24" s="57">
        <f t="shared" si="1"/>
        <v>100</v>
      </c>
      <c r="K24" s="90">
        <f t="shared" si="2"/>
        <v>20</v>
      </c>
      <c r="L24" s="87">
        <v>1</v>
      </c>
      <c r="M24" s="87">
        <v>1</v>
      </c>
      <c r="N24" s="87">
        <v>1</v>
      </c>
      <c r="O24" s="89">
        <f t="shared" si="3"/>
        <v>3</v>
      </c>
      <c r="P24" s="57">
        <f t="shared" si="4"/>
        <v>100</v>
      </c>
      <c r="Q24" s="90">
        <f t="shared" si="5"/>
        <v>80</v>
      </c>
      <c r="R24" s="87">
        <v>1</v>
      </c>
      <c r="S24" s="87">
        <v>1</v>
      </c>
      <c r="T24" s="87">
        <v>1</v>
      </c>
      <c r="U24" s="89">
        <f t="shared" si="6"/>
        <v>3</v>
      </c>
      <c r="V24" s="57">
        <f t="shared" si="7"/>
        <v>100</v>
      </c>
      <c r="W24" s="90">
        <f t="shared" si="8"/>
        <v>20</v>
      </c>
      <c r="X24" s="91">
        <f t="shared" si="13"/>
        <v>120</v>
      </c>
      <c r="Y24" s="92">
        <f t="shared" si="14"/>
        <v>100</v>
      </c>
      <c r="Z24" s="93" t="str">
        <f t="shared" si="9"/>
        <v>Advancing</v>
      </c>
      <c r="AB24" s="99" t="s">
        <v>161</v>
      </c>
      <c r="AC24" s="94" t="s">
        <v>135</v>
      </c>
      <c r="AD24" s="94" t="s">
        <v>136</v>
      </c>
      <c r="AE24" s="94" t="s">
        <v>137</v>
      </c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42"/>
      <c r="AT24" s="41">
        <f t="shared" si="10"/>
        <v>100</v>
      </c>
      <c r="AU24" s="41">
        <f t="shared" si="11"/>
        <v>100</v>
      </c>
      <c r="AV24" s="41">
        <f t="shared" si="12"/>
        <v>100</v>
      </c>
      <c r="AX24" s="6"/>
    </row>
    <row r="25" spans="1:50" ht="18" customHeight="1">
      <c r="A25" s="179">
        <f>INPUT!A24</f>
        <v>13</v>
      </c>
      <c r="B25" s="179" t="str">
        <f>INPUT!B24</f>
        <v>2022-00008</v>
      </c>
      <c r="C25" s="179" t="str">
        <f>INPUT!C24</f>
        <v>Jarabe, Andrei Anthony</v>
      </c>
      <c r="D25" s="87">
        <v>1</v>
      </c>
      <c r="E25" s="87">
        <v>1</v>
      </c>
      <c r="F25" s="87">
        <v>1</v>
      </c>
      <c r="G25" s="87">
        <v>1</v>
      </c>
      <c r="H25" s="87">
        <v>1</v>
      </c>
      <c r="I25" s="89">
        <f t="shared" si="0"/>
        <v>5</v>
      </c>
      <c r="J25" s="57">
        <f t="shared" si="1"/>
        <v>100</v>
      </c>
      <c r="K25" s="90">
        <f t="shared" si="2"/>
        <v>20</v>
      </c>
      <c r="L25" s="87">
        <v>1</v>
      </c>
      <c r="M25" s="87">
        <v>1</v>
      </c>
      <c r="N25" s="87">
        <v>1</v>
      </c>
      <c r="O25" s="89">
        <f t="shared" si="3"/>
        <v>3</v>
      </c>
      <c r="P25" s="57">
        <f t="shared" si="4"/>
        <v>100</v>
      </c>
      <c r="Q25" s="90">
        <f t="shared" si="5"/>
        <v>80</v>
      </c>
      <c r="R25" s="87">
        <v>1</v>
      </c>
      <c r="S25" s="87">
        <v>1</v>
      </c>
      <c r="T25" s="87">
        <v>1</v>
      </c>
      <c r="U25" s="89">
        <f t="shared" si="6"/>
        <v>3</v>
      </c>
      <c r="V25" s="57">
        <f t="shared" si="7"/>
        <v>100</v>
      </c>
      <c r="W25" s="90">
        <f t="shared" si="8"/>
        <v>20</v>
      </c>
      <c r="X25" s="91">
        <f t="shared" si="13"/>
        <v>120</v>
      </c>
      <c r="Y25" s="92">
        <f t="shared" si="14"/>
        <v>100</v>
      </c>
      <c r="Z25" s="93" t="str">
        <f t="shared" si="9"/>
        <v>Advancing</v>
      </c>
      <c r="AB25" s="100" t="s">
        <v>162</v>
      </c>
      <c r="AC25" s="104">
        <f>IFERROR(AVERAGE(R13:R115),"")</f>
        <v>1</v>
      </c>
      <c r="AD25" s="104">
        <f>IFERROR(AVERAGE(S13:S115),"")</f>
        <v>1</v>
      </c>
      <c r="AE25" s="104">
        <f>IFERROR(AVERAGE(T13:T115),"")</f>
        <v>1</v>
      </c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42"/>
      <c r="AT25" s="41">
        <f t="shared" si="10"/>
        <v>100</v>
      </c>
      <c r="AU25" s="41">
        <f t="shared" si="11"/>
        <v>100</v>
      </c>
      <c r="AV25" s="41">
        <f t="shared" si="12"/>
        <v>100</v>
      </c>
      <c r="AX25" s="6"/>
    </row>
    <row r="26" spans="1:50" ht="18" customHeight="1">
      <c r="A26" s="179">
        <f>INPUT!A25</f>
        <v>14</v>
      </c>
      <c r="B26" s="179" t="str">
        <f>INPUT!B25</f>
        <v>2022-00012</v>
      </c>
      <c r="C26" s="179" t="str">
        <f>INPUT!C25</f>
        <v>Mumar, Terence Hunter</v>
      </c>
      <c r="D26" s="87">
        <v>1</v>
      </c>
      <c r="E26" s="87">
        <v>1</v>
      </c>
      <c r="F26" s="87">
        <v>1</v>
      </c>
      <c r="G26" s="87">
        <v>1</v>
      </c>
      <c r="H26" s="87">
        <v>1</v>
      </c>
      <c r="I26" s="89">
        <f t="shared" si="0"/>
        <v>5</v>
      </c>
      <c r="J26" s="57">
        <f t="shared" si="1"/>
        <v>100</v>
      </c>
      <c r="K26" s="90">
        <f t="shared" si="2"/>
        <v>20</v>
      </c>
      <c r="L26" s="87">
        <v>1</v>
      </c>
      <c r="M26" s="87">
        <v>1</v>
      </c>
      <c r="N26" s="87">
        <v>1</v>
      </c>
      <c r="O26" s="89">
        <f t="shared" si="3"/>
        <v>3</v>
      </c>
      <c r="P26" s="57">
        <f t="shared" si="4"/>
        <v>100</v>
      </c>
      <c r="Q26" s="90">
        <f t="shared" si="5"/>
        <v>80</v>
      </c>
      <c r="R26" s="87">
        <v>1</v>
      </c>
      <c r="S26" s="87">
        <v>1</v>
      </c>
      <c r="T26" s="87">
        <v>1</v>
      </c>
      <c r="U26" s="89">
        <f t="shared" si="6"/>
        <v>3</v>
      </c>
      <c r="V26" s="57">
        <f t="shared" si="7"/>
        <v>100</v>
      </c>
      <c r="W26" s="90">
        <f t="shared" si="8"/>
        <v>20</v>
      </c>
      <c r="X26" s="91">
        <f t="shared" si="13"/>
        <v>120</v>
      </c>
      <c r="Y26" s="92">
        <f t="shared" si="14"/>
        <v>100</v>
      </c>
      <c r="Z26" s="93" t="str">
        <f t="shared" si="9"/>
        <v>Advancing</v>
      </c>
      <c r="AB26" s="100" t="s">
        <v>163</v>
      </c>
      <c r="AC26" s="104">
        <f>IFERROR(MEDIAN(R13:R115),"")</f>
        <v>1</v>
      </c>
      <c r="AD26" s="104">
        <f>IFERROR(MEDIAN(S13:S115),"")</f>
        <v>1</v>
      </c>
      <c r="AE26" s="104">
        <f>IFERROR(MEDIAN(T13:T115),"")</f>
        <v>1</v>
      </c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42"/>
      <c r="AT26" s="41">
        <f t="shared" si="10"/>
        <v>100</v>
      </c>
      <c r="AU26" s="41">
        <f t="shared" si="11"/>
        <v>100</v>
      </c>
      <c r="AV26" s="41">
        <f t="shared" si="12"/>
        <v>100</v>
      </c>
      <c r="AX26" s="6"/>
    </row>
    <row r="27" spans="1:50" ht="18" customHeight="1">
      <c r="A27" s="179">
        <f>INPUT!A26</f>
        <v>15</v>
      </c>
      <c r="B27" s="179" t="str">
        <f>INPUT!B26</f>
        <v>2022-00013</v>
      </c>
      <c r="C27" s="179" t="str">
        <f>INPUT!C26</f>
        <v>Narita, JD Ariel</v>
      </c>
      <c r="D27" s="87">
        <v>1</v>
      </c>
      <c r="E27" s="87">
        <v>1</v>
      </c>
      <c r="F27" s="87">
        <v>1</v>
      </c>
      <c r="G27" s="87">
        <v>1</v>
      </c>
      <c r="H27" s="87">
        <v>1</v>
      </c>
      <c r="I27" s="89">
        <f t="shared" si="0"/>
        <v>5</v>
      </c>
      <c r="J27" s="57">
        <f t="shared" si="1"/>
        <v>100</v>
      </c>
      <c r="K27" s="90">
        <f t="shared" si="2"/>
        <v>20</v>
      </c>
      <c r="L27" s="87">
        <v>1</v>
      </c>
      <c r="M27" s="87">
        <v>1</v>
      </c>
      <c r="N27" s="87">
        <v>1</v>
      </c>
      <c r="O27" s="89">
        <f t="shared" si="3"/>
        <v>3</v>
      </c>
      <c r="P27" s="57">
        <f t="shared" si="4"/>
        <v>100</v>
      </c>
      <c r="Q27" s="90">
        <f t="shared" si="5"/>
        <v>80</v>
      </c>
      <c r="R27" s="87">
        <v>1</v>
      </c>
      <c r="S27" s="87">
        <v>1</v>
      </c>
      <c r="T27" s="87">
        <v>1</v>
      </c>
      <c r="U27" s="89">
        <f t="shared" si="6"/>
        <v>3</v>
      </c>
      <c r="V27" s="57">
        <f t="shared" si="7"/>
        <v>100</v>
      </c>
      <c r="W27" s="90">
        <f t="shared" si="8"/>
        <v>20</v>
      </c>
      <c r="X27" s="91">
        <f t="shared" si="13"/>
        <v>120</v>
      </c>
      <c r="Y27" s="92">
        <f t="shared" si="14"/>
        <v>100</v>
      </c>
      <c r="Z27" s="93" t="str">
        <f t="shared" si="9"/>
        <v>Advancing</v>
      </c>
      <c r="AB27" s="100" t="s">
        <v>164</v>
      </c>
      <c r="AC27" s="104">
        <f>IFERROR(_xlfn.STDEV.S(R13:R115),"")</f>
        <v>0</v>
      </c>
      <c r="AD27" s="104">
        <f>_xlfn.STDEV.S(S13:S115)</f>
        <v>0</v>
      </c>
      <c r="AE27" s="104">
        <f>_xlfn.STDEV.S(T13:T115)</f>
        <v>0</v>
      </c>
      <c r="AR27" s="48"/>
      <c r="AT27" s="41">
        <f t="shared" si="10"/>
        <v>100</v>
      </c>
      <c r="AU27" s="41">
        <f t="shared" si="11"/>
        <v>100</v>
      </c>
      <c r="AV27" s="41">
        <f t="shared" si="12"/>
        <v>100</v>
      </c>
      <c r="AX27" s="6"/>
    </row>
    <row r="28" spans="1:50" ht="18" customHeight="1">
      <c r="A28" s="179">
        <f>INPUT!A27</f>
        <v>16</v>
      </c>
      <c r="B28" s="179" t="str">
        <f>INPUT!B27</f>
        <v>2022-00014</v>
      </c>
      <c r="C28" s="179" t="str">
        <f>INPUT!C27</f>
        <v>Ofngol, Prince Ryder</v>
      </c>
      <c r="D28" s="87">
        <v>1</v>
      </c>
      <c r="E28" s="87">
        <v>1</v>
      </c>
      <c r="F28" s="87">
        <v>1</v>
      </c>
      <c r="G28" s="87">
        <v>1</v>
      </c>
      <c r="H28" s="87">
        <v>1</v>
      </c>
      <c r="I28" s="89">
        <f t="shared" si="0"/>
        <v>5</v>
      </c>
      <c r="J28" s="57">
        <f t="shared" si="1"/>
        <v>100</v>
      </c>
      <c r="K28" s="90">
        <f t="shared" si="2"/>
        <v>20</v>
      </c>
      <c r="L28" s="87">
        <v>1</v>
      </c>
      <c r="M28" s="87">
        <v>1</v>
      </c>
      <c r="N28" s="87">
        <v>1</v>
      </c>
      <c r="O28" s="89">
        <f t="shared" si="3"/>
        <v>3</v>
      </c>
      <c r="P28" s="57">
        <f t="shared" si="4"/>
        <v>100</v>
      </c>
      <c r="Q28" s="90">
        <f t="shared" si="5"/>
        <v>80</v>
      </c>
      <c r="R28" s="87">
        <v>1</v>
      </c>
      <c r="S28" s="87">
        <v>1</v>
      </c>
      <c r="T28" s="87">
        <v>1</v>
      </c>
      <c r="U28" s="89">
        <f t="shared" si="6"/>
        <v>3</v>
      </c>
      <c r="V28" s="57">
        <f t="shared" si="7"/>
        <v>100</v>
      </c>
      <c r="W28" s="90">
        <f t="shared" si="8"/>
        <v>20</v>
      </c>
      <c r="X28" s="91">
        <f t="shared" si="13"/>
        <v>120</v>
      </c>
      <c r="Y28" s="92">
        <f t="shared" si="14"/>
        <v>100</v>
      </c>
      <c r="Z28" s="93" t="str">
        <f t="shared" si="9"/>
        <v>Advancing</v>
      </c>
      <c r="AB28" s="100" t="s">
        <v>165</v>
      </c>
      <c r="AC28" s="102">
        <f>IFERROR(AC25/AC16,"")</f>
        <v>1</v>
      </c>
      <c r="AD28" s="102">
        <f>IFERROR(AD25/AD16,"")</f>
        <v>1</v>
      </c>
      <c r="AE28" s="102">
        <f>IFERROR(AE25/AE16,"")</f>
        <v>1</v>
      </c>
      <c r="AR28" s="48"/>
      <c r="AT28" s="41">
        <f t="shared" si="10"/>
        <v>100</v>
      </c>
      <c r="AU28" s="41">
        <f t="shared" si="11"/>
        <v>100</v>
      </c>
      <c r="AV28" s="41">
        <f t="shared" si="12"/>
        <v>100</v>
      </c>
      <c r="AX28" s="6"/>
    </row>
    <row r="29" spans="1:50" ht="18" customHeight="1">
      <c r="A29" s="179">
        <f>INPUT!A28</f>
        <v>17</v>
      </c>
      <c r="B29" s="179" t="str">
        <f>INPUT!B28</f>
        <v>2022-00015</v>
      </c>
      <c r="C29" s="179" t="str">
        <f>INPUT!C28</f>
        <v>Pañega, Roland Josh</v>
      </c>
      <c r="D29" s="87">
        <v>1</v>
      </c>
      <c r="E29" s="87">
        <v>1</v>
      </c>
      <c r="F29" s="87">
        <v>1</v>
      </c>
      <c r="G29" s="87">
        <v>1</v>
      </c>
      <c r="H29" s="87">
        <v>1</v>
      </c>
      <c r="I29" s="89">
        <f t="shared" si="0"/>
        <v>5</v>
      </c>
      <c r="J29" s="57">
        <f t="shared" si="1"/>
        <v>100</v>
      </c>
      <c r="K29" s="90">
        <f t="shared" si="2"/>
        <v>20</v>
      </c>
      <c r="L29" s="87">
        <v>1</v>
      </c>
      <c r="M29" s="87">
        <v>1</v>
      </c>
      <c r="N29" s="87">
        <v>1</v>
      </c>
      <c r="O29" s="89">
        <f t="shared" si="3"/>
        <v>3</v>
      </c>
      <c r="P29" s="57">
        <f t="shared" si="4"/>
        <v>100</v>
      </c>
      <c r="Q29" s="90">
        <f t="shared" si="5"/>
        <v>80</v>
      </c>
      <c r="R29" s="87">
        <v>1</v>
      </c>
      <c r="S29" s="87">
        <v>1</v>
      </c>
      <c r="T29" s="87">
        <v>1</v>
      </c>
      <c r="U29" s="89">
        <f t="shared" si="6"/>
        <v>3</v>
      </c>
      <c r="V29" s="57">
        <f t="shared" si="7"/>
        <v>100</v>
      </c>
      <c r="W29" s="90">
        <f t="shared" si="8"/>
        <v>20</v>
      </c>
      <c r="X29" s="91">
        <f t="shared" si="13"/>
        <v>120</v>
      </c>
      <c r="Y29" s="92">
        <f t="shared" si="14"/>
        <v>100</v>
      </c>
      <c r="Z29" s="93" t="str">
        <f t="shared" si="9"/>
        <v>Advancing</v>
      </c>
      <c r="AB29" s="6"/>
      <c r="AC29" s="6"/>
      <c r="AD29" s="6"/>
      <c r="AE29" s="6"/>
      <c r="AR29" s="48"/>
      <c r="AT29" s="41">
        <f t="shared" si="10"/>
        <v>100</v>
      </c>
      <c r="AU29" s="41">
        <f t="shared" si="11"/>
        <v>100</v>
      </c>
      <c r="AV29" s="41">
        <f t="shared" si="12"/>
        <v>100</v>
      </c>
      <c r="AX29" s="6"/>
    </row>
    <row r="30" spans="1:50" ht="18" customHeight="1">
      <c r="A30" s="179">
        <f>INPUT!A29</f>
        <v>18</v>
      </c>
      <c r="B30" s="179" t="str">
        <f>INPUT!B29</f>
        <v>2022-00018</v>
      </c>
      <c r="C30" s="179" t="str">
        <f>INPUT!C29</f>
        <v>Sayson, Aianne Anthony</v>
      </c>
      <c r="D30" s="87">
        <v>1</v>
      </c>
      <c r="E30" s="87">
        <v>1</v>
      </c>
      <c r="F30" s="87">
        <v>1</v>
      </c>
      <c r="G30" s="87">
        <v>1</v>
      </c>
      <c r="H30" s="87">
        <v>1</v>
      </c>
      <c r="I30" s="89">
        <f t="shared" si="0"/>
        <v>5</v>
      </c>
      <c r="J30" s="57">
        <f t="shared" si="1"/>
        <v>100</v>
      </c>
      <c r="K30" s="90">
        <f t="shared" si="2"/>
        <v>20</v>
      </c>
      <c r="L30" s="87">
        <v>1</v>
      </c>
      <c r="M30" s="87">
        <v>1</v>
      </c>
      <c r="N30" s="87">
        <v>1</v>
      </c>
      <c r="O30" s="89">
        <f t="shared" si="3"/>
        <v>3</v>
      </c>
      <c r="P30" s="57">
        <f t="shared" si="4"/>
        <v>100</v>
      </c>
      <c r="Q30" s="90">
        <f t="shared" si="5"/>
        <v>80</v>
      </c>
      <c r="R30" s="87">
        <v>1</v>
      </c>
      <c r="S30" s="87">
        <v>1</v>
      </c>
      <c r="T30" s="87">
        <v>1</v>
      </c>
      <c r="U30" s="89">
        <f t="shared" si="6"/>
        <v>3</v>
      </c>
      <c r="V30" s="57">
        <f t="shared" si="7"/>
        <v>100</v>
      </c>
      <c r="W30" s="90">
        <f t="shared" si="8"/>
        <v>20</v>
      </c>
      <c r="X30" s="91">
        <f t="shared" si="13"/>
        <v>120</v>
      </c>
      <c r="Y30" s="92">
        <f t="shared" si="14"/>
        <v>100</v>
      </c>
      <c r="Z30" s="93" t="str">
        <f t="shared" si="9"/>
        <v>Advancing</v>
      </c>
      <c r="AB30" s="99" t="s">
        <v>166</v>
      </c>
      <c r="AC30" s="94" t="s">
        <v>135</v>
      </c>
      <c r="AD30" s="94" t="s">
        <v>136</v>
      </c>
      <c r="AE30" s="94" t="s">
        <v>137</v>
      </c>
      <c r="AR30" s="48"/>
      <c r="AT30" s="41">
        <f t="shared" si="10"/>
        <v>100</v>
      </c>
      <c r="AU30" s="41">
        <f t="shared" si="11"/>
        <v>100</v>
      </c>
      <c r="AV30" s="41">
        <f t="shared" si="12"/>
        <v>100</v>
      </c>
      <c r="AX30" s="6"/>
    </row>
    <row r="31" spans="1:50" ht="18" customHeight="1">
      <c r="A31" s="179">
        <f>INPUT!A30</f>
        <v>19</v>
      </c>
      <c r="B31" s="179" t="str">
        <f>INPUT!B30</f>
        <v>2022-00019</v>
      </c>
      <c r="C31" s="179" t="str">
        <f>INPUT!C30</f>
        <v>Vestidas, Rique Mart</v>
      </c>
      <c r="D31" s="87">
        <v>1</v>
      </c>
      <c r="E31" s="87">
        <v>1</v>
      </c>
      <c r="F31" s="87">
        <v>1</v>
      </c>
      <c r="G31" s="87">
        <v>1</v>
      </c>
      <c r="H31" s="87">
        <v>1</v>
      </c>
      <c r="I31" s="89">
        <f t="shared" si="0"/>
        <v>5</v>
      </c>
      <c r="J31" s="57">
        <f t="shared" si="1"/>
        <v>100</v>
      </c>
      <c r="K31" s="90">
        <f t="shared" si="2"/>
        <v>20</v>
      </c>
      <c r="L31" s="87">
        <v>1</v>
      </c>
      <c r="M31" s="87">
        <v>1</v>
      </c>
      <c r="N31" s="87">
        <v>1</v>
      </c>
      <c r="O31" s="89">
        <f t="shared" si="3"/>
        <v>3</v>
      </c>
      <c r="P31" s="57">
        <f t="shared" si="4"/>
        <v>100</v>
      </c>
      <c r="Q31" s="90">
        <f t="shared" si="5"/>
        <v>80</v>
      </c>
      <c r="R31" s="87">
        <v>1</v>
      </c>
      <c r="S31" s="87">
        <v>1</v>
      </c>
      <c r="T31" s="87">
        <v>1</v>
      </c>
      <c r="U31" s="89">
        <f t="shared" si="6"/>
        <v>3</v>
      </c>
      <c r="V31" s="57">
        <f t="shared" si="7"/>
        <v>100</v>
      </c>
      <c r="W31" s="90">
        <f t="shared" si="8"/>
        <v>20</v>
      </c>
      <c r="X31" s="91">
        <f t="shared" si="13"/>
        <v>120</v>
      </c>
      <c r="Y31" s="92">
        <f t="shared" si="14"/>
        <v>100</v>
      </c>
      <c r="Z31" s="93" t="str">
        <f t="shared" si="9"/>
        <v>Advancing</v>
      </c>
      <c r="AB31" s="100" t="s">
        <v>167</v>
      </c>
      <c r="AC31" s="105">
        <f>IF(COUNTA(R13:R115)=0,"",MAX(R13:R115))</f>
        <v>1</v>
      </c>
      <c r="AD31" s="105">
        <f>IF(COUNTA(S13:S115)=0,"",MAX(S13:S115))</f>
        <v>1</v>
      </c>
      <c r="AE31" s="105">
        <f>IF(COUNTA(T13:T115)=0,"",MAX(T13:T115))</f>
        <v>1</v>
      </c>
      <c r="AR31" s="48"/>
      <c r="AT31" s="41">
        <f t="shared" si="10"/>
        <v>100</v>
      </c>
      <c r="AU31" s="41">
        <f t="shared" si="11"/>
        <v>100</v>
      </c>
      <c r="AV31" s="41">
        <f t="shared" si="12"/>
        <v>100</v>
      </c>
      <c r="AX31" s="6"/>
    </row>
    <row r="32" spans="1:50" ht="18" customHeight="1">
      <c r="A32" s="179">
        <f>INPUT!A31</f>
        <v>20</v>
      </c>
      <c r="B32" s="179" t="str">
        <f>INPUT!B31</f>
        <v>2023-00512</v>
      </c>
      <c r="C32" s="179" t="str">
        <f>INPUT!C31</f>
        <v>WENCESLAO, EC WHISTLER</v>
      </c>
      <c r="D32" s="87">
        <v>1</v>
      </c>
      <c r="E32" s="87">
        <v>1</v>
      </c>
      <c r="F32" s="87">
        <v>1</v>
      </c>
      <c r="G32" s="87">
        <v>1</v>
      </c>
      <c r="H32" s="87">
        <v>1</v>
      </c>
      <c r="I32" s="89">
        <f t="shared" si="0"/>
        <v>5</v>
      </c>
      <c r="J32" s="57">
        <f t="shared" si="1"/>
        <v>100</v>
      </c>
      <c r="K32" s="90">
        <f t="shared" si="2"/>
        <v>20</v>
      </c>
      <c r="L32" s="87">
        <v>1</v>
      </c>
      <c r="M32" s="87">
        <v>1</v>
      </c>
      <c r="N32" s="87">
        <v>1</v>
      </c>
      <c r="O32" s="89">
        <f t="shared" si="3"/>
        <v>3</v>
      </c>
      <c r="P32" s="57">
        <f t="shared" si="4"/>
        <v>100</v>
      </c>
      <c r="Q32" s="90">
        <f t="shared" si="5"/>
        <v>80</v>
      </c>
      <c r="R32" s="87">
        <v>1</v>
      </c>
      <c r="S32" s="87">
        <v>1</v>
      </c>
      <c r="T32" s="87">
        <v>1</v>
      </c>
      <c r="U32" s="89">
        <f t="shared" si="6"/>
        <v>3</v>
      </c>
      <c r="V32" s="57">
        <f t="shared" si="7"/>
        <v>100</v>
      </c>
      <c r="W32" s="90">
        <f t="shared" si="8"/>
        <v>20</v>
      </c>
      <c r="X32" s="91">
        <f t="shared" si="13"/>
        <v>120</v>
      </c>
      <c r="Y32" s="92">
        <f t="shared" si="14"/>
        <v>100</v>
      </c>
      <c r="Z32" s="93" t="str">
        <f t="shared" si="9"/>
        <v>Advancing</v>
      </c>
      <c r="AB32" s="100" t="s">
        <v>168</v>
      </c>
      <c r="AC32" s="105">
        <f>IF(COUNTA(R13:R115)=0,"",MIN(R13:R115))</f>
        <v>1</v>
      </c>
      <c r="AD32" s="105">
        <f>IF(COUNTA(S13:S115)=0,"",MIN(S13:S115))</f>
        <v>1</v>
      </c>
      <c r="AE32" s="105">
        <f>IF(COUNTA(T13:T115)=0,"",MIN(T13:T115))</f>
        <v>1</v>
      </c>
      <c r="AR32" s="48"/>
      <c r="AT32" s="41">
        <f t="shared" si="10"/>
        <v>100</v>
      </c>
      <c r="AU32" s="41">
        <f t="shared" si="11"/>
        <v>100</v>
      </c>
      <c r="AV32" s="41">
        <f t="shared" si="12"/>
        <v>100</v>
      </c>
      <c r="AX32" s="6"/>
    </row>
    <row r="33" spans="1:50" ht="18" customHeight="1">
      <c r="A33" s="179">
        <f>INPUT!A32</f>
        <v>0</v>
      </c>
      <c r="B33" s="179">
        <f>INPUT!B32</f>
        <v>0</v>
      </c>
      <c r="C33" s="179">
        <f>INPUT!C32</f>
        <v>0</v>
      </c>
      <c r="D33" s="87"/>
      <c r="E33" s="88"/>
      <c r="F33" s="88"/>
      <c r="G33" s="88"/>
      <c r="H33" s="88"/>
      <c r="I33" s="89" t="str">
        <f t="shared" si="0"/>
        <v/>
      </c>
      <c r="J33" s="57" t="str">
        <f t="shared" si="1"/>
        <v/>
      </c>
      <c r="K33" s="90" t="str">
        <f t="shared" si="2"/>
        <v/>
      </c>
      <c r="L33" s="87"/>
      <c r="M33" s="88"/>
      <c r="N33" s="88"/>
      <c r="O33" s="89" t="str">
        <f t="shared" si="3"/>
        <v/>
      </c>
      <c r="P33" s="57" t="str">
        <f t="shared" si="4"/>
        <v/>
      </c>
      <c r="Q33" s="90" t="str">
        <f t="shared" si="5"/>
        <v/>
      </c>
      <c r="R33" s="87"/>
      <c r="S33" s="88"/>
      <c r="T33" s="88"/>
      <c r="U33" s="89" t="str">
        <f t="shared" si="6"/>
        <v/>
      </c>
      <c r="V33" s="57" t="str">
        <f t="shared" si="7"/>
        <v/>
      </c>
      <c r="W33" s="90" t="str">
        <f t="shared" si="8"/>
        <v/>
      </c>
      <c r="X33" s="91" t="str">
        <f t="shared" si="13"/>
        <v/>
      </c>
      <c r="Y33" s="92" t="str">
        <f t="shared" si="14"/>
        <v/>
      </c>
      <c r="Z33" s="93" t="str">
        <f t="shared" si="9"/>
        <v/>
      </c>
      <c r="AB33" s="100" t="s">
        <v>169</v>
      </c>
      <c r="AC33" s="105">
        <f>IF(COUNTA(R13:R115)=0,"",SUM(R13:R115))</f>
        <v>46</v>
      </c>
      <c r="AD33" s="105">
        <f>IF(COUNTA(S13:S115)=0,"",SUM(S13:S115))</f>
        <v>46</v>
      </c>
      <c r="AE33" s="105">
        <f>IF(COUNTA(T13:T115)=0,"",SUM(T13:T115))</f>
        <v>46</v>
      </c>
      <c r="AR33" s="48"/>
      <c r="AT33" s="41">
        <f t="shared" si="10"/>
        <v>0</v>
      </c>
      <c r="AU33" s="41">
        <f t="shared" si="11"/>
        <v>0</v>
      </c>
      <c r="AV33" s="41">
        <f t="shared" si="12"/>
        <v>0</v>
      </c>
      <c r="AX33" s="6"/>
    </row>
    <row r="34" spans="1:50" ht="18" customHeight="1">
      <c r="A34" s="179">
        <f>INPUT!A33</f>
        <v>0</v>
      </c>
      <c r="B34" s="179">
        <f>INPUT!B33</f>
        <v>0</v>
      </c>
      <c r="C34" s="179">
        <f>INPUT!C33</f>
        <v>0</v>
      </c>
      <c r="D34" s="87"/>
      <c r="E34" s="88"/>
      <c r="F34" s="88"/>
      <c r="G34" s="88"/>
      <c r="H34" s="88"/>
      <c r="I34" s="89" t="str">
        <f t="shared" si="0"/>
        <v/>
      </c>
      <c r="J34" s="57" t="str">
        <f t="shared" si="1"/>
        <v/>
      </c>
      <c r="K34" s="90" t="str">
        <f t="shared" si="2"/>
        <v/>
      </c>
      <c r="L34" s="87"/>
      <c r="M34" s="88"/>
      <c r="N34" s="88"/>
      <c r="O34" s="89" t="str">
        <f t="shared" si="3"/>
        <v/>
      </c>
      <c r="P34" s="57" t="str">
        <f t="shared" si="4"/>
        <v/>
      </c>
      <c r="Q34" s="90" t="str">
        <f t="shared" si="5"/>
        <v/>
      </c>
      <c r="R34" s="87"/>
      <c r="S34" s="88"/>
      <c r="T34" s="88"/>
      <c r="U34" s="89" t="str">
        <f t="shared" si="6"/>
        <v/>
      </c>
      <c r="V34" s="57" t="str">
        <f t="shared" si="7"/>
        <v/>
      </c>
      <c r="W34" s="90" t="str">
        <f t="shared" si="8"/>
        <v/>
      </c>
      <c r="X34" s="91" t="str">
        <f t="shared" si="13"/>
        <v/>
      </c>
      <c r="Y34" s="92" t="str">
        <f t="shared" si="14"/>
        <v/>
      </c>
      <c r="Z34" s="93" t="str">
        <f t="shared" si="9"/>
        <v/>
      </c>
      <c r="AB34" s="2"/>
      <c r="AC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6"/>
      <c r="AT34" s="41">
        <f t="shared" si="10"/>
        <v>0</v>
      </c>
      <c r="AU34" s="41">
        <f t="shared" si="11"/>
        <v>0</v>
      </c>
      <c r="AV34" s="41">
        <f t="shared" si="12"/>
        <v>0</v>
      </c>
      <c r="AX34" s="6"/>
    </row>
    <row r="35" spans="1:50" ht="18" customHeight="1">
      <c r="A35" s="179">
        <f>INPUT!A34</f>
        <v>0</v>
      </c>
      <c r="B35" s="179">
        <f>INPUT!B34</f>
        <v>0</v>
      </c>
      <c r="C35" s="179">
        <f>INPUT!C34</f>
        <v>0</v>
      </c>
      <c r="D35" s="87"/>
      <c r="E35" s="88"/>
      <c r="F35" s="88"/>
      <c r="G35" s="88"/>
      <c r="H35" s="88"/>
      <c r="I35" s="89" t="str">
        <f t="shared" si="0"/>
        <v/>
      </c>
      <c r="J35" s="57" t="str">
        <f t="shared" si="1"/>
        <v/>
      </c>
      <c r="K35" s="90" t="str">
        <f t="shared" si="2"/>
        <v/>
      </c>
      <c r="L35" s="87"/>
      <c r="M35" s="88"/>
      <c r="N35" s="88"/>
      <c r="O35" s="89" t="str">
        <f t="shared" si="3"/>
        <v/>
      </c>
      <c r="P35" s="57" t="str">
        <f t="shared" si="4"/>
        <v/>
      </c>
      <c r="Q35" s="90" t="str">
        <f t="shared" si="5"/>
        <v/>
      </c>
      <c r="R35" s="87"/>
      <c r="S35" s="88"/>
      <c r="T35" s="88"/>
      <c r="U35" s="89" t="str">
        <f t="shared" si="6"/>
        <v/>
      </c>
      <c r="V35" s="57" t="str">
        <f t="shared" si="7"/>
        <v/>
      </c>
      <c r="W35" s="90" t="str">
        <f t="shared" si="8"/>
        <v/>
      </c>
      <c r="X35" s="91" t="str">
        <f t="shared" si="13"/>
        <v/>
      </c>
      <c r="Y35" s="92" t="str">
        <f t="shared" si="14"/>
        <v/>
      </c>
      <c r="Z35" s="93" t="str">
        <f t="shared" si="9"/>
        <v/>
      </c>
      <c r="AB35" s="2"/>
      <c r="AC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6"/>
      <c r="AT35" s="41">
        <f t="shared" si="10"/>
        <v>0</v>
      </c>
      <c r="AU35" s="41">
        <f t="shared" si="11"/>
        <v>0</v>
      </c>
      <c r="AV35" s="41">
        <f t="shared" si="12"/>
        <v>0</v>
      </c>
      <c r="AX35" s="6"/>
    </row>
    <row r="36" spans="1:50" ht="18" customHeight="1">
      <c r="A36" s="179">
        <f>INPUT!A35</f>
        <v>0</v>
      </c>
      <c r="B36" s="179">
        <f>INPUT!B35</f>
        <v>0</v>
      </c>
      <c r="C36" s="179">
        <f>INPUT!C35</f>
        <v>0</v>
      </c>
      <c r="D36" s="87"/>
      <c r="E36" s="88"/>
      <c r="F36" s="88"/>
      <c r="G36" s="88"/>
      <c r="H36" s="88"/>
      <c r="I36" s="89" t="str">
        <f t="shared" si="0"/>
        <v/>
      </c>
      <c r="J36" s="57" t="str">
        <f t="shared" si="1"/>
        <v/>
      </c>
      <c r="K36" s="90" t="str">
        <f t="shared" si="2"/>
        <v/>
      </c>
      <c r="L36" s="87"/>
      <c r="M36" s="88"/>
      <c r="N36" s="88"/>
      <c r="O36" s="89" t="str">
        <f t="shared" si="3"/>
        <v/>
      </c>
      <c r="P36" s="57" t="str">
        <f t="shared" si="4"/>
        <v/>
      </c>
      <c r="Q36" s="90" t="str">
        <f t="shared" si="5"/>
        <v/>
      </c>
      <c r="R36" s="87"/>
      <c r="S36" s="88"/>
      <c r="T36" s="88"/>
      <c r="U36" s="89" t="str">
        <f t="shared" si="6"/>
        <v/>
      </c>
      <c r="V36" s="57" t="str">
        <f t="shared" si="7"/>
        <v/>
      </c>
      <c r="W36" s="90" t="str">
        <f t="shared" si="8"/>
        <v/>
      </c>
      <c r="X36" s="91" t="str">
        <f t="shared" si="13"/>
        <v/>
      </c>
      <c r="Y36" s="92" t="str">
        <f t="shared" si="14"/>
        <v/>
      </c>
      <c r="Z36" s="93" t="str">
        <f t="shared" si="9"/>
        <v/>
      </c>
      <c r="AB36" s="2"/>
      <c r="AC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6"/>
      <c r="AT36" s="41">
        <f t="shared" si="10"/>
        <v>0</v>
      </c>
      <c r="AU36" s="41">
        <f t="shared" si="11"/>
        <v>0</v>
      </c>
      <c r="AV36" s="41">
        <f t="shared" si="12"/>
        <v>0</v>
      </c>
      <c r="AX36" s="6"/>
    </row>
    <row r="37" spans="1:50" ht="18" customHeight="1">
      <c r="A37" s="179">
        <f>INPUT!A36</f>
        <v>0</v>
      </c>
      <c r="B37" s="179">
        <f>INPUT!B36</f>
        <v>0</v>
      </c>
      <c r="C37" s="179">
        <f>INPUT!C36</f>
        <v>0</v>
      </c>
      <c r="D37" s="87"/>
      <c r="E37" s="88"/>
      <c r="F37" s="88"/>
      <c r="G37" s="88"/>
      <c r="H37" s="88"/>
      <c r="I37" s="89" t="str">
        <f t="shared" si="0"/>
        <v/>
      </c>
      <c r="J37" s="57" t="str">
        <f t="shared" si="1"/>
        <v/>
      </c>
      <c r="K37" s="90" t="str">
        <f t="shared" si="2"/>
        <v/>
      </c>
      <c r="L37" s="87"/>
      <c r="M37" s="88"/>
      <c r="N37" s="88"/>
      <c r="O37" s="89" t="str">
        <f t="shared" si="3"/>
        <v/>
      </c>
      <c r="P37" s="57" t="str">
        <f t="shared" si="4"/>
        <v/>
      </c>
      <c r="Q37" s="90" t="str">
        <f t="shared" si="5"/>
        <v/>
      </c>
      <c r="R37" s="87"/>
      <c r="S37" s="88"/>
      <c r="T37" s="88"/>
      <c r="U37" s="89" t="str">
        <f t="shared" si="6"/>
        <v/>
      </c>
      <c r="V37" s="57" t="str">
        <f t="shared" si="7"/>
        <v/>
      </c>
      <c r="W37" s="90" t="str">
        <f t="shared" si="8"/>
        <v/>
      </c>
      <c r="X37" s="91" t="str">
        <f t="shared" si="13"/>
        <v/>
      </c>
      <c r="Y37" s="92" t="str">
        <f t="shared" si="14"/>
        <v/>
      </c>
      <c r="Z37" s="93" t="str">
        <f t="shared" si="9"/>
        <v/>
      </c>
      <c r="AB37" s="2"/>
      <c r="AC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6"/>
      <c r="AT37" s="41">
        <f t="shared" si="10"/>
        <v>0</v>
      </c>
      <c r="AU37" s="41">
        <f t="shared" si="11"/>
        <v>0</v>
      </c>
      <c r="AV37" s="41">
        <f t="shared" si="12"/>
        <v>0</v>
      </c>
      <c r="AX37" s="6"/>
    </row>
    <row r="38" spans="1:50" ht="18" customHeight="1">
      <c r="A38" s="179">
        <f>INPUT!A37</f>
        <v>0</v>
      </c>
      <c r="B38" s="179">
        <f>INPUT!B37</f>
        <v>0</v>
      </c>
      <c r="C38" s="179">
        <f>INPUT!C37</f>
        <v>0</v>
      </c>
      <c r="D38" s="87"/>
      <c r="E38" s="88"/>
      <c r="F38" s="88"/>
      <c r="G38" s="88"/>
      <c r="H38" s="88"/>
      <c r="I38" s="89" t="str">
        <f t="shared" si="0"/>
        <v/>
      </c>
      <c r="J38" s="57" t="str">
        <f t="shared" si="1"/>
        <v/>
      </c>
      <c r="K38" s="90" t="str">
        <f t="shared" si="2"/>
        <v/>
      </c>
      <c r="L38" s="87"/>
      <c r="M38" s="88"/>
      <c r="N38" s="88"/>
      <c r="O38" s="89" t="str">
        <f t="shared" si="3"/>
        <v/>
      </c>
      <c r="P38" s="57" t="str">
        <f t="shared" si="4"/>
        <v/>
      </c>
      <c r="Q38" s="90" t="str">
        <f t="shared" si="5"/>
        <v/>
      </c>
      <c r="R38" s="87"/>
      <c r="S38" s="88"/>
      <c r="T38" s="88"/>
      <c r="U38" s="89" t="str">
        <f t="shared" si="6"/>
        <v/>
      </c>
      <c r="V38" s="57" t="str">
        <f t="shared" si="7"/>
        <v/>
      </c>
      <c r="W38" s="90" t="str">
        <f t="shared" si="8"/>
        <v/>
      </c>
      <c r="X38" s="91" t="str">
        <f t="shared" si="13"/>
        <v/>
      </c>
      <c r="Y38" s="92" t="str">
        <f t="shared" si="14"/>
        <v/>
      </c>
      <c r="Z38" s="93" t="str">
        <f t="shared" si="9"/>
        <v/>
      </c>
      <c r="AB38" s="2"/>
      <c r="AC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6"/>
      <c r="AT38" s="41">
        <f t="shared" si="10"/>
        <v>0</v>
      </c>
      <c r="AU38" s="41">
        <f t="shared" si="11"/>
        <v>0</v>
      </c>
      <c r="AV38" s="41">
        <f t="shared" si="12"/>
        <v>0</v>
      </c>
      <c r="AX38" s="6"/>
    </row>
    <row r="39" spans="1:50" ht="18" customHeight="1">
      <c r="A39" s="179">
        <f>INPUT!A38</f>
        <v>0</v>
      </c>
      <c r="B39" s="179">
        <f>INPUT!B38</f>
        <v>0</v>
      </c>
      <c r="C39" s="179">
        <f>INPUT!C38</f>
        <v>0</v>
      </c>
      <c r="D39" s="87"/>
      <c r="E39" s="88"/>
      <c r="F39" s="88"/>
      <c r="G39" s="88"/>
      <c r="H39" s="88"/>
      <c r="I39" s="89" t="str">
        <f t="shared" si="0"/>
        <v/>
      </c>
      <c r="J39" s="57" t="str">
        <f t="shared" si="1"/>
        <v/>
      </c>
      <c r="K39" s="90" t="str">
        <f t="shared" si="2"/>
        <v/>
      </c>
      <c r="L39" s="87"/>
      <c r="M39" s="88"/>
      <c r="N39" s="88"/>
      <c r="O39" s="89" t="str">
        <f t="shared" si="3"/>
        <v/>
      </c>
      <c r="P39" s="57" t="str">
        <f t="shared" si="4"/>
        <v/>
      </c>
      <c r="Q39" s="90" t="str">
        <f t="shared" si="5"/>
        <v/>
      </c>
      <c r="R39" s="87"/>
      <c r="S39" s="88"/>
      <c r="T39" s="88"/>
      <c r="U39" s="89" t="str">
        <f t="shared" si="6"/>
        <v/>
      </c>
      <c r="V39" s="57" t="str">
        <f t="shared" si="7"/>
        <v/>
      </c>
      <c r="W39" s="90" t="str">
        <f t="shared" si="8"/>
        <v/>
      </c>
      <c r="X39" s="91" t="str">
        <f t="shared" si="13"/>
        <v/>
      </c>
      <c r="Y39" s="92" t="str">
        <f t="shared" si="14"/>
        <v/>
      </c>
      <c r="Z39" s="93" t="str">
        <f t="shared" si="9"/>
        <v/>
      </c>
      <c r="AB39" s="2"/>
      <c r="AC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6"/>
      <c r="AT39" s="41">
        <f t="shared" si="10"/>
        <v>0</v>
      </c>
      <c r="AU39" s="41">
        <f t="shared" si="11"/>
        <v>0</v>
      </c>
      <c r="AV39" s="41">
        <f t="shared" si="12"/>
        <v>0</v>
      </c>
      <c r="AX39" s="6"/>
    </row>
    <row r="40" spans="1:50" ht="18" customHeight="1">
      <c r="A40" s="179">
        <f>INPUT!A39</f>
        <v>0</v>
      </c>
      <c r="B40" s="179">
        <f>INPUT!B39</f>
        <v>0</v>
      </c>
      <c r="C40" s="179">
        <f>INPUT!C39</f>
        <v>0</v>
      </c>
      <c r="D40" s="87"/>
      <c r="E40" s="88"/>
      <c r="F40" s="88"/>
      <c r="G40" s="88"/>
      <c r="H40" s="88"/>
      <c r="I40" s="89" t="str">
        <f t="shared" si="0"/>
        <v/>
      </c>
      <c r="J40" s="57" t="str">
        <f t="shared" si="1"/>
        <v/>
      </c>
      <c r="K40" s="90" t="str">
        <f t="shared" si="2"/>
        <v/>
      </c>
      <c r="L40" s="87"/>
      <c r="M40" s="88"/>
      <c r="N40" s="88"/>
      <c r="O40" s="89" t="str">
        <f t="shared" si="3"/>
        <v/>
      </c>
      <c r="P40" s="57" t="str">
        <f t="shared" si="4"/>
        <v/>
      </c>
      <c r="Q40" s="90" t="str">
        <f t="shared" si="5"/>
        <v/>
      </c>
      <c r="R40" s="87"/>
      <c r="S40" s="88"/>
      <c r="T40" s="88"/>
      <c r="U40" s="89" t="str">
        <f t="shared" si="6"/>
        <v/>
      </c>
      <c r="V40" s="57" t="str">
        <f t="shared" si="7"/>
        <v/>
      </c>
      <c r="W40" s="90" t="str">
        <f t="shared" si="8"/>
        <v/>
      </c>
      <c r="X40" s="91" t="str">
        <f t="shared" si="13"/>
        <v/>
      </c>
      <c r="Y40" s="92" t="str">
        <f t="shared" si="14"/>
        <v/>
      </c>
      <c r="Z40" s="93" t="str">
        <f t="shared" si="9"/>
        <v/>
      </c>
      <c r="AB40" s="2"/>
      <c r="AC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6"/>
      <c r="AT40" s="41">
        <f t="shared" si="10"/>
        <v>0</v>
      </c>
      <c r="AU40" s="41">
        <f t="shared" si="11"/>
        <v>0</v>
      </c>
      <c r="AV40" s="41">
        <f t="shared" si="12"/>
        <v>0</v>
      </c>
      <c r="AX40" s="6"/>
    </row>
    <row r="41" spans="1:50" ht="18" customHeight="1">
      <c r="A41" s="179">
        <f>INPUT!A40</f>
        <v>0</v>
      </c>
      <c r="B41" s="179">
        <f>INPUT!B40</f>
        <v>0</v>
      </c>
      <c r="C41" s="179">
        <f>INPUT!C40</f>
        <v>0</v>
      </c>
      <c r="D41" s="87"/>
      <c r="E41" s="88"/>
      <c r="F41" s="88"/>
      <c r="G41" s="88"/>
      <c r="H41" s="88"/>
      <c r="I41" s="89" t="str">
        <f t="shared" si="0"/>
        <v/>
      </c>
      <c r="J41" s="57" t="str">
        <f t="shared" si="1"/>
        <v/>
      </c>
      <c r="K41" s="90" t="str">
        <f t="shared" si="2"/>
        <v/>
      </c>
      <c r="L41" s="87"/>
      <c r="M41" s="88"/>
      <c r="N41" s="88"/>
      <c r="O41" s="89" t="str">
        <f t="shared" si="3"/>
        <v/>
      </c>
      <c r="P41" s="57" t="str">
        <f t="shared" si="4"/>
        <v/>
      </c>
      <c r="Q41" s="90" t="str">
        <f t="shared" si="5"/>
        <v/>
      </c>
      <c r="R41" s="87"/>
      <c r="S41" s="88"/>
      <c r="T41" s="88"/>
      <c r="U41" s="89" t="str">
        <f t="shared" si="6"/>
        <v/>
      </c>
      <c r="V41" s="57" t="str">
        <f t="shared" si="7"/>
        <v/>
      </c>
      <c r="W41" s="90" t="str">
        <f t="shared" si="8"/>
        <v/>
      </c>
      <c r="X41" s="91" t="str">
        <f t="shared" si="13"/>
        <v/>
      </c>
      <c r="Y41" s="92" t="str">
        <f t="shared" si="14"/>
        <v/>
      </c>
      <c r="Z41" s="93" t="str">
        <f t="shared" si="9"/>
        <v/>
      </c>
      <c r="AB41" s="2"/>
      <c r="AC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6"/>
      <c r="AT41" s="41">
        <f t="shared" si="10"/>
        <v>0</v>
      </c>
      <c r="AU41" s="41">
        <f t="shared" si="11"/>
        <v>0</v>
      </c>
      <c r="AV41" s="41">
        <f t="shared" si="12"/>
        <v>0</v>
      </c>
      <c r="AX41" s="6"/>
    </row>
    <row r="42" spans="1:50" ht="18" customHeight="1">
      <c r="A42" s="179">
        <f>INPUT!A41</f>
        <v>0</v>
      </c>
      <c r="B42" s="179">
        <f>INPUT!B41</f>
        <v>0</v>
      </c>
      <c r="C42" s="179">
        <f>INPUT!C41</f>
        <v>0</v>
      </c>
      <c r="D42" s="87"/>
      <c r="E42" s="88"/>
      <c r="F42" s="88"/>
      <c r="G42" s="88"/>
      <c r="H42" s="88"/>
      <c r="I42" s="89" t="str">
        <f t="shared" si="0"/>
        <v/>
      </c>
      <c r="J42" s="57" t="str">
        <f t="shared" si="1"/>
        <v/>
      </c>
      <c r="K42" s="90" t="str">
        <f t="shared" si="2"/>
        <v/>
      </c>
      <c r="L42" s="87"/>
      <c r="M42" s="88"/>
      <c r="N42" s="88"/>
      <c r="O42" s="89" t="str">
        <f t="shared" si="3"/>
        <v/>
      </c>
      <c r="P42" s="57" t="str">
        <f t="shared" si="4"/>
        <v/>
      </c>
      <c r="Q42" s="90" t="str">
        <f t="shared" si="5"/>
        <v/>
      </c>
      <c r="R42" s="87"/>
      <c r="S42" s="88"/>
      <c r="T42" s="88"/>
      <c r="U42" s="89" t="str">
        <f t="shared" si="6"/>
        <v/>
      </c>
      <c r="V42" s="57" t="str">
        <f t="shared" si="7"/>
        <v/>
      </c>
      <c r="W42" s="90" t="str">
        <f t="shared" si="8"/>
        <v/>
      </c>
      <c r="X42" s="91" t="str">
        <f t="shared" si="13"/>
        <v/>
      </c>
      <c r="Y42" s="92" t="str">
        <f t="shared" si="14"/>
        <v/>
      </c>
      <c r="Z42" s="93" t="str">
        <f t="shared" si="9"/>
        <v/>
      </c>
      <c r="AB42" s="2"/>
      <c r="AC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6"/>
      <c r="AT42" s="41">
        <f t="shared" si="10"/>
        <v>0</v>
      </c>
      <c r="AU42" s="41">
        <f t="shared" si="11"/>
        <v>0</v>
      </c>
      <c r="AV42" s="41">
        <f t="shared" si="12"/>
        <v>0</v>
      </c>
      <c r="AX42" s="6"/>
    </row>
    <row r="43" spans="1:50" ht="18" customHeight="1">
      <c r="A43" s="179">
        <f>INPUT!A42</f>
        <v>0</v>
      </c>
      <c r="B43" s="179">
        <f>INPUT!B42</f>
        <v>0</v>
      </c>
      <c r="C43" s="179">
        <f>INPUT!C42</f>
        <v>0</v>
      </c>
      <c r="D43" s="87"/>
      <c r="E43" s="88"/>
      <c r="F43" s="88"/>
      <c r="G43" s="88"/>
      <c r="H43" s="88"/>
      <c r="I43" s="89" t="str">
        <f t="shared" si="0"/>
        <v/>
      </c>
      <c r="J43" s="57" t="str">
        <f t="shared" si="1"/>
        <v/>
      </c>
      <c r="K43" s="90" t="str">
        <f t="shared" si="2"/>
        <v/>
      </c>
      <c r="L43" s="87"/>
      <c r="M43" s="88"/>
      <c r="N43" s="88"/>
      <c r="O43" s="89" t="str">
        <f t="shared" si="3"/>
        <v/>
      </c>
      <c r="P43" s="57" t="str">
        <f t="shared" si="4"/>
        <v/>
      </c>
      <c r="Q43" s="90" t="str">
        <f t="shared" si="5"/>
        <v/>
      </c>
      <c r="R43" s="87"/>
      <c r="S43" s="88"/>
      <c r="T43" s="88"/>
      <c r="U43" s="89" t="str">
        <f t="shared" si="6"/>
        <v/>
      </c>
      <c r="V43" s="57" t="str">
        <f t="shared" si="7"/>
        <v/>
      </c>
      <c r="W43" s="90" t="str">
        <f t="shared" si="8"/>
        <v/>
      </c>
      <c r="X43" s="91" t="str">
        <f t="shared" si="13"/>
        <v/>
      </c>
      <c r="Y43" s="92" t="str">
        <f t="shared" si="14"/>
        <v/>
      </c>
      <c r="Z43" s="93" t="str">
        <f t="shared" si="9"/>
        <v/>
      </c>
      <c r="AB43" s="2"/>
      <c r="AC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6"/>
      <c r="AT43" s="41">
        <f t="shared" si="10"/>
        <v>0</v>
      </c>
      <c r="AU43" s="41">
        <f t="shared" si="11"/>
        <v>0</v>
      </c>
      <c r="AV43" s="41">
        <f t="shared" si="12"/>
        <v>0</v>
      </c>
      <c r="AX43" s="6"/>
    </row>
    <row r="44" spans="1:50" ht="18" customHeight="1">
      <c r="A44" s="179">
        <f>INPUT!A43</f>
        <v>0</v>
      </c>
      <c r="B44" s="179">
        <f>INPUT!B43</f>
        <v>0</v>
      </c>
      <c r="C44" s="179">
        <f>INPUT!C43</f>
        <v>0</v>
      </c>
      <c r="D44" s="87"/>
      <c r="E44" s="88"/>
      <c r="F44" s="88"/>
      <c r="G44" s="88"/>
      <c r="H44" s="88"/>
      <c r="I44" s="89" t="str">
        <f t="shared" si="0"/>
        <v/>
      </c>
      <c r="J44" s="57" t="str">
        <f t="shared" si="1"/>
        <v/>
      </c>
      <c r="K44" s="90" t="str">
        <f t="shared" si="2"/>
        <v/>
      </c>
      <c r="L44" s="87"/>
      <c r="M44" s="88"/>
      <c r="N44" s="88"/>
      <c r="O44" s="89" t="str">
        <f t="shared" si="3"/>
        <v/>
      </c>
      <c r="P44" s="57" t="str">
        <f t="shared" si="4"/>
        <v/>
      </c>
      <c r="Q44" s="90" t="str">
        <f t="shared" si="5"/>
        <v/>
      </c>
      <c r="R44" s="87"/>
      <c r="S44" s="88"/>
      <c r="T44" s="88"/>
      <c r="U44" s="89" t="str">
        <f t="shared" si="6"/>
        <v/>
      </c>
      <c r="V44" s="57" t="str">
        <f t="shared" si="7"/>
        <v/>
      </c>
      <c r="W44" s="90" t="str">
        <f t="shared" si="8"/>
        <v/>
      </c>
      <c r="X44" s="91" t="str">
        <f t="shared" si="13"/>
        <v/>
      </c>
      <c r="Y44" s="92" t="str">
        <f t="shared" si="14"/>
        <v/>
      </c>
      <c r="Z44" s="93" t="str">
        <f t="shared" si="9"/>
        <v/>
      </c>
      <c r="AB44" s="2"/>
      <c r="AC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6"/>
      <c r="AT44" s="41">
        <f t="shared" si="10"/>
        <v>0</v>
      </c>
      <c r="AU44" s="41">
        <f t="shared" si="11"/>
        <v>0</v>
      </c>
      <c r="AV44" s="41">
        <f t="shared" si="12"/>
        <v>0</v>
      </c>
      <c r="AX44" s="6"/>
    </row>
    <row r="45" spans="1:50" ht="18" customHeight="1">
      <c r="A45" s="179">
        <f>INPUT!A44</f>
        <v>0</v>
      </c>
      <c r="B45" s="179">
        <f>INPUT!B44</f>
        <v>0</v>
      </c>
      <c r="C45" s="179">
        <f>INPUT!C44</f>
        <v>0</v>
      </c>
      <c r="D45" s="87"/>
      <c r="E45" s="88"/>
      <c r="F45" s="88"/>
      <c r="G45" s="88"/>
      <c r="H45" s="88"/>
      <c r="I45" s="89" t="str">
        <f t="shared" ref="I45:I62" si="15">IF(COUNT($D45:$H45)=0,"",SUM($D45:$H45))</f>
        <v/>
      </c>
      <c r="J45" s="57" t="str">
        <f t="shared" ref="J45:J62" si="16">IF(ISERROR(IF($I45="","",ROUND(($I45/$I$10)*$J$10,2))),"",IF($I45="","",ROUND(($I45/$I$10)*$J$10,2)))</f>
        <v/>
      </c>
      <c r="K45" s="90" t="str">
        <f t="shared" ref="K45:K62" si="17">IF($J45="","",ROUND($J45*$K$10,2))</f>
        <v/>
      </c>
      <c r="L45" s="87"/>
      <c r="M45" s="88"/>
      <c r="N45" s="88"/>
      <c r="O45" s="89" t="str">
        <f t="shared" ref="O45:O62" si="18">IF(COUNT($L45:$N45)=0,"",SUM($L45:$N45))</f>
        <v/>
      </c>
      <c r="P45" s="57" t="str">
        <f t="shared" ref="P45:P62" si="19">IF(ISERROR(IF($O45="","",ROUND(($O45/$O$10)*$P$10,2))),"",IF($O45="","",ROUND(($O45/$O$10)*$P$10,2)))</f>
        <v/>
      </c>
      <c r="Q45" s="90" t="str">
        <f t="shared" ref="Q45:Q62" si="20">IF($P45="","",ROUND($P45*$Q$10,2))</f>
        <v/>
      </c>
      <c r="R45" s="87"/>
      <c r="S45" s="88"/>
      <c r="T45" s="88"/>
      <c r="U45" s="89" t="str">
        <f t="shared" ref="U45:U62" si="21">IF(COUNT($R45:$T45)=0,"",SUM($R45:$T45))</f>
        <v/>
      </c>
      <c r="V45" s="57" t="str">
        <f t="shared" ref="V45:V62" si="22">IF(ISERROR(IF($U45="","",ROUND(($U45/$U$10)*$V$10,2))),"",IF($U45="","",ROUND(($U45/$U$10)*$V$10,2)))</f>
        <v/>
      </c>
      <c r="W45" s="90" t="str">
        <f t="shared" ref="W45:W62" si="23">IF($V45="","",ROUND($V45*$W$10,2))</f>
        <v/>
      </c>
      <c r="X45" s="91" t="str">
        <f t="shared" si="13"/>
        <v/>
      </c>
      <c r="Y45" s="92" t="str">
        <f t="shared" si="14"/>
        <v/>
      </c>
      <c r="Z45" s="93" t="str">
        <f t="shared" ref="Z45:Z76" si="24">IF(ISERROR(IF(Y45="","",VLOOKUP(Y45,DESCRIPTORS,4,TRUE))),"",IF(Y45="","",VLOOKUP(Y45,DESCRIPTORS,4,TRUE)))</f>
        <v/>
      </c>
      <c r="AB45" s="2"/>
      <c r="AC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6"/>
      <c r="AT45" s="41">
        <f t="shared" ref="AT45:AT62" si="25">(R45/$R$10)*100</f>
        <v>0</v>
      </c>
      <c r="AU45" s="41">
        <f t="shared" ref="AU45:AU62" si="26">(S45/$S$10)*100</f>
        <v>0</v>
      </c>
      <c r="AV45" s="41">
        <f t="shared" ref="AV45:AV62" si="27">(T45/$T$10)*100</f>
        <v>0</v>
      </c>
      <c r="AX45" s="6"/>
    </row>
    <row r="46" spans="1:50" ht="18" customHeight="1">
      <c r="A46" s="179">
        <f>INPUT!A45</f>
        <v>0</v>
      </c>
      <c r="B46" s="179">
        <f>INPUT!B45</f>
        <v>0</v>
      </c>
      <c r="C46" s="179">
        <f>INPUT!C45</f>
        <v>0</v>
      </c>
      <c r="D46" s="87"/>
      <c r="E46" s="88"/>
      <c r="F46" s="88"/>
      <c r="G46" s="88"/>
      <c r="H46" s="88"/>
      <c r="I46" s="89" t="str">
        <f t="shared" si="15"/>
        <v/>
      </c>
      <c r="J46" s="57" t="str">
        <f t="shared" si="16"/>
        <v/>
      </c>
      <c r="K46" s="90" t="str">
        <f t="shared" si="17"/>
        <v/>
      </c>
      <c r="L46" s="87"/>
      <c r="M46" s="88"/>
      <c r="N46" s="88"/>
      <c r="O46" s="89" t="str">
        <f t="shared" si="18"/>
        <v/>
      </c>
      <c r="P46" s="57" t="str">
        <f t="shared" si="19"/>
        <v/>
      </c>
      <c r="Q46" s="90" t="str">
        <f t="shared" si="20"/>
        <v/>
      </c>
      <c r="R46" s="87"/>
      <c r="S46" s="88"/>
      <c r="T46" s="88"/>
      <c r="U46" s="89" t="str">
        <f t="shared" si="21"/>
        <v/>
      </c>
      <c r="V46" s="57" t="str">
        <f t="shared" si="22"/>
        <v/>
      </c>
      <c r="W46" s="90" t="str">
        <f t="shared" si="23"/>
        <v/>
      </c>
      <c r="X46" s="91" t="str">
        <f t="shared" ref="X46:X62" si="28">IF(ISERROR(IF($T46="","",ROUND(SUM($K46,$Q46,$W46),2))),"",IF($T46="","",ROUND(SUM($K46,$Q46,$W46),2)))</f>
        <v/>
      </c>
      <c r="Y46" s="92" t="str">
        <f t="shared" ref="Y46:Y77" si="29">IF(ISERROR(IF($T46="","",VLOOKUP(X46,NewTransmu,4,TRUE))),"",IF($T46="","",VLOOKUP(X46,NewTransmu,4,TRUE)))</f>
        <v/>
      </c>
      <c r="Z46" s="93" t="str">
        <f t="shared" si="24"/>
        <v/>
      </c>
      <c r="AB46" s="2"/>
      <c r="AC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6"/>
      <c r="AT46" s="41">
        <f t="shared" si="25"/>
        <v>0</v>
      </c>
      <c r="AU46" s="41">
        <f t="shared" si="26"/>
        <v>0</v>
      </c>
      <c r="AV46" s="41">
        <f t="shared" si="27"/>
        <v>0</v>
      </c>
      <c r="AX46" s="6"/>
    </row>
    <row r="47" spans="1:50" ht="18" customHeight="1">
      <c r="A47" s="179">
        <f>INPUT!A46</f>
        <v>0</v>
      </c>
      <c r="B47" s="179">
        <f>INPUT!B46</f>
        <v>0</v>
      </c>
      <c r="C47" s="179">
        <f>INPUT!C46</f>
        <v>0</v>
      </c>
      <c r="D47" s="87"/>
      <c r="E47" s="88"/>
      <c r="F47" s="88"/>
      <c r="G47" s="88"/>
      <c r="H47" s="88"/>
      <c r="I47" s="89" t="str">
        <f t="shared" si="15"/>
        <v/>
      </c>
      <c r="J47" s="57" t="str">
        <f t="shared" si="16"/>
        <v/>
      </c>
      <c r="K47" s="90" t="str">
        <f t="shared" si="17"/>
        <v/>
      </c>
      <c r="L47" s="87"/>
      <c r="M47" s="88"/>
      <c r="N47" s="88"/>
      <c r="O47" s="89" t="str">
        <f t="shared" si="18"/>
        <v/>
      </c>
      <c r="P47" s="57" t="str">
        <f t="shared" si="19"/>
        <v/>
      </c>
      <c r="Q47" s="90" t="str">
        <f t="shared" si="20"/>
        <v/>
      </c>
      <c r="R47" s="87"/>
      <c r="S47" s="88"/>
      <c r="T47" s="88"/>
      <c r="U47" s="89" t="str">
        <f t="shared" si="21"/>
        <v/>
      </c>
      <c r="V47" s="57" t="str">
        <f t="shared" si="22"/>
        <v/>
      </c>
      <c r="W47" s="90" t="str">
        <f t="shared" si="23"/>
        <v/>
      </c>
      <c r="X47" s="91" t="str">
        <f t="shared" si="28"/>
        <v/>
      </c>
      <c r="Y47" s="92" t="str">
        <f t="shared" si="29"/>
        <v/>
      </c>
      <c r="Z47" s="93" t="str">
        <f t="shared" si="24"/>
        <v/>
      </c>
      <c r="AB47" s="2"/>
      <c r="AC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6"/>
      <c r="AT47" s="41">
        <f t="shared" si="25"/>
        <v>0</v>
      </c>
      <c r="AU47" s="41">
        <f t="shared" si="26"/>
        <v>0</v>
      </c>
      <c r="AV47" s="41">
        <f t="shared" si="27"/>
        <v>0</v>
      </c>
      <c r="AX47" s="6"/>
    </row>
    <row r="48" spans="1:50" ht="18" customHeight="1">
      <c r="A48" s="179">
        <f>INPUT!A47</f>
        <v>0</v>
      </c>
      <c r="B48" s="179">
        <f>INPUT!B47</f>
        <v>0</v>
      </c>
      <c r="C48" s="179">
        <f>INPUT!C47</f>
        <v>0</v>
      </c>
      <c r="D48" s="87"/>
      <c r="E48" s="88"/>
      <c r="F48" s="88"/>
      <c r="G48" s="88"/>
      <c r="H48" s="88"/>
      <c r="I48" s="89" t="str">
        <f t="shared" si="15"/>
        <v/>
      </c>
      <c r="J48" s="57" t="str">
        <f t="shared" si="16"/>
        <v/>
      </c>
      <c r="K48" s="90" t="str">
        <f t="shared" si="17"/>
        <v/>
      </c>
      <c r="L48" s="87"/>
      <c r="M48" s="88"/>
      <c r="N48" s="88"/>
      <c r="O48" s="89" t="str">
        <f t="shared" si="18"/>
        <v/>
      </c>
      <c r="P48" s="57" t="str">
        <f t="shared" si="19"/>
        <v/>
      </c>
      <c r="Q48" s="90" t="str">
        <f t="shared" si="20"/>
        <v/>
      </c>
      <c r="R48" s="87"/>
      <c r="S48" s="88"/>
      <c r="T48" s="88"/>
      <c r="U48" s="89" t="str">
        <f t="shared" si="21"/>
        <v/>
      </c>
      <c r="V48" s="57" t="str">
        <f t="shared" si="22"/>
        <v/>
      </c>
      <c r="W48" s="90" t="str">
        <f t="shared" si="23"/>
        <v/>
      </c>
      <c r="X48" s="91" t="str">
        <f t="shared" si="28"/>
        <v/>
      </c>
      <c r="Y48" s="92" t="str">
        <f t="shared" si="29"/>
        <v/>
      </c>
      <c r="Z48" s="93" t="str">
        <f t="shared" si="24"/>
        <v/>
      </c>
      <c r="AB48" s="2"/>
      <c r="AC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6"/>
      <c r="AT48" s="41">
        <f t="shared" si="25"/>
        <v>0</v>
      </c>
      <c r="AU48" s="41">
        <f t="shared" si="26"/>
        <v>0</v>
      </c>
      <c r="AV48" s="41">
        <f t="shared" si="27"/>
        <v>0</v>
      </c>
      <c r="AX48" s="6"/>
    </row>
    <row r="49" spans="1:50" ht="18" customHeight="1">
      <c r="A49" s="179">
        <f>INPUT!A48</f>
        <v>0</v>
      </c>
      <c r="B49" s="179">
        <f>INPUT!B48</f>
        <v>0</v>
      </c>
      <c r="C49" s="179">
        <f>INPUT!C48</f>
        <v>0</v>
      </c>
      <c r="D49" s="87"/>
      <c r="E49" s="88"/>
      <c r="F49" s="88"/>
      <c r="G49" s="88"/>
      <c r="H49" s="88"/>
      <c r="I49" s="89" t="str">
        <f t="shared" si="15"/>
        <v/>
      </c>
      <c r="J49" s="57" t="str">
        <f t="shared" si="16"/>
        <v/>
      </c>
      <c r="K49" s="90" t="str">
        <f t="shared" si="17"/>
        <v/>
      </c>
      <c r="L49" s="87"/>
      <c r="M49" s="88"/>
      <c r="N49" s="88"/>
      <c r="O49" s="89" t="str">
        <f t="shared" si="18"/>
        <v/>
      </c>
      <c r="P49" s="57" t="str">
        <f t="shared" si="19"/>
        <v/>
      </c>
      <c r="Q49" s="90" t="str">
        <f t="shared" si="20"/>
        <v/>
      </c>
      <c r="R49" s="87"/>
      <c r="S49" s="88"/>
      <c r="T49" s="88"/>
      <c r="U49" s="89" t="str">
        <f t="shared" si="21"/>
        <v/>
      </c>
      <c r="V49" s="57" t="str">
        <f t="shared" si="22"/>
        <v/>
      </c>
      <c r="W49" s="90" t="str">
        <f t="shared" si="23"/>
        <v/>
      </c>
      <c r="X49" s="91" t="str">
        <f t="shared" si="28"/>
        <v/>
      </c>
      <c r="Y49" s="92" t="str">
        <f t="shared" si="29"/>
        <v/>
      </c>
      <c r="Z49" s="93" t="str">
        <f t="shared" si="24"/>
        <v/>
      </c>
      <c r="AB49" s="2"/>
      <c r="AC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6"/>
      <c r="AT49" s="41">
        <f t="shared" si="25"/>
        <v>0</v>
      </c>
      <c r="AU49" s="41">
        <f t="shared" si="26"/>
        <v>0</v>
      </c>
      <c r="AV49" s="41">
        <f t="shared" si="27"/>
        <v>0</v>
      </c>
      <c r="AX49" s="6"/>
    </row>
    <row r="50" spans="1:50" ht="18" customHeight="1">
      <c r="A50" s="179">
        <f>INPUT!A49</f>
        <v>0</v>
      </c>
      <c r="B50" s="179">
        <f>INPUT!B49</f>
        <v>0</v>
      </c>
      <c r="C50" s="179">
        <f>INPUT!C49</f>
        <v>0</v>
      </c>
      <c r="D50" s="87"/>
      <c r="E50" s="88"/>
      <c r="F50" s="88"/>
      <c r="G50" s="88"/>
      <c r="H50" s="88"/>
      <c r="I50" s="89" t="str">
        <f t="shared" si="15"/>
        <v/>
      </c>
      <c r="J50" s="57" t="str">
        <f t="shared" si="16"/>
        <v/>
      </c>
      <c r="K50" s="90" t="str">
        <f t="shared" si="17"/>
        <v/>
      </c>
      <c r="L50" s="87"/>
      <c r="M50" s="88"/>
      <c r="N50" s="88"/>
      <c r="O50" s="89" t="str">
        <f t="shared" si="18"/>
        <v/>
      </c>
      <c r="P50" s="57" t="str">
        <f t="shared" si="19"/>
        <v/>
      </c>
      <c r="Q50" s="90" t="str">
        <f t="shared" si="20"/>
        <v/>
      </c>
      <c r="R50" s="87"/>
      <c r="S50" s="88"/>
      <c r="T50" s="88"/>
      <c r="U50" s="89" t="str">
        <f t="shared" si="21"/>
        <v/>
      </c>
      <c r="V50" s="57" t="str">
        <f t="shared" si="22"/>
        <v/>
      </c>
      <c r="W50" s="90" t="str">
        <f t="shared" si="23"/>
        <v/>
      </c>
      <c r="X50" s="91" t="str">
        <f t="shared" si="28"/>
        <v/>
      </c>
      <c r="Y50" s="92" t="str">
        <f t="shared" si="29"/>
        <v/>
      </c>
      <c r="Z50" s="93" t="str">
        <f t="shared" si="24"/>
        <v/>
      </c>
      <c r="AB50" s="2"/>
      <c r="AC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6"/>
      <c r="AT50" s="41">
        <f t="shared" si="25"/>
        <v>0</v>
      </c>
      <c r="AU50" s="41">
        <f t="shared" si="26"/>
        <v>0</v>
      </c>
      <c r="AV50" s="41">
        <f t="shared" si="27"/>
        <v>0</v>
      </c>
      <c r="AX50" s="6"/>
    </row>
    <row r="51" spans="1:50" ht="18" customHeight="1">
      <c r="A51" s="179">
        <f>INPUT!A50</f>
        <v>0</v>
      </c>
      <c r="B51" s="179">
        <f>INPUT!B50</f>
        <v>0</v>
      </c>
      <c r="C51" s="179">
        <f>INPUT!C50</f>
        <v>0</v>
      </c>
      <c r="D51" s="87"/>
      <c r="E51" s="88"/>
      <c r="F51" s="88"/>
      <c r="G51" s="88"/>
      <c r="H51" s="88"/>
      <c r="I51" s="89" t="str">
        <f t="shared" si="15"/>
        <v/>
      </c>
      <c r="J51" s="57" t="str">
        <f t="shared" si="16"/>
        <v/>
      </c>
      <c r="K51" s="90" t="str">
        <f t="shared" si="17"/>
        <v/>
      </c>
      <c r="L51" s="87"/>
      <c r="M51" s="88"/>
      <c r="N51" s="88"/>
      <c r="O51" s="89" t="str">
        <f t="shared" si="18"/>
        <v/>
      </c>
      <c r="P51" s="57" t="str">
        <f t="shared" si="19"/>
        <v/>
      </c>
      <c r="Q51" s="90" t="str">
        <f t="shared" si="20"/>
        <v/>
      </c>
      <c r="R51" s="87"/>
      <c r="S51" s="88"/>
      <c r="T51" s="88"/>
      <c r="U51" s="89" t="str">
        <f t="shared" si="21"/>
        <v/>
      </c>
      <c r="V51" s="57" t="str">
        <f t="shared" si="22"/>
        <v/>
      </c>
      <c r="W51" s="90" t="str">
        <f t="shared" si="23"/>
        <v/>
      </c>
      <c r="X51" s="91" t="str">
        <f t="shared" si="28"/>
        <v/>
      </c>
      <c r="Y51" s="92" t="str">
        <f t="shared" si="29"/>
        <v/>
      </c>
      <c r="Z51" s="93" t="str">
        <f t="shared" si="24"/>
        <v/>
      </c>
      <c r="AB51" s="2"/>
      <c r="AC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6"/>
      <c r="AT51" s="41">
        <f t="shared" si="25"/>
        <v>0</v>
      </c>
      <c r="AU51" s="41">
        <f t="shared" si="26"/>
        <v>0</v>
      </c>
      <c r="AV51" s="41">
        <f t="shared" si="27"/>
        <v>0</v>
      </c>
      <c r="AX51" s="6"/>
    </row>
    <row r="52" spans="1:50" ht="18" customHeight="1">
      <c r="A52" s="179">
        <f>INPUT!A51</f>
        <v>0</v>
      </c>
      <c r="B52" s="179">
        <f>INPUT!B51</f>
        <v>0</v>
      </c>
      <c r="C52" s="179">
        <f>INPUT!C51</f>
        <v>0</v>
      </c>
      <c r="D52" s="87"/>
      <c r="E52" s="88"/>
      <c r="F52" s="88"/>
      <c r="G52" s="88"/>
      <c r="H52" s="88"/>
      <c r="I52" s="89" t="str">
        <f t="shared" si="15"/>
        <v/>
      </c>
      <c r="J52" s="57" t="str">
        <f t="shared" si="16"/>
        <v/>
      </c>
      <c r="K52" s="90" t="str">
        <f t="shared" si="17"/>
        <v/>
      </c>
      <c r="L52" s="87"/>
      <c r="M52" s="88"/>
      <c r="N52" s="88"/>
      <c r="O52" s="89" t="str">
        <f t="shared" si="18"/>
        <v/>
      </c>
      <c r="P52" s="57" t="str">
        <f t="shared" si="19"/>
        <v/>
      </c>
      <c r="Q52" s="90" t="str">
        <f t="shared" si="20"/>
        <v/>
      </c>
      <c r="R52" s="87"/>
      <c r="S52" s="88"/>
      <c r="T52" s="88"/>
      <c r="U52" s="89" t="str">
        <f t="shared" si="21"/>
        <v/>
      </c>
      <c r="V52" s="57" t="str">
        <f t="shared" si="22"/>
        <v/>
      </c>
      <c r="W52" s="90" t="str">
        <f t="shared" si="23"/>
        <v/>
      </c>
      <c r="X52" s="91" t="str">
        <f t="shared" si="28"/>
        <v/>
      </c>
      <c r="Y52" s="92" t="str">
        <f t="shared" si="29"/>
        <v/>
      </c>
      <c r="Z52" s="93" t="str">
        <f t="shared" si="24"/>
        <v/>
      </c>
      <c r="AB52" s="2"/>
      <c r="AC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6"/>
      <c r="AT52" s="41">
        <f t="shared" si="25"/>
        <v>0</v>
      </c>
      <c r="AU52" s="41">
        <f t="shared" si="26"/>
        <v>0</v>
      </c>
      <c r="AV52" s="41">
        <f t="shared" si="27"/>
        <v>0</v>
      </c>
      <c r="AX52" s="6"/>
    </row>
    <row r="53" spans="1:50" ht="18" customHeight="1">
      <c r="A53" s="179">
        <f>INPUT!A52</f>
        <v>0</v>
      </c>
      <c r="B53" s="179">
        <f>INPUT!B52</f>
        <v>0</v>
      </c>
      <c r="C53" s="179">
        <f>INPUT!C52</f>
        <v>0</v>
      </c>
      <c r="D53" s="87"/>
      <c r="E53" s="88"/>
      <c r="F53" s="88"/>
      <c r="G53" s="88"/>
      <c r="H53" s="88"/>
      <c r="I53" s="89" t="str">
        <f t="shared" si="15"/>
        <v/>
      </c>
      <c r="J53" s="57" t="str">
        <f t="shared" si="16"/>
        <v/>
      </c>
      <c r="K53" s="90" t="str">
        <f t="shared" si="17"/>
        <v/>
      </c>
      <c r="L53" s="87"/>
      <c r="M53" s="88"/>
      <c r="N53" s="88"/>
      <c r="O53" s="89" t="str">
        <f t="shared" si="18"/>
        <v/>
      </c>
      <c r="P53" s="57" t="str">
        <f t="shared" si="19"/>
        <v/>
      </c>
      <c r="Q53" s="90" t="str">
        <f t="shared" si="20"/>
        <v/>
      </c>
      <c r="R53" s="87"/>
      <c r="S53" s="88"/>
      <c r="T53" s="88"/>
      <c r="U53" s="89" t="str">
        <f t="shared" si="21"/>
        <v/>
      </c>
      <c r="V53" s="57" t="str">
        <f t="shared" si="22"/>
        <v/>
      </c>
      <c r="W53" s="90" t="str">
        <f t="shared" si="23"/>
        <v/>
      </c>
      <c r="X53" s="91" t="str">
        <f t="shared" si="28"/>
        <v/>
      </c>
      <c r="Y53" s="92" t="str">
        <f t="shared" si="29"/>
        <v/>
      </c>
      <c r="Z53" s="93" t="str">
        <f t="shared" si="24"/>
        <v/>
      </c>
      <c r="AB53" s="2"/>
      <c r="AC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6"/>
      <c r="AT53" s="41">
        <f t="shared" si="25"/>
        <v>0</v>
      </c>
      <c r="AU53" s="41">
        <f t="shared" si="26"/>
        <v>0</v>
      </c>
      <c r="AV53" s="41">
        <f t="shared" si="27"/>
        <v>0</v>
      </c>
      <c r="AX53" s="6"/>
    </row>
    <row r="54" spans="1:50" ht="18" customHeight="1">
      <c r="A54" s="179">
        <f>INPUT!A53</f>
        <v>0</v>
      </c>
      <c r="B54" s="179">
        <f>INPUT!B53</f>
        <v>0</v>
      </c>
      <c r="C54" s="179">
        <f>INPUT!C53</f>
        <v>0</v>
      </c>
      <c r="D54" s="87"/>
      <c r="E54" s="88"/>
      <c r="F54" s="88"/>
      <c r="G54" s="88"/>
      <c r="H54" s="88"/>
      <c r="I54" s="89" t="str">
        <f t="shared" si="15"/>
        <v/>
      </c>
      <c r="J54" s="57" t="str">
        <f t="shared" si="16"/>
        <v/>
      </c>
      <c r="K54" s="90" t="str">
        <f t="shared" si="17"/>
        <v/>
      </c>
      <c r="L54" s="87"/>
      <c r="M54" s="88"/>
      <c r="N54" s="88"/>
      <c r="O54" s="89" t="str">
        <f t="shared" si="18"/>
        <v/>
      </c>
      <c r="P54" s="57" t="str">
        <f t="shared" si="19"/>
        <v/>
      </c>
      <c r="Q54" s="90" t="str">
        <f t="shared" si="20"/>
        <v/>
      </c>
      <c r="R54" s="87"/>
      <c r="S54" s="88"/>
      <c r="T54" s="88"/>
      <c r="U54" s="89" t="str">
        <f t="shared" si="21"/>
        <v/>
      </c>
      <c r="V54" s="57" t="str">
        <f t="shared" si="22"/>
        <v/>
      </c>
      <c r="W54" s="90" t="str">
        <f t="shared" si="23"/>
        <v/>
      </c>
      <c r="X54" s="91" t="str">
        <f t="shared" si="28"/>
        <v/>
      </c>
      <c r="Y54" s="92" t="str">
        <f t="shared" si="29"/>
        <v/>
      </c>
      <c r="Z54" s="93" t="str">
        <f t="shared" si="24"/>
        <v/>
      </c>
      <c r="AB54" s="2"/>
      <c r="AC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6"/>
      <c r="AT54" s="41">
        <f t="shared" si="25"/>
        <v>0</v>
      </c>
      <c r="AU54" s="41">
        <f t="shared" si="26"/>
        <v>0</v>
      </c>
      <c r="AV54" s="41">
        <f t="shared" si="27"/>
        <v>0</v>
      </c>
      <c r="AX54" s="6"/>
    </row>
    <row r="55" spans="1:50" ht="18" customHeight="1">
      <c r="A55" s="179">
        <f>INPUT!A54</f>
        <v>0</v>
      </c>
      <c r="B55" s="179">
        <f>INPUT!B54</f>
        <v>0</v>
      </c>
      <c r="C55" s="179">
        <f>INPUT!C54</f>
        <v>0</v>
      </c>
      <c r="D55" s="87"/>
      <c r="E55" s="88"/>
      <c r="F55" s="88"/>
      <c r="G55" s="88"/>
      <c r="H55" s="88"/>
      <c r="I55" s="89" t="str">
        <f t="shared" si="15"/>
        <v/>
      </c>
      <c r="J55" s="57" t="str">
        <f t="shared" si="16"/>
        <v/>
      </c>
      <c r="K55" s="90" t="str">
        <f t="shared" si="17"/>
        <v/>
      </c>
      <c r="L55" s="87"/>
      <c r="M55" s="88"/>
      <c r="N55" s="88"/>
      <c r="O55" s="89" t="str">
        <f t="shared" si="18"/>
        <v/>
      </c>
      <c r="P55" s="57" t="str">
        <f t="shared" si="19"/>
        <v/>
      </c>
      <c r="Q55" s="90" t="str">
        <f t="shared" si="20"/>
        <v/>
      </c>
      <c r="R55" s="87"/>
      <c r="S55" s="88"/>
      <c r="T55" s="88"/>
      <c r="U55" s="89" t="str">
        <f t="shared" si="21"/>
        <v/>
      </c>
      <c r="V55" s="57" t="str">
        <f t="shared" si="22"/>
        <v/>
      </c>
      <c r="W55" s="90" t="str">
        <f t="shared" si="23"/>
        <v/>
      </c>
      <c r="X55" s="91" t="str">
        <f t="shared" si="28"/>
        <v/>
      </c>
      <c r="Y55" s="92" t="str">
        <f t="shared" si="29"/>
        <v/>
      </c>
      <c r="Z55" s="93" t="str">
        <f t="shared" si="24"/>
        <v/>
      </c>
      <c r="AB55" s="2"/>
      <c r="AC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6"/>
      <c r="AT55" s="41">
        <f t="shared" si="25"/>
        <v>0</v>
      </c>
      <c r="AU55" s="41">
        <f t="shared" si="26"/>
        <v>0</v>
      </c>
      <c r="AV55" s="41">
        <f t="shared" si="27"/>
        <v>0</v>
      </c>
      <c r="AX55" s="6"/>
    </row>
    <row r="56" spans="1:50" ht="18" customHeight="1">
      <c r="A56" s="179">
        <f>INPUT!A55</f>
        <v>0</v>
      </c>
      <c r="B56" s="179">
        <f>INPUT!B55</f>
        <v>0</v>
      </c>
      <c r="C56" s="179">
        <f>INPUT!C55</f>
        <v>0</v>
      </c>
      <c r="D56" s="87"/>
      <c r="E56" s="88"/>
      <c r="F56" s="88"/>
      <c r="G56" s="88"/>
      <c r="H56" s="88"/>
      <c r="I56" s="89" t="str">
        <f t="shared" si="15"/>
        <v/>
      </c>
      <c r="J56" s="57" t="str">
        <f t="shared" si="16"/>
        <v/>
      </c>
      <c r="K56" s="90" t="str">
        <f t="shared" si="17"/>
        <v/>
      </c>
      <c r="L56" s="87"/>
      <c r="M56" s="88"/>
      <c r="N56" s="88"/>
      <c r="O56" s="89" t="str">
        <f t="shared" si="18"/>
        <v/>
      </c>
      <c r="P56" s="57" t="str">
        <f t="shared" si="19"/>
        <v/>
      </c>
      <c r="Q56" s="90" t="str">
        <f t="shared" si="20"/>
        <v/>
      </c>
      <c r="R56" s="87"/>
      <c r="S56" s="88"/>
      <c r="T56" s="88"/>
      <c r="U56" s="89" t="str">
        <f t="shared" si="21"/>
        <v/>
      </c>
      <c r="V56" s="57" t="str">
        <f t="shared" si="22"/>
        <v/>
      </c>
      <c r="W56" s="90" t="str">
        <f t="shared" si="23"/>
        <v/>
      </c>
      <c r="X56" s="91" t="str">
        <f t="shared" si="28"/>
        <v/>
      </c>
      <c r="Y56" s="92" t="str">
        <f t="shared" si="29"/>
        <v/>
      </c>
      <c r="Z56" s="93" t="str">
        <f t="shared" si="24"/>
        <v/>
      </c>
      <c r="AB56" s="2"/>
      <c r="AC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6"/>
      <c r="AT56" s="41">
        <f t="shared" si="25"/>
        <v>0</v>
      </c>
      <c r="AU56" s="41">
        <f t="shared" si="26"/>
        <v>0</v>
      </c>
      <c r="AV56" s="41">
        <f t="shared" si="27"/>
        <v>0</v>
      </c>
      <c r="AX56" s="6"/>
    </row>
    <row r="57" spans="1:50" ht="18" customHeight="1">
      <c r="A57" s="179">
        <f>INPUT!A56</f>
        <v>0</v>
      </c>
      <c r="B57" s="179">
        <f>INPUT!B56</f>
        <v>0</v>
      </c>
      <c r="C57" s="179">
        <f>INPUT!C56</f>
        <v>0</v>
      </c>
      <c r="D57" s="87"/>
      <c r="E57" s="88"/>
      <c r="F57" s="88"/>
      <c r="G57" s="88"/>
      <c r="H57" s="88"/>
      <c r="I57" s="89" t="str">
        <f t="shared" si="15"/>
        <v/>
      </c>
      <c r="J57" s="57" t="str">
        <f t="shared" si="16"/>
        <v/>
      </c>
      <c r="K57" s="90" t="str">
        <f t="shared" si="17"/>
        <v/>
      </c>
      <c r="L57" s="87"/>
      <c r="M57" s="88"/>
      <c r="N57" s="88"/>
      <c r="O57" s="89" t="str">
        <f t="shared" si="18"/>
        <v/>
      </c>
      <c r="P57" s="57" t="str">
        <f t="shared" si="19"/>
        <v/>
      </c>
      <c r="Q57" s="90" t="str">
        <f t="shared" si="20"/>
        <v/>
      </c>
      <c r="R57" s="87"/>
      <c r="S57" s="88"/>
      <c r="T57" s="88"/>
      <c r="U57" s="89" t="str">
        <f t="shared" si="21"/>
        <v/>
      </c>
      <c r="V57" s="57" t="str">
        <f t="shared" si="22"/>
        <v/>
      </c>
      <c r="W57" s="90" t="str">
        <f t="shared" si="23"/>
        <v/>
      </c>
      <c r="X57" s="91" t="str">
        <f t="shared" si="28"/>
        <v/>
      </c>
      <c r="Y57" s="92" t="str">
        <f t="shared" si="29"/>
        <v/>
      </c>
      <c r="Z57" s="93" t="str">
        <f t="shared" si="24"/>
        <v/>
      </c>
      <c r="AB57" s="2"/>
      <c r="AC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6"/>
      <c r="AT57" s="41">
        <f t="shared" si="25"/>
        <v>0</v>
      </c>
      <c r="AU57" s="41">
        <f t="shared" si="26"/>
        <v>0</v>
      </c>
      <c r="AV57" s="41">
        <f t="shared" si="27"/>
        <v>0</v>
      </c>
      <c r="AX57" s="6"/>
    </row>
    <row r="58" spans="1:50" ht="18" customHeight="1">
      <c r="A58" s="179">
        <f>INPUT!A57</f>
        <v>0</v>
      </c>
      <c r="B58" s="179">
        <f>INPUT!B57</f>
        <v>0</v>
      </c>
      <c r="C58" s="179">
        <f>INPUT!C57</f>
        <v>0</v>
      </c>
      <c r="D58" s="87"/>
      <c r="E58" s="88"/>
      <c r="F58" s="88"/>
      <c r="G58" s="88"/>
      <c r="H58" s="88"/>
      <c r="I58" s="89" t="str">
        <f t="shared" si="15"/>
        <v/>
      </c>
      <c r="J58" s="57" t="str">
        <f t="shared" si="16"/>
        <v/>
      </c>
      <c r="K58" s="90" t="str">
        <f t="shared" si="17"/>
        <v/>
      </c>
      <c r="L58" s="87"/>
      <c r="M58" s="88"/>
      <c r="N58" s="88"/>
      <c r="O58" s="89" t="str">
        <f t="shared" si="18"/>
        <v/>
      </c>
      <c r="P58" s="57" t="str">
        <f t="shared" si="19"/>
        <v/>
      </c>
      <c r="Q58" s="90" t="str">
        <f t="shared" si="20"/>
        <v/>
      </c>
      <c r="R58" s="87"/>
      <c r="S58" s="88"/>
      <c r="T58" s="88"/>
      <c r="U58" s="89" t="str">
        <f t="shared" si="21"/>
        <v/>
      </c>
      <c r="V58" s="57" t="str">
        <f t="shared" si="22"/>
        <v/>
      </c>
      <c r="W58" s="90" t="str">
        <f t="shared" si="23"/>
        <v/>
      </c>
      <c r="X58" s="91" t="str">
        <f t="shared" si="28"/>
        <v/>
      </c>
      <c r="Y58" s="92" t="str">
        <f t="shared" si="29"/>
        <v/>
      </c>
      <c r="Z58" s="93" t="str">
        <f t="shared" si="24"/>
        <v/>
      </c>
      <c r="AB58" s="2"/>
      <c r="AC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6"/>
      <c r="AT58" s="41">
        <f t="shared" si="25"/>
        <v>0</v>
      </c>
      <c r="AU58" s="41">
        <f t="shared" si="26"/>
        <v>0</v>
      </c>
      <c r="AV58" s="41">
        <f t="shared" si="27"/>
        <v>0</v>
      </c>
      <c r="AX58" s="6"/>
    </row>
    <row r="59" spans="1:50" ht="18" customHeight="1">
      <c r="A59" s="179">
        <f>INPUT!A58</f>
        <v>0</v>
      </c>
      <c r="B59" s="179">
        <f>INPUT!B58</f>
        <v>0</v>
      </c>
      <c r="C59" s="179">
        <f>INPUT!C58</f>
        <v>0</v>
      </c>
      <c r="D59" s="87"/>
      <c r="E59" s="88"/>
      <c r="F59" s="88"/>
      <c r="G59" s="88"/>
      <c r="H59" s="88"/>
      <c r="I59" s="89" t="str">
        <f t="shared" si="15"/>
        <v/>
      </c>
      <c r="J59" s="57" t="str">
        <f t="shared" si="16"/>
        <v/>
      </c>
      <c r="K59" s="90" t="str">
        <f t="shared" si="17"/>
        <v/>
      </c>
      <c r="L59" s="87"/>
      <c r="M59" s="88"/>
      <c r="N59" s="88"/>
      <c r="O59" s="89" t="str">
        <f t="shared" si="18"/>
        <v/>
      </c>
      <c r="P59" s="57" t="str">
        <f t="shared" si="19"/>
        <v/>
      </c>
      <c r="Q59" s="90" t="str">
        <f t="shared" si="20"/>
        <v/>
      </c>
      <c r="R59" s="87"/>
      <c r="S59" s="88"/>
      <c r="T59" s="88"/>
      <c r="U59" s="89" t="str">
        <f t="shared" si="21"/>
        <v/>
      </c>
      <c r="V59" s="57" t="str">
        <f t="shared" si="22"/>
        <v/>
      </c>
      <c r="W59" s="90" t="str">
        <f t="shared" si="23"/>
        <v/>
      </c>
      <c r="X59" s="91" t="str">
        <f t="shared" si="28"/>
        <v/>
      </c>
      <c r="Y59" s="92" t="str">
        <f t="shared" si="29"/>
        <v/>
      </c>
      <c r="Z59" s="93" t="str">
        <f t="shared" si="24"/>
        <v/>
      </c>
      <c r="AB59" s="2"/>
      <c r="AC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6"/>
      <c r="AT59" s="41">
        <f t="shared" si="25"/>
        <v>0</v>
      </c>
      <c r="AU59" s="41">
        <f t="shared" si="26"/>
        <v>0</v>
      </c>
      <c r="AV59" s="41">
        <f t="shared" si="27"/>
        <v>0</v>
      </c>
      <c r="AX59" s="6"/>
    </row>
    <row r="60" spans="1:50" ht="18" customHeight="1">
      <c r="A60" s="179">
        <f>INPUT!A59</f>
        <v>0</v>
      </c>
      <c r="B60" s="179">
        <f>INPUT!B59</f>
        <v>0</v>
      </c>
      <c r="C60" s="179">
        <f>INPUT!C59</f>
        <v>0</v>
      </c>
      <c r="D60" s="87"/>
      <c r="E60" s="88"/>
      <c r="F60" s="88"/>
      <c r="G60" s="88"/>
      <c r="H60" s="88"/>
      <c r="I60" s="89" t="str">
        <f t="shared" si="15"/>
        <v/>
      </c>
      <c r="J60" s="57" t="str">
        <f t="shared" si="16"/>
        <v/>
      </c>
      <c r="K60" s="90" t="str">
        <f t="shared" si="17"/>
        <v/>
      </c>
      <c r="L60" s="87"/>
      <c r="M60" s="88"/>
      <c r="N60" s="88"/>
      <c r="O60" s="89" t="str">
        <f t="shared" si="18"/>
        <v/>
      </c>
      <c r="P60" s="57" t="str">
        <f t="shared" si="19"/>
        <v/>
      </c>
      <c r="Q60" s="90" t="str">
        <f t="shared" si="20"/>
        <v/>
      </c>
      <c r="R60" s="87"/>
      <c r="S60" s="88"/>
      <c r="T60" s="88"/>
      <c r="U60" s="89" t="str">
        <f t="shared" si="21"/>
        <v/>
      </c>
      <c r="V60" s="57" t="str">
        <f t="shared" si="22"/>
        <v/>
      </c>
      <c r="W60" s="90" t="str">
        <f t="shared" si="23"/>
        <v/>
      </c>
      <c r="X60" s="91" t="str">
        <f t="shared" si="28"/>
        <v/>
      </c>
      <c r="Y60" s="92" t="str">
        <f t="shared" si="29"/>
        <v/>
      </c>
      <c r="Z60" s="93" t="str">
        <f t="shared" si="24"/>
        <v/>
      </c>
      <c r="AB60" s="2"/>
      <c r="AC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6"/>
      <c r="AT60" s="41">
        <f t="shared" si="25"/>
        <v>0</v>
      </c>
      <c r="AU60" s="41">
        <f t="shared" si="26"/>
        <v>0</v>
      </c>
      <c r="AV60" s="41">
        <f t="shared" si="27"/>
        <v>0</v>
      </c>
      <c r="AX60" s="6"/>
    </row>
    <row r="61" spans="1:50" ht="19.149999999999999" customHeight="1">
      <c r="A61" s="179">
        <f>INPUT!A60</f>
        <v>0</v>
      </c>
      <c r="B61" s="179">
        <f>INPUT!B60</f>
        <v>0</v>
      </c>
      <c r="C61" s="179">
        <f>INPUT!C60</f>
        <v>0</v>
      </c>
      <c r="D61" s="87"/>
      <c r="E61" s="88"/>
      <c r="F61" s="88"/>
      <c r="G61" s="88"/>
      <c r="H61" s="88"/>
      <c r="I61" s="89" t="str">
        <f t="shared" si="15"/>
        <v/>
      </c>
      <c r="J61" s="57" t="str">
        <f t="shared" si="16"/>
        <v/>
      </c>
      <c r="K61" s="90" t="str">
        <f t="shared" si="17"/>
        <v/>
      </c>
      <c r="L61" s="87"/>
      <c r="M61" s="88"/>
      <c r="N61" s="88"/>
      <c r="O61" s="89" t="str">
        <f t="shared" si="18"/>
        <v/>
      </c>
      <c r="P61" s="57" t="str">
        <f t="shared" si="19"/>
        <v/>
      </c>
      <c r="Q61" s="90" t="str">
        <f t="shared" si="20"/>
        <v/>
      </c>
      <c r="R61" s="87"/>
      <c r="S61" s="88"/>
      <c r="T61" s="88"/>
      <c r="U61" s="89" t="str">
        <f t="shared" si="21"/>
        <v/>
      </c>
      <c r="V61" s="57" t="str">
        <f t="shared" si="22"/>
        <v/>
      </c>
      <c r="W61" s="90" t="str">
        <f t="shared" si="23"/>
        <v/>
      </c>
      <c r="X61" s="91" t="str">
        <f t="shared" si="28"/>
        <v/>
      </c>
      <c r="Y61" s="92" t="str">
        <f t="shared" si="29"/>
        <v/>
      </c>
      <c r="Z61" s="93" t="str">
        <f t="shared" si="24"/>
        <v/>
      </c>
      <c r="AB61" s="2"/>
      <c r="AC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6"/>
      <c r="AT61" s="41">
        <f t="shared" si="25"/>
        <v>0</v>
      </c>
      <c r="AU61" s="41">
        <f t="shared" si="26"/>
        <v>0</v>
      </c>
      <c r="AV61" s="41">
        <f t="shared" si="27"/>
        <v>0</v>
      </c>
      <c r="AX61" s="6"/>
    </row>
    <row r="62" spans="1:50" ht="18" customHeight="1">
      <c r="A62" s="179"/>
      <c r="B62" s="179"/>
      <c r="C62" s="179"/>
      <c r="D62" s="107"/>
      <c r="E62" s="108"/>
      <c r="F62" s="108"/>
      <c r="G62" s="108"/>
      <c r="H62" s="108"/>
      <c r="I62" s="109" t="str">
        <f t="shared" si="15"/>
        <v/>
      </c>
      <c r="J62" s="110" t="str">
        <f t="shared" si="16"/>
        <v/>
      </c>
      <c r="K62" s="111" t="str">
        <f t="shared" si="17"/>
        <v/>
      </c>
      <c r="L62" s="107"/>
      <c r="M62" s="108"/>
      <c r="N62" s="108"/>
      <c r="O62" s="109" t="str">
        <f t="shared" si="18"/>
        <v/>
      </c>
      <c r="P62" s="110" t="str">
        <f t="shared" si="19"/>
        <v/>
      </c>
      <c r="Q62" s="111" t="str">
        <f t="shared" si="20"/>
        <v/>
      </c>
      <c r="R62" s="107"/>
      <c r="S62" s="108"/>
      <c r="T62" s="108"/>
      <c r="U62" s="109" t="str">
        <f t="shared" si="21"/>
        <v/>
      </c>
      <c r="V62" s="110" t="str">
        <f t="shared" si="22"/>
        <v/>
      </c>
      <c r="W62" s="111" t="str">
        <f t="shared" si="23"/>
        <v/>
      </c>
      <c r="X62" s="112" t="str">
        <f t="shared" si="28"/>
        <v/>
      </c>
      <c r="Y62" s="113" t="str">
        <f t="shared" si="29"/>
        <v/>
      </c>
      <c r="Z62" s="114" t="str">
        <f t="shared" si="24"/>
        <v/>
      </c>
      <c r="AB62" s="2"/>
      <c r="AC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6"/>
      <c r="AT62" s="41">
        <f t="shared" si="25"/>
        <v>0</v>
      </c>
      <c r="AU62" s="41">
        <f t="shared" si="26"/>
        <v>0</v>
      </c>
      <c r="AV62" s="41">
        <f t="shared" si="27"/>
        <v>0</v>
      </c>
      <c r="AX62" s="6"/>
    </row>
    <row r="63" spans="1:50" ht="18" hidden="1" customHeight="1">
      <c r="A63" s="187" t="s">
        <v>66</v>
      </c>
      <c r="B63" s="179">
        <f>INPUT!B62</f>
        <v>0</v>
      </c>
      <c r="C63" s="179" t="str">
        <f>INPUT!C62</f>
        <v xml:space="preserve">FEMALE </v>
      </c>
      <c r="D63" s="221"/>
      <c r="E63" s="222"/>
      <c r="F63" s="223"/>
      <c r="G63" s="223"/>
      <c r="H63" s="223"/>
      <c r="I63" s="224"/>
      <c r="J63" s="119"/>
      <c r="K63" s="120"/>
      <c r="L63" s="225"/>
      <c r="M63" s="223"/>
      <c r="N63" s="223"/>
      <c r="O63" s="224"/>
      <c r="P63" s="119"/>
      <c r="Q63" s="120"/>
      <c r="R63" s="225"/>
      <c r="S63" s="223"/>
      <c r="T63" s="223"/>
      <c r="U63" s="224"/>
      <c r="V63" s="119"/>
      <c r="W63" s="120"/>
      <c r="X63" s="121"/>
      <c r="Y63" s="122"/>
      <c r="Z63" s="123"/>
      <c r="AB63" s="2"/>
      <c r="AC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6"/>
      <c r="AT63" s="41"/>
      <c r="AU63" s="41"/>
      <c r="AV63" s="41"/>
      <c r="AX63" s="6"/>
    </row>
    <row r="64" spans="1:50" ht="18" customHeight="1" thickBot="1">
      <c r="A64" s="198"/>
      <c r="B64" s="346" t="s">
        <v>69</v>
      </c>
      <c r="C64" s="347"/>
      <c r="D64" s="177"/>
      <c r="E64" s="178"/>
      <c r="F64" s="116"/>
      <c r="G64" s="116"/>
      <c r="H64" s="116"/>
      <c r="I64" s="117"/>
      <c r="J64" s="117"/>
      <c r="K64" s="118"/>
      <c r="L64" s="115"/>
      <c r="M64" s="116"/>
      <c r="N64" s="116"/>
      <c r="O64" s="117"/>
      <c r="P64" s="117"/>
      <c r="Q64" s="118"/>
      <c r="R64" s="115"/>
      <c r="S64" s="116"/>
      <c r="T64" s="116"/>
      <c r="U64" s="117"/>
      <c r="V64" s="119"/>
      <c r="W64" s="120"/>
      <c r="X64" s="121"/>
      <c r="Y64" s="122"/>
      <c r="Z64" s="123"/>
      <c r="AB64" s="2"/>
      <c r="AC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6"/>
      <c r="AT64" s="41">
        <f>(R64/$R$10)*100</f>
        <v>0</v>
      </c>
      <c r="AU64" s="41">
        <f>(S64/$S$10)*100</f>
        <v>0</v>
      </c>
      <c r="AV64" s="41">
        <f>(T64/$T$10)*100</f>
        <v>0</v>
      </c>
      <c r="AX64" s="6"/>
    </row>
    <row r="65" spans="1:50" ht="17.25" hidden="1" customHeight="1">
      <c r="A65" s="188" t="s">
        <v>70</v>
      </c>
      <c r="B65" s="199" t="s">
        <v>71</v>
      </c>
      <c r="C65" s="197" t="s">
        <v>72</v>
      </c>
      <c r="D65" s="115"/>
      <c r="E65" s="116"/>
      <c r="F65" s="116"/>
      <c r="G65" s="116"/>
      <c r="H65" s="116"/>
      <c r="I65" s="117"/>
      <c r="J65" s="117"/>
      <c r="K65" s="118"/>
      <c r="L65" s="115"/>
      <c r="M65" s="116"/>
      <c r="N65" s="116"/>
      <c r="O65" s="117"/>
      <c r="P65" s="117"/>
      <c r="Q65" s="118"/>
      <c r="R65" s="115"/>
      <c r="S65" s="116"/>
      <c r="T65" s="116"/>
      <c r="U65" s="117"/>
      <c r="V65" s="119"/>
      <c r="W65" s="120"/>
      <c r="X65" s="121"/>
      <c r="Y65" s="122"/>
      <c r="Z65" s="123"/>
      <c r="AB65" s="2"/>
      <c r="AC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6"/>
      <c r="AT65" s="41"/>
      <c r="AU65" s="41"/>
      <c r="AV65" s="41"/>
      <c r="AX65" s="6"/>
    </row>
    <row r="66" spans="1:50" ht="18" customHeight="1">
      <c r="A66" s="35">
        <f>INPUT!A64</f>
        <v>1</v>
      </c>
      <c r="B66" s="35" t="str">
        <f>INPUT!B64</f>
        <v>2022-00020</v>
      </c>
      <c r="C66" s="35" t="str">
        <f>INPUT!C64</f>
        <v>Araquil, Jheane Joel</v>
      </c>
      <c r="D66" s="78">
        <v>1</v>
      </c>
      <c r="E66" s="78">
        <v>1</v>
      </c>
      <c r="F66" s="78">
        <v>1</v>
      </c>
      <c r="G66" s="78">
        <v>1</v>
      </c>
      <c r="H66" s="78">
        <v>1</v>
      </c>
      <c r="I66" s="80">
        <f t="shared" ref="I66:I97" si="30">IF(COUNT($D66:$H66)=0,"",SUM($D66:$H66))</f>
        <v>5</v>
      </c>
      <c r="J66" s="81">
        <f t="shared" ref="J66:J97" si="31">IF(ISERROR(IF($I66="","",ROUND(($I66/$I$10)*$J$10,2))),"",IF($I66="","",ROUND(($I66/$I$10)*$J$10,2)))</f>
        <v>100</v>
      </c>
      <c r="K66" s="82">
        <f t="shared" ref="K66:K97" si="32">IF($J66="","",ROUND($J66*$K$10,2))</f>
        <v>20</v>
      </c>
      <c r="L66" s="78">
        <v>1</v>
      </c>
      <c r="M66" s="78">
        <v>1</v>
      </c>
      <c r="N66" s="78">
        <v>1</v>
      </c>
      <c r="O66" s="80">
        <f t="shared" ref="O66:O97" si="33">IF(COUNT($L66:$N66)=0,"",SUM($L66:$N66))</f>
        <v>3</v>
      </c>
      <c r="P66" s="81">
        <f t="shared" ref="P66:P97" si="34">IF(ISERROR(IF($O66="","",ROUND(($O66/$O$10)*$P$10,2))),"",IF($O66="","",ROUND(($O66/$O$10)*$P$10,2)))</f>
        <v>100</v>
      </c>
      <c r="Q66" s="82">
        <f t="shared" ref="Q66:Q97" si="35">IF($P66="","",ROUND($P66*$Q$10,2))</f>
        <v>80</v>
      </c>
      <c r="R66" s="78">
        <v>1</v>
      </c>
      <c r="S66" s="78">
        <v>1</v>
      </c>
      <c r="T66" s="78">
        <v>1</v>
      </c>
      <c r="U66" s="80">
        <f t="shared" ref="U66:U97" si="36">IF(COUNT($R66:$T66)=0,"",SUM($R66:$T66))</f>
        <v>3</v>
      </c>
      <c r="V66" s="81">
        <f t="shared" ref="V66:V97" si="37">IF(ISERROR(IF($U66="","",ROUND(($U66/$U$10)*$V$10,2))),"",IF($U66="","",ROUND(($U66/$U$10)*$V$10,2)))</f>
        <v>100</v>
      </c>
      <c r="W66" s="82">
        <f t="shared" ref="W66:W97" si="38">IF($V66="","",ROUND($V66*$W$10,2))</f>
        <v>20</v>
      </c>
      <c r="X66" s="83">
        <f t="shared" ref="X66:X97" si="39">IF(ISERROR(IF($T66="","",ROUND(SUM($K66,$Q66,$W66),2))),"",IF($T66="","",ROUND(SUM($K66,$Q66,$W66),2)))</f>
        <v>120</v>
      </c>
      <c r="Y66" s="84">
        <f t="shared" ref="Y66:Y97" si="40">IF(ISERROR(IF($T66="","",VLOOKUP(X66,NewTransmu,4,TRUE))),"",IF($T66="","",VLOOKUP(X66,NewTransmu,4,TRUE)))</f>
        <v>100</v>
      </c>
      <c r="Z66" s="85" t="str">
        <f t="shared" ref="Z66:Z97" si="41">IF(ISERROR(IF(Y66="","",VLOOKUP(Y66,DESCRIPTORS,4,TRUE))),"",IF(Y66="","",VLOOKUP(Y66,DESCRIPTORS,4,TRUE)))</f>
        <v>Advancing</v>
      </c>
      <c r="AB66" s="2"/>
      <c r="AC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6"/>
      <c r="AT66" s="41">
        <f t="shared" ref="AT66:AT97" si="42">(R66/$R$10)*100</f>
        <v>100</v>
      </c>
      <c r="AU66" s="41">
        <f t="shared" ref="AU66:AU97" si="43">(S66/$S$10)*100</f>
        <v>100</v>
      </c>
      <c r="AV66" s="41">
        <f t="shared" ref="AV66:AV97" si="44">(T66/$T$10)*100</f>
        <v>100</v>
      </c>
      <c r="AX66" s="6"/>
    </row>
    <row r="67" spans="1:50" ht="18" customHeight="1">
      <c r="A67" s="35">
        <f>INPUT!A65</f>
        <v>2</v>
      </c>
      <c r="B67" s="35" t="str">
        <f>INPUT!B65</f>
        <v>2022-00021</v>
      </c>
      <c r="C67" s="35" t="str">
        <f>INPUT!C65</f>
        <v>Balacuit, Kyle Anjheilee</v>
      </c>
      <c r="D67" s="87">
        <v>1</v>
      </c>
      <c r="E67" s="87">
        <v>1</v>
      </c>
      <c r="F67" s="87">
        <v>1</v>
      </c>
      <c r="G67" s="87">
        <v>1</v>
      </c>
      <c r="H67" s="87">
        <v>1</v>
      </c>
      <c r="I67" s="89">
        <f t="shared" si="30"/>
        <v>5</v>
      </c>
      <c r="J67" s="57">
        <f t="shared" si="31"/>
        <v>100</v>
      </c>
      <c r="K67" s="90">
        <f t="shared" si="32"/>
        <v>20</v>
      </c>
      <c r="L67" s="87">
        <v>1</v>
      </c>
      <c r="M67" s="87">
        <v>1</v>
      </c>
      <c r="N67" s="87">
        <v>1</v>
      </c>
      <c r="O67" s="89">
        <f t="shared" si="33"/>
        <v>3</v>
      </c>
      <c r="P67" s="57">
        <f t="shared" si="34"/>
        <v>100</v>
      </c>
      <c r="Q67" s="90">
        <f t="shared" si="35"/>
        <v>80</v>
      </c>
      <c r="R67" s="87">
        <v>1</v>
      </c>
      <c r="S67" s="87">
        <v>1</v>
      </c>
      <c r="T67" s="87">
        <v>1</v>
      </c>
      <c r="U67" s="89">
        <f t="shared" si="36"/>
        <v>3</v>
      </c>
      <c r="V67" s="57">
        <f t="shared" si="37"/>
        <v>100</v>
      </c>
      <c r="W67" s="90">
        <f t="shared" si="38"/>
        <v>20</v>
      </c>
      <c r="X67" s="91">
        <f t="shared" si="39"/>
        <v>120</v>
      </c>
      <c r="Y67" s="92">
        <f t="shared" si="40"/>
        <v>100</v>
      </c>
      <c r="Z67" s="93" t="str">
        <f t="shared" si="41"/>
        <v>Advancing</v>
      </c>
      <c r="AB67" s="2"/>
      <c r="AC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6"/>
      <c r="AT67" s="41">
        <f t="shared" si="42"/>
        <v>100</v>
      </c>
      <c r="AU67" s="41">
        <f t="shared" si="43"/>
        <v>100</v>
      </c>
      <c r="AV67" s="41">
        <f t="shared" si="44"/>
        <v>100</v>
      </c>
      <c r="AX67" s="6"/>
    </row>
    <row r="68" spans="1:50" ht="18" customHeight="1">
      <c r="A68" s="35">
        <f>INPUT!A66</f>
        <v>3</v>
      </c>
      <c r="B68" s="35" t="str">
        <f>INPUT!B66</f>
        <v>2022-00022</v>
      </c>
      <c r="C68" s="35" t="str">
        <f>INPUT!C66</f>
        <v>Barcelona, Jannah  Grich</v>
      </c>
      <c r="D68" s="87">
        <v>1</v>
      </c>
      <c r="E68" s="87">
        <v>1</v>
      </c>
      <c r="F68" s="87">
        <v>1</v>
      </c>
      <c r="G68" s="87">
        <v>1</v>
      </c>
      <c r="H68" s="87">
        <v>1</v>
      </c>
      <c r="I68" s="89">
        <f t="shared" si="30"/>
        <v>5</v>
      </c>
      <c r="J68" s="57">
        <f t="shared" si="31"/>
        <v>100</v>
      </c>
      <c r="K68" s="90">
        <f t="shared" si="32"/>
        <v>20</v>
      </c>
      <c r="L68" s="87">
        <v>1</v>
      </c>
      <c r="M68" s="87">
        <v>1</v>
      </c>
      <c r="N68" s="87">
        <v>1</v>
      </c>
      <c r="O68" s="89">
        <f t="shared" si="33"/>
        <v>3</v>
      </c>
      <c r="P68" s="57">
        <f t="shared" si="34"/>
        <v>100</v>
      </c>
      <c r="Q68" s="90">
        <f t="shared" si="35"/>
        <v>80</v>
      </c>
      <c r="R68" s="87">
        <v>1</v>
      </c>
      <c r="S68" s="87">
        <v>1</v>
      </c>
      <c r="T68" s="87">
        <v>1</v>
      </c>
      <c r="U68" s="89">
        <f t="shared" si="36"/>
        <v>3</v>
      </c>
      <c r="V68" s="57">
        <f t="shared" si="37"/>
        <v>100</v>
      </c>
      <c r="W68" s="90">
        <f t="shared" si="38"/>
        <v>20</v>
      </c>
      <c r="X68" s="91">
        <f t="shared" si="39"/>
        <v>120</v>
      </c>
      <c r="Y68" s="92">
        <f t="shared" si="40"/>
        <v>100</v>
      </c>
      <c r="Z68" s="93" t="str">
        <f t="shared" si="41"/>
        <v>Advancing</v>
      </c>
      <c r="AB68" s="2"/>
      <c r="AC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6"/>
      <c r="AT68" s="41">
        <f t="shared" si="42"/>
        <v>100</v>
      </c>
      <c r="AU68" s="41">
        <f t="shared" si="43"/>
        <v>100</v>
      </c>
      <c r="AV68" s="41">
        <f t="shared" si="44"/>
        <v>100</v>
      </c>
      <c r="AX68" s="6"/>
    </row>
    <row r="69" spans="1:50" ht="18" customHeight="1">
      <c r="A69" s="35">
        <f>INPUT!A67</f>
        <v>4</v>
      </c>
      <c r="B69" s="35" t="str">
        <f>INPUT!B67</f>
        <v>2022-00421</v>
      </c>
      <c r="C69" s="35" t="str">
        <f>INPUT!C67</f>
        <v>Bartonico, Flenzeu</v>
      </c>
      <c r="D69" s="87">
        <v>1</v>
      </c>
      <c r="E69" s="87">
        <v>1</v>
      </c>
      <c r="F69" s="87">
        <v>1</v>
      </c>
      <c r="G69" s="87">
        <v>1</v>
      </c>
      <c r="H69" s="87">
        <v>1</v>
      </c>
      <c r="I69" s="89">
        <f t="shared" si="30"/>
        <v>5</v>
      </c>
      <c r="J69" s="57">
        <f t="shared" si="31"/>
        <v>100</v>
      </c>
      <c r="K69" s="90">
        <f t="shared" si="32"/>
        <v>20</v>
      </c>
      <c r="L69" s="87">
        <v>1</v>
      </c>
      <c r="M69" s="87">
        <v>1</v>
      </c>
      <c r="N69" s="87">
        <v>1</v>
      </c>
      <c r="O69" s="89">
        <f t="shared" si="33"/>
        <v>3</v>
      </c>
      <c r="P69" s="57">
        <f t="shared" si="34"/>
        <v>100</v>
      </c>
      <c r="Q69" s="90">
        <f t="shared" si="35"/>
        <v>80</v>
      </c>
      <c r="R69" s="87">
        <v>1</v>
      </c>
      <c r="S69" s="87">
        <v>1</v>
      </c>
      <c r="T69" s="87">
        <v>1</v>
      </c>
      <c r="U69" s="89">
        <f t="shared" si="36"/>
        <v>3</v>
      </c>
      <c r="V69" s="57">
        <f t="shared" si="37"/>
        <v>100</v>
      </c>
      <c r="W69" s="90">
        <f t="shared" si="38"/>
        <v>20</v>
      </c>
      <c r="X69" s="91">
        <f t="shared" si="39"/>
        <v>120</v>
      </c>
      <c r="Y69" s="92">
        <f t="shared" si="40"/>
        <v>100</v>
      </c>
      <c r="Z69" s="93" t="str">
        <f t="shared" si="41"/>
        <v>Advancing</v>
      </c>
      <c r="AB69" s="2"/>
      <c r="AC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6"/>
      <c r="AT69" s="41">
        <f t="shared" si="42"/>
        <v>100</v>
      </c>
      <c r="AU69" s="41">
        <f t="shared" si="43"/>
        <v>100</v>
      </c>
      <c r="AV69" s="41">
        <f t="shared" si="44"/>
        <v>100</v>
      </c>
      <c r="AX69" s="6"/>
    </row>
    <row r="70" spans="1:50" ht="18" customHeight="1">
      <c r="A70" s="35">
        <f>INPUT!A68</f>
        <v>5</v>
      </c>
      <c r="B70" s="35" t="str">
        <f>INPUT!B68</f>
        <v>2022-00422</v>
      </c>
      <c r="C70" s="35" t="str">
        <f>INPUT!C68</f>
        <v>Bernaldo, Rutchyl Gem</v>
      </c>
      <c r="D70" s="87">
        <v>1</v>
      </c>
      <c r="E70" s="87">
        <v>1</v>
      </c>
      <c r="F70" s="87">
        <v>1</v>
      </c>
      <c r="G70" s="87">
        <v>1</v>
      </c>
      <c r="H70" s="87">
        <v>1</v>
      </c>
      <c r="I70" s="89">
        <f t="shared" si="30"/>
        <v>5</v>
      </c>
      <c r="J70" s="57">
        <f t="shared" si="31"/>
        <v>100</v>
      </c>
      <c r="K70" s="90">
        <f t="shared" si="32"/>
        <v>20</v>
      </c>
      <c r="L70" s="87">
        <v>1</v>
      </c>
      <c r="M70" s="87">
        <v>1</v>
      </c>
      <c r="N70" s="87">
        <v>1</v>
      </c>
      <c r="O70" s="89">
        <f t="shared" si="33"/>
        <v>3</v>
      </c>
      <c r="P70" s="57">
        <f t="shared" si="34"/>
        <v>100</v>
      </c>
      <c r="Q70" s="90">
        <f t="shared" si="35"/>
        <v>80</v>
      </c>
      <c r="R70" s="87">
        <v>1</v>
      </c>
      <c r="S70" s="87">
        <v>1</v>
      </c>
      <c r="T70" s="87">
        <v>1</v>
      </c>
      <c r="U70" s="89">
        <f t="shared" si="36"/>
        <v>3</v>
      </c>
      <c r="V70" s="57">
        <f t="shared" si="37"/>
        <v>100</v>
      </c>
      <c r="W70" s="90">
        <f t="shared" si="38"/>
        <v>20</v>
      </c>
      <c r="X70" s="91">
        <f t="shared" si="39"/>
        <v>120</v>
      </c>
      <c r="Y70" s="92">
        <f t="shared" si="40"/>
        <v>100</v>
      </c>
      <c r="Z70" s="93" t="str">
        <f t="shared" si="41"/>
        <v>Advancing</v>
      </c>
      <c r="AB70" s="2"/>
      <c r="AC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6"/>
      <c r="AT70" s="41">
        <f t="shared" si="42"/>
        <v>100</v>
      </c>
      <c r="AU70" s="41">
        <f t="shared" si="43"/>
        <v>100</v>
      </c>
      <c r="AV70" s="41">
        <f t="shared" si="44"/>
        <v>100</v>
      </c>
      <c r="AX70" s="6"/>
    </row>
    <row r="71" spans="1:50" ht="18" customHeight="1">
      <c r="A71" s="35">
        <f>INPUT!A69</f>
        <v>6</v>
      </c>
      <c r="B71" s="35" t="str">
        <f>INPUT!B69</f>
        <v>2022-00023</v>
      </c>
      <c r="C71" s="35" t="str">
        <f>INPUT!C69</f>
        <v>Borja, Wins Daughter</v>
      </c>
      <c r="D71" s="87">
        <v>1</v>
      </c>
      <c r="E71" s="87">
        <v>1</v>
      </c>
      <c r="F71" s="87">
        <v>1</v>
      </c>
      <c r="G71" s="87">
        <v>1</v>
      </c>
      <c r="H71" s="87">
        <v>1</v>
      </c>
      <c r="I71" s="89">
        <f t="shared" si="30"/>
        <v>5</v>
      </c>
      <c r="J71" s="57">
        <f t="shared" si="31"/>
        <v>100</v>
      </c>
      <c r="K71" s="90">
        <f t="shared" si="32"/>
        <v>20</v>
      </c>
      <c r="L71" s="87">
        <v>1</v>
      </c>
      <c r="M71" s="87">
        <v>1</v>
      </c>
      <c r="N71" s="87">
        <v>1</v>
      </c>
      <c r="O71" s="89">
        <f t="shared" si="33"/>
        <v>3</v>
      </c>
      <c r="P71" s="57">
        <f t="shared" si="34"/>
        <v>100</v>
      </c>
      <c r="Q71" s="90">
        <f t="shared" si="35"/>
        <v>80</v>
      </c>
      <c r="R71" s="87">
        <v>1</v>
      </c>
      <c r="S71" s="87">
        <v>1</v>
      </c>
      <c r="T71" s="87">
        <v>1</v>
      </c>
      <c r="U71" s="89">
        <f t="shared" si="36"/>
        <v>3</v>
      </c>
      <c r="V71" s="57">
        <f t="shared" si="37"/>
        <v>100</v>
      </c>
      <c r="W71" s="90">
        <f t="shared" si="38"/>
        <v>20</v>
      </c>
      <c r="X71" s="91">
        <f t="shared" si="39"/>
        <v>120</v>
      </c>
      <c r="Y71" s="92">
        <f t="shared" si="40"/>
        <v>100</v>
      </c>
      <c r="Z71" s="93" t="str">
        <f t="shared" si="41"/>
        <v>Advancing</v>
      </c>
      <c r="AB71" s="2"/>
      <c r="AC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6"/>
      <c r="AT71" s="41">
        <f t="shared" si="42"/>
        <v>100</v>
      </c>
      <c r="AU71" s="41">
        <f t="shared" si="43"/>
        <v>100</v>
      </c>
      <c r="AV71" s="41">
        <f t="shared" si="44"/>
        <v>100</v>
      </c>
      <c r="AX71" s="6"/>
    </row>
    <row r="72" spans="1:50" ht="18" customHeight="1">
      <c r="A72" s="35">
        <f>INPUT!A70</f>
        <v>7</v>
      </c>
      <c r="B72" s="35" t="str">
        <f>INPUT!B70</f>
        <v>2023-00520</v>
      </c>
      <c r="C72" s="35" t="str">
        <f>INPUT!C70</f>
        <v>CABIGAS, HUETTE EVANNY</v>
      </c>
      <c r="D72" s="87">
        <v>1</v>
      </c>
      <c r="E72" s="87">
        <v>1</v>
      </c>
      <c r="F72" s="87">
        <v>1</v>
      </c>
      <c r="G72" s="87">
        <v>1</v>
      </c>
      <c r="H72" s="87">
        <v>1</v>
      </c>
      <c r="I72" s="89">
        <f t="shared" si="30"/>
        <v>5</v>
      </c>
      <c r="J72" s="57">
        <f t="shared" si="31"/>
        <v>100</v>
      </c>
      <c r="K72" s="90">
        <f t="shared" si="32"/>
        <v>20</v>
      </c>
      <c r="L72" s="87">
        <v>1</v>
      </c>
      <c r="M72" s="87">
        <v>1</v>
      </c>
      <c r="N72" s="87">
        <v>1</v>
      </c>
      <c r="O72" s="89">
        <f t="shared" si="33"/>
        <v>3</v>
      </c>
      <c r="P72" s="57">
        <f t="shared" si="34"/>
        <v>100</v>
      </c>
      <c r="Q72" s="90">
        <f t="shared" si="35"/>
        <v>80</v>
      </c>
      <c r="R72" s="87">
        <v>1</v>
      </c>
      <c r="S72" s="87">
        <v>1</v>
      </c>
      <c r="T72" s="87">
        <v>1</v>
      </c>
      <c r="U72" s="89">
        <f t="shared" si="36"/>
        <v>3</v>
      </c>
      <c r="V72" s="57">
        <f t="shared" si="37"/>
        <v>100</v>
      </c>
      <c r="W72" s="90">
        <f t="shared" si="38"/>
        <v>20</v>
      </c>
      <c r="X72" s="91">
        <f t="shared" si="39"/>
        <v>120</v>
      </c>
      <c r="Y72" s="92">
        <f t="shared" si="40"/>
        <v>100</v>
      </c>
      <c r="Z72" s="93" t="str">
        <f t="shared" si="41"/>
        <v>Advancing</v>
      </c>
      <c r="AB72" s="2"/>
      <c r="AC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6"/>
      <c r="AT72" s="41">
        <f t="shared" si="42"/>
        <v>100</v>
      </c>
      <c r="AU72" s="41">
        <f t="shared" si="43"/>
        <v>100</v>
      </c>
      <c r="AV72" s="41">
        <f t="shared" si="44"/>
        <v>100</v>
      </c>
      <c r="AX72" s="6"/>
    </row>
    <row r="73" spans="1:50" ht="18" customHeight="1">
      <c r="A73" s="35">
        <f>INPUT!A71</f>
        <v>8</v>
      </c>
      <c r="B73" s="35" t="str">
        <f>INPUT!B71</f>
        <v>2023-00518</v>
      </c>
      <c r="C73" s="35" t="str">
        <f>INPUT!C71</f>
        <v>CAHANAP, ALESSA KRISTINE</v>
      </c>
      <c r="D73" s="87">
        <v>1</v>
      </c>
      <c r="E73" s="87">
        <v>1</v>
      </c>
      <c r="F73" s="87">
        <v>1</v>
      </c>
      <c r="G73" s="87">
        <v>1</v>
      </c>
      <c r="H73" s="87">
        <v>1</v>
      </c>
      <c r="I73" s="89">
        <f t="shared" si="30"/>
        <v>5</v>
      </c>
      <c r="J73" s="57">
        <f t="shared" si="31"/>
        <v>100</v>
      </c>
      <c r="K73" s="90">
        <f t="shared" si="32"/>
        <v>20</v>
      </c>
      <c r="L73" s="87">
        <v>1</v>
      </c>
      <c r="M73" s="87">
        <v>1</v>
      </c>
      <c r="N73" s="87">
        <v>1</v>
      </c>
      <c r="O73" s="89">
        <f t="shared" si="33"/>
        <v>3</v>
      </c>
      <c r="P73" s="57">
        <f t="shared" si="34"/>
        <v>100</v>
      </c>
      <c r="Q73" s="90">
        <f t="shared" si="35"/>
        <v>80</v>
      </c>
      <c r="R73" s="87">
        <v>1</v>
      </c>
      <c r="S73" s="87">
        <v>1</v>
      </c>
      <c r="T73" s="87">
        <v>1</v>
      </c>
      <c r="U73" s="89">
        <f t="shared" si="36"/>
        <v>3</v>
      </c>
      <c r="V73" s="57">
        <f t="shared" si="37"/>
        <v>100</v>
      </c>
      <c r="W73" s="90">
        <f t="shared" si="38"/>
        <v>20</v>
      </c>
      <c r="X73" s="91">
        <f t="shared" si="39"/>
        <v>120</v>
      </c>
      <c r="Y73" s="92">
        <f t="shared" si="40"/>
        <v>100</v>
      </c>
      <c r="Z73" s="93" t="str">
        <f t="shared" si="41"/>
        <v>Advancing</v>
      </c>
      <c r="AB73" s="2"/>
      <c r="AC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6"/>
      <c r="AT73" s="41">
        <f t="shared" si="42"/>
        <v>100</v>
      </c>
      <c r="AU73" s="41">
        <f t="shared" si="43"/>
        <v>100</v>
      </c>
      <c r="AV73" s="41">
        <f t="shared" si="44"/>
        <v>100</v>
      </c>
      <c r="AX73" s="6"/>
    </row>
    <row r="74" spans="1:50" ht="18" customHeight="1">
      <c r="A74" s="35">
        <f>INPUT!A72</f>
        <v>9</v>
      </c>
      <c r="B74" s="35" t="str">
        <f>INPUT!B72</f>
        <v>2022-00025</v>
      </c>
      <c r="C74" s="35" t="str">
        <f>INPUT!C72</f>
        <v>Catubay, Cyril Jhean</v>
      </c>
      <c r="D74" s="87">
        <v>1</v>
      </c>
      <c r="E74" s="87">
        <v>1</v>
      </c>
      <c r="F74" s="87">
        <v>1</v>
      </c>
      <c r="G74" s="87">
        <v>1</v>
      </c>
      <c r="H74" s="87">
        <v>1</v>
      </c>
      <c r="I74" s="89">
        <f t="shared" si="30"/>
        <v>5</v>
      </c>
      <c r="J74" s="57">
        <f t="shared" si="31"/>
        <v>100</v>
      </c>
      <c r="K74" s="90">
        <f t="shared" si="32"/>
        <v>20</v>
      </c>
      <c r="L74" s="87">
        <v>1</v>
      </c>
      <c r="M74" s="87">
        <v>1</v>
      </c>
      <c r="N74" s="87">
        <v>1</v>
      </c>
      <c r="O74" s="89">
        <f t="shared" si="33"/>
        <v>3</v>
      </c>
      <c r="P74" s="57">
        <f t="shared" si="34"/>
        <v>100</v>
      </c>
      <c r="Q74" s="90">
        <f t="shared" si="35"/>
        <v>80</v>
      </c>
      <c r="R74" s="87">
        <v>1</v>
      </c>
      <c r="S74" s="87">
        <v>1</v>
      </c>
      <c r="T74" s="87">
        <v>1</v>
      </c>
      <c r="U74" s="89">
        <f t="shared" si="36"/>
        <v>3</v>
      </c>
      <c r="V74" s="57">
        <f t="shared" si="37"/>
        <v>100</v>
      </c>
      <c r="W74" s="90">
        <f t="shared" si="38"/>
        <v>20</v>
      </c>
      <c r="X74" s="91">
        <f t="shared" si="39"/>
        <v>120</v>
      </c>
      <c r="Y74" s="92">
        <f t="shared" si="40"/>
        <v>100</v>
      </c>
      <c r="Z74" s="93" t="str">
        <f t="shared" si="41"/>
        <v>Advancing</v>
      </c>
      <c r="AB74" s="2"/>
      <c r="AC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6"/>
      <c r="AT74" s="41">
        <f t="shared" si="42"/>
        <v>100</v>
      </c>
      <c r="AU74" s="41">
        <f t="shared" si="43"/>
        <v>100</v>
      </c>
      <c r="AV74" s="41">
        <f t="shared" si="44"/>
        <v>100</v>
      </c>
      <c r="AX74" s="6"/>
    </row>
    <row r="75" spans="1:50" ht="18" customHeight="1">
      <c r="A75" s="35">
        <f>INPUT!A73</f>
        <v>10</v>
      </c>
      <c r="B75" s="35" t="str">
        <f>INPUT!B73</f>
        <v>2022-00026</v>
      </c>
      <c r="C75" s="35" t="str">
        <f>INPUT!C73</f>
        <v>Dolotallas, Ashanti Leigh</v>
      </c>
      <c r="D75" s="87">
        <v>1</v>
      </c>
      <c r="E75" s="87">
        <v>1</v>
      </c>
      <c r="F75" s="87">
        <v>1</v>
      </c>
      <c r="G75" s="87">
        <v>1</v>
      </c>
      <c r="H75" s="87">
        <v>1</v>
      </c>
      <c r="I75" s="89">
        <f t="shared" si="30"/>
        <v>5</v>
      </c>
      <c r="J75" s="57">
        <f t="shared" si="31"/>
        <v>100</v>
      </c>
      <c r="K75" s="90">
        <f t="shared" si="32"/>
        <v>20</v>
      </c>
      <c r="L75" s="87">
        <v>1</v>
      </c>
      <c r="M75" s="87">
        <v>1</v>
      </c>
      <c r="N75" s="87">
        <v>1</v>
      </c>
      <c r="O75" s="89">
        <f t="shared" si="33"/>
        <v>3</v>
      </c>
      <c r="P75" s="57">
        <f t="shared" si="34"/>
        <v>100</v>
      </c>
      <c r="Q75" s="90">
        <f t="shared" si="35"/>
        <v>80</v>
      </c>
      <c r="R75" s="87">
        <v>1</v>
      </c>
      <c r="S75" s="87">
        <v>1</v>
      </c>
      <c r="T75" s="87">
        <v>1</v>
      </c>
      <c r="U75" s="89">
        <f t="shared" si="36"/>
        <v>3</v>
      </c>
      <c r="V75" s="57">
        <f t="shared" si="37"/>
        <v>100</v>
      </c>
      <c r="W75" s="90">
        <f t="shared" si="38"/>
        <v>20</v>
      </c>
      <c r="X75" s="91">
        <f t="shared" si="39"/>
        <v>120</v>
      </c>
      <c r="Y75" s="92">
        <f t="shared" si="40"/>
        <v>100</v>
      </c>
      <c r="Z75" s="93" t="str">
        <f t="shared" si="41"/>
        <v>Advancing</v>
      </c>
      <c r="AB75" s="2"/>
      <c r="AC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6"/>
      <c r="AT75" s="41">
        <f t="shared" si="42"/>
        <v>100</v>
      </c>
      <c r="AU75" s="41">
        <f t="shared" si="43"/>
        <v>100</v>
      </c>
      <c r="AV75" s="41">
        <f t="shared" si="44"/>
        <v>100</v>
      </c>
      <c r="AX75" s="6"/>
    </row>
    <row r="76" spans="1:50" ht="18" customHeight="1">
      <c r="A76" s="35">
        <f>INPUT!A74</f>
        <v>11</v>
      </c>
      <c r="B76" s="35" t="str">
        <f>INPUT!B74</f>
        <v>2022-00027</v>
      </c>
      <c r="C76" s="35" t="str">
        <f>INPUT!C74</f>
        <v>Egay, Charice</v>
      </c>
      <c r="D76" s="87">
        <v>1</v>
      </c>
      <c r="E76" s="87">
        <v>1</v>
      </c>
      <c r="F76" s="87">
        <v>1</v>
      </c>
      <c r="G76" s="87">
        <v>1</v>
      </c>
      <c r="H76" s="87">
        <v>1</v>
      </c>
      <c r="I76" s="89">
        <f t="shared" si="30"/>
        <v>5</v>
      </c>
      <c r="J76" s="57">
        <f t="shared" si="31"/>
        <v>100</v>
      </c>
      <c r="K76" s="90">
        <f t="shared" si="32"/>
        <v>20</v>
      </c>
      <c r="L76" s="87">
        <v>1</v>
      </c>
      <c r="M76" s="87">
        <v>1</v>
      </c>
      <c r="N76" s="87">
        <v>1</v>
      </c>
      <c r="O76" s="89">
        <f t="shared" si="33"/>
        <v>3</v>
      </c>
      <c r="P76" s="57">
        <f t="shared" si="34"/>
        <v>100</v>
      </c>
      <c r="Q76" s="90">
        <f t="shared" si="35"/>
        <v>80</v>
      </c>
      <c r="R76" s="87">
        <v>1</v>
      </c>
      <c r="S76" s="87">
        <v>1</v>
      </c>
      <c r="T76" s="87">
        <v>1</v>
      </c>
      <c r="U76" s="89">
        <f t="shared" si="36"/>
        <v>3</v>
      </c>
      <c r="V76" s="57">
        <f t="shared" si="37"/>
        <v>100</v>
      </c>
      <c r="W76" s="90">
        <f t="shared" si="38"/>
        <v>20</v>
      </c>
      <c r="X76" s="91">
        <f t="shared" si="39"/>
        <v>120</v>
      </c>
      <c r="Y76" s="92">
        <f t="shared" si="40"/>
        <v>100</v>
      </c>
      <c r="Z76" s="93" t="str">
        <f t="shared" si="41"/>
        <v>Advancing</v>
      </c>
      <c r="AB76" s="2"/>
      <c r="AC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6"/>
      <c r="AT76" s="41">
        <f t="shared" si="42"/>
        <v>100</v>
      </c>
      <c r="AU76" s="41">
        <f t="shared" si="43"/>
        <v>100</v>
      </c>
      <c r="AV76" s="41">
        <f t="shared" si="44"/>
        <v>100</v>
      </c>
      <c r="AX76" s="6"/>
    </row>
    <row r="77" spans="1:50" ht="18" customHeight="1">
      <c r="A77" s="35">
        <f>INPUT!A75</f>
        <v>12</v>
      </c>
      <c r="B77" s="35" t="str">
        <f>INPUT!B75</f>
        <v>2022-00028</v>
      </c>
      <c r="C77" s="35" t="str">
        <f>INPUT!C75</f>
        <v>Ferraren, Abegail Jane</v>
      </c>
      <c r="D77" s="87">
        <v>1</v>
      </c>
      <c r="E77" s="87">
        <v>1</v>
      </c>
      <c r="F77" s="87">
        <v>1</v>
      </c>
      <c r="G77" s="87">
        <v>1</v>
      </c>
      <c r="H77" s="87">
        <v>1</v>
      </c>
      <c r="I77" s="89">
        <f t="shared" si="30"/>
        <v>5</v>
      </c>
      <c r="J77" s="57">
        <f t="shared" si="31"/>
        <v>100</v>
      </c>
      <c r="K77" s="90">
        <f t="shared" si="32"/>
        <v>20</v>
      </c>
      <c r="L77" s="87">
        <v>1</v>
      </c>
      <c r="M77" s="87">
        <v>1</v>
      </c>
      <c r="N77" s="87">
        <v>1</v>
      </c>
      <c r="O77" s="89">
        <f t="shared" si="33"/>
        <v>3</v>
      </c>
      <c r="P77" s="57">
        <f t="shared" si="34"/>
        <v>100</v>
      </c>
      <c r="Q77" s="90">
        <f t="shared" si="35"/>
        <v>80</v>
      </c>
      <c r="R77" s="87">
        <v>1</v>
      </c>
      <c r="S77" s="87">
        <v>1</v>
      </c>
      <c r="T77" s="87">
        <v>1</v>
      </c>
      <c r="U77" s="89">
        <f t="shared" si="36"/>
        <v>3</v>
      </c>
      <c r="V77" s="57">
        <f t="shared" si="37"/>
        <v>100</v>
      </c>
      <c r="W77" s="90">
        <f t="shared" si="38"/>
        <v>20</v>
      </c>
      <c r="X77" s="91">
        <f t="shared" si="39"/>
        <v>120</v>
      </c>
      <c r="Y77" s="92">
        <f t="shared" si="40"/>
        <v>100</v>
      </c>
      <c r="Z77" s="93" t="str">
        <f t="shared" si="41"/>
        <v>Advancing</v>
      </c>
      <c r="AB77" s="2"/>
      <c r="AC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6"/>
      <c r="AT77" s="41">
        <f t="shared" si="42"/>
        <v>100</v>
      </c>
      <c r="AU77" s="41">
        <f t="shared" si="43"/>
        <v>100</v>
      </c>
      <c r="AV77" s="41">
        <f t="shared" si="44"/>
        <v>100</v>
      </c>
      <c r="AX77" s="6"/>
    </row>
    <row r="78" spans="1:50" ht="18" customHeight="1">
      <c r="A78" s="35">
        <f>INPUT!A76</f>
        <v>13</v>
      </c>
      <c r="B78" s="35" t="str">
        <f>INPUT!B76</f>
        <v>2022-00029</v>
      </c>
      <c r="C78" s="35" t="str">
        <f>INPUT!C76</f>
        <v>Gales, Jillian</v>
      </c>
      <c r="D78" s="87">
        <v>1</v>
      </c>
      <c r="E78" s="87">
        <v>1</v>
      </c>
      <c r="F78" s="87">
        <v>1</v>
      </c>
      <c r="G78" s="87">
        <v>1</v>
      </c>
      <c r="H78" s="87">
        <v>1</v>
      </c>
      <c r="I78" s="89">
        <f t="shared" si="30"/>
        <v>5</v>
      </c>
      <c r="J78" s="57">
        <f t="shared" si="31"/>
        <v>100</v>
      </c>
      <c r="K78" s="90">
        <f t="shared" si="32"/>
        <v>20</v>
      </c>
      <c r="L78" s="87">
        <v>1</v>
      </c>
      <c r="M78" s="87">
        <v>1</v>
      </c>
      <c r="N78" s="87">
        <v>1</v>
      </c>
      <c r="O78" s="89">
        <f t="shared" si="33"/>
        <v>3</v>
      </c>
      <c r="P78" s="57">
        <f t="shared" si="34"/>
        <v>100</v>
      </c>
      <c r="Q78" s="90">
        <f t="shared" si="35"/>
        <v>80</v>
      </c>
      <c r="R78" s="87">
        <v>1</v>
      </c>
      <c r="S78" s="87">
        <v>1</v>
      </c>
      <c r="T78" s="87">
        <v>1</v>
      </c>
      <c r="U78" s="89">
        <f t="shared" si="36"/>
        <v>3</v>
      </c>
      <c r="V78" s="57">
        <f t="shared" si="37"/>
        <v>100</v>
      </c>
      <c r="W78" s="90">
        <f t="shared" si="38"/>
        <v>20</v>
      </c>
      <c r="X78" s="91">
        <f t="shared" si="39"/>
        <v>120</v>
      </c>
      <c r="Y78" s="92">
        <f t="shared" si="40"/>
        <v>100</v>
      </c>
      <c r="Z78" s="93" t="str">
        <f t="shared" si="41"/>
        <v>Advancing</v>
      </c>
      <c r="AB78" s="2"/>
      <c r="AC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6"/>
      <c r="AT78" s="41">
        <f t="shared" si="42"/>
        <v>100</v>
      </c>
      <c r="AU78" s="41">
        <f t="shared" si="43"/>
        <v>100</v>
      </c>
      <c r="AV78" s="41">
        <f t="shared" si="44"/>
        <v>100</v>
      </c>
      <c r="AX78" s="6"/>
    </row>
    <row r="79" spans="1:50" ht="18" customHeight="1">
      <c r="A79" s="35">
        <f>INPUT!A77</f>
        <v>14</v>
      </c>
      <c r="B79" s="35" t="str">
        <f>INPUT!B77</f>
        <v>2022-00030</v>
      </c>
      <c r="C79" s="35" t="str">
        <f>INPUT!C77</f>
        <v>Logronio, Cherry Pearl</v>
      </c>
      <c r="D79" s="87">
        <v>1</v>
      </c>
      <c r="E79" s="87">
        <v>1</v>
      </c>
      <c r="F79" s="87">
        <v>1</v>
      </c>
      <c r="G79" s="87">
        <v>1</v>
      </c>
      <c r="H79" s="87">
        <v>1</v>
      </c>
      <c r="I79" s="89">
        <f t="shared" si="30"/>
        <v>5</v>
      </c>
      <c r="J79" s="57">
        <f t="shared" si="31"/>
        <v>100</v>
      </c>
      <c r="K79" s="90">
        <f t="shared" si="32"/>
        <v>20</v>
      </c>
      <c r="L79" s="87">
        <v>1</v>
      </c>
      <c r="M79" s="87">
        <v>1</v>
      </c>
      <c r="N79" s="87">
        <v>1</v>
      </c>
      <c r="O79" s="89">
        <f t="shared" si="33"/>
        <v>3</v>
      </c>
      <c r="P79" s="57">
        <f t="shared" si="34"/>
        <v>100</v>
      </c>
      <c r="Q79" s="90">
        <f t="shared" si="35"/>
        <v>80</v>
      </c>
      <c r="R79" s="87">
        <v>1</v>
      </c>
      <c r="S79" s="87">
        <v>1</v>
      </c>
      <c r="T79" s="87">
        <v>1</v>
      </c>
      <c r="U79" s="89">
        <f t="shared" si="36"/>
        <v>3</v>
      </c>
      <c r="V79" s="57">
        <f t="shared" si="37"/>
        <v>100</v>
      </c>
      <c r="W79" s="90">
        <f t="shared" si="38"/>
        <v>20</v>
      </c>
      <c r="X79" s="91">
        <f t="shared" si="39"/>
        <v>120</v>
      </c>
      <c r="Y79" s="92">
        <f t="shared" si="40"/>
        <v>100</v>
      </c>
      <c r="Z79" s="93" t="str">
        <f t="shared" si="41"/>
        <v>Advancing</v>
      </c>
      <c r="AB79" s="2"/>
      <c r="AC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6"/>
      <c r="AT79" s="41">
        <f t="shared" si="42"/>
        <v>100</v>
      </c>
      <c r="AU79" s="41">
        <f t="shared" si="43"/>
        <v>100</v>
      </c>
      <c r="AV79" s="41">
        <f t="shared" si="44"/>
        <v>100</v>
      </c>
      <c r="AX79" s="6"/>
    </row>
    <row r="80" spans="1:50" ht="18" customHeight="1">
      <c r="A80" s="35">
        <f>INPUT!A78</f>
        <v>15</v>
      </c>
      <c r="B80" s="35" t="str">
        <f>INPUT!B78</f>
        <v>2022-00031</v>
      </c>
      <c r="C80" s="35" t="str">
        <f>INPUT!C78</f>
        <v>Mayo, Hershey Lhe</v>
      </c>
      <c r="D80" s="87">
        <v>1</v>
      </c>
      <c r="E80" s="87">
        <v>1</v>
      </c>
      <c r="F80" s="87">
        <v>1</v>
      </c>
      <c r="G80" s="87">
        <v>1</v>
      </c>
      <c r="H80" s="87">
        <v>1</v>
      </c>
      <c r="I80" s="89">
        <f t="shared" si="30"/>
        <v>5</v>
      </c>
      <c r="J80" s="57">
        <f t="shared" si="31"/>
        <v>100</v>
      </c>
      <c r="K80" s="90">
        <f t="shared" si="32"/>
        <v>20</v>
      </c>
      <c r="L80" s="87">
        <v>1</v>
      </c>
      <c r="M80" s="87">
        <v>1</v>
      </c>
      <c r="N80" s="87">
        <v>1</v>
      </c>
      <c r="O80" s="89">
        <f t="shared" si="33"/>
        <v>3</v>
      </c>
      <c r="P80" s="57">
        <f t="shared" si="34"/>
        <v>100</v>
      </c>
      <c r="Q80" s="90">
        <f t="shared" si="35"/>
        <v>80</v>
      </c>
      <c r="R80" s="87">
        <v>1</v>
      </c>
      <c r="S80" s="87">
        <v>1</v>
      </c>
      <c r="T80" s="87">
        <v>1</v>
      </c>
      <c r="U80" s="89">
        <f t="shared" si="36"/>
        <v>3</v>
      </c>
      <c r="V80" s="57">
        <f t="shared" si="37"/>
        <v>100</v>
      </c>
      <c r="W80" s="90">
        <f t="shared" si="38"/>
        <v>20</v>
      </c>
      <c r="X80" s="91">
        <f t="shared" si="39"/>
        <v>120</v>
      </c>
      <c r="Y80" s="92">
        <f t="shared" si="40"/>
        <v>100</v>
      </c>
      <c r="Z80" s="93" t="str">
        <f t="shared" si="41"/>
        <v>Advancing</v>
      </c>
      <c r="AB80" s="2"/>
      <c r="AC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6"/>
      <c r="AT80" s="41">
        <f t="shared" si="42"/>
        <v>100</v>
      </c>
      <c r="AU80" s="41">
        <f t="shared" si="43"/>
        <v>100</v>
      </c>
      <c r="AV80" s="41">
        <f t="shared" si="44"/>
        <v>100</v>
      </c>
      <c r="AX80" s="6"/>
    </row>
    <row r="81" spans="1:50" ht="18" customHeight="1">
      <c r="A81" s="35">
        <f>INPUT!A79</f>
        <v>16</v>
      </c>
      <c r="B81" s="35" t="str">
        <f>INPUT!B79</f>
        <v>2023-00591</v>
      </c>
      <c r="C81" s="35" t="str">
        <f>INPUT!C79</f>
        <v>Minguito, Vibriel</v>
      </c>
      <c r="D81" s="87">
        <v>1</v>
      </c>
      <c r="E81" s="87">
        <v>1</v>
      </c>
      <c r="F81" s="87">
        <v>1</v>
      </c>
      <c r="G81" s="87">
        <v>1</v>
      </c>
      <c r="H81" s="87">
        <v>1</v>
      </c>
      <c r="I81" s="89">
        <f t="shared" si="30"/>
        <v>5</v>
      </c>
      <c r="J81" s="57">
        <f t="shared" si="31"/>
        <v>100</v>
      </c>
      <c r="K81" s="90">
        <f t="shared" si="32"/>
        <v>20</v>
      </c>
      <c r="L81" s="87">
        <v>1</v>
      </c>
      <c r="M81" s="87">
        <v>1</v>
      </c>
      <c r="N81" s="87">
        <v>1</v>
      </c>
      <c r="O81" s="89">
        <f t="shared" si="33"/>
        <v>3</v>
      </c>
      <c r="P81" s="57">
        <f t="shared" si="34"/>
        <v>100</v>
      </c>
      <c r="Q81" s="90">
        <f t="shared" si="35"/>
        <v>80</v>
      </c>
      <c r="R81" s="87">
        <v>1</v>
      </c>
      <c r="S81" s="87">
        <v>1</v>
      </c>
      <c r="T81" s="87">
        <v>1</v>
      </c>
      <c r="U81" s="89">
        <f t="shared" si="36"/>
        <v>3</v>
      </c>
      <c r="V81" s="57">
        <f t="shared" si="37"/>
        <v>100</v>
      </c>
      <c r="W81" s="90">
        <f t="shared" si="38"/>
        <v>20</v>
      </c>
      <c r="X81" s="91">
        <f t="shared" si="39"/>
        <v>120</v>
      </c>
      <c r="Y81" s="92">
        <f t="shared" si="40"/>
        <v>100</v>
      </c>
      <c r="Z81" s="93" t="str">
        <f t="shared" si="41"/>
        <v>Advancing</v>
      </c>
      <c r="AB81" s="2"/>
      <c r="AC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6"/>
      <c r="AT81" s="41">
        <f t="shared" si="42"/>
        <v>100</v>
      </c>
      <c r="AU81" s="41">
        <f t="shared" si="43"/>
        <v>100</v>
      </c>
      <c r="AV81" s="41">
        <f t="shared" si="44"/>
        <v>100</v>
      </c>
      <c r="AX81" s="6"/>
    </row>
    <row r="82" spans="1:50" ht="18" customHeight="1">
      <c r="A82" s="35">
        <f>INPUT!A80</f>
        <v>17</v>
      </c>
      <c r="B82" s="35" t="str">
        <f>INPUT!B80</f>
        <v>2023-00513</v>
      </c>
      <c r="C82" s="35" t="str">
        <f>INPUT!C80</f>
        <v>OCASION, ELISHA MAE</v>
      </c>
      <c r="D82" s="87">
        <v>1</v>
      </c>
      <c r="E82" s="87">
        <v>1</v>
      </c>
      <c r="F82" s="87">
        <v>1</v>
      </c>
      <c r="G82" s="87">
        <v>1</v>
      </c>
      <c r="H82" s="87">
        <v>1</v>
      </c>
      <c r="I82" s="89">
        <f t="shared" si="30"/>
        <v>5</v>
      </c>
      <c r="J82" s="57">
        <f t="shared" si="31"/>
        <v>100</v>
      </c>
      <c r="K82" s="90">
        <f t="shared" si="32"/>
        <v>20</v>
      </c>
      <c r="L82" s="87">
        <v>1</v>
      </c>
      <c r="M82" s="87">
        <v>1</v>
      </c>
      <c r="N82" s="87">
        <v>1</v>
      </c>
      <c r="O82" s="89">
        <f t="shared" si="33"/>
        <v>3</v>
      </c>
      <c r="P82" s="57">
        <f t="shared" si="34"/>
        <v>100</v>
      </c>
      <c r="Q82" s="90">
        <f t="shared" si="35"/>
        <v>80</v>
      </c>
      <c r="R82" s="87">
        <v>1</v>
      </c>
      <c r="S82" s="87">
        <v>1</v>
      </c>
      <c r="T82" s="87">
        <v>1</v>
      </c>
      <c r="U82" s="89">
        <f t="shared" si="36"/>
        <v>3</v>
      </c>
      <c r="V82" s="57">
        <f t="shared" si="37"/>
        <v>100</v>
      </c>
      <c r="W82" s="90">
        <f t="shared" si="38"/>
        <v>20</v>
      </c>
      <c r="X82" s="91">
        <f t="shared" si="39"/>
        <v>120</v>
      </c>
      <c r="Y82" s="92">
        <f t="shared" si="40"/>
        <v>100</v>
      </c>
      <c r="Z82" s="93" t="str">
        <f t="shared" si="41"/>
        <v>Advancing</v>
      </c>
      <c r="AB82" s="2"/>
      <c r="AC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6"/>
      <c r="AT82" s="41">
        <f t="shared" si="42"/>
        <v>100</v>
      </c>
      <c r="AU82" s="41">
        <f t="shared" si="43"/>
        <v>100</v>
      </c>
      <c r="AV82" s="41">
        <f t="shared" si="44"/>
        <v>100</v>
      </c>
      <c r="AX82" s="6"/>
    </row>
    <row r="83" spans="1:50" ht="18" customHeight="1">
      <c r="A83" s="35">
        <f>INPUT!A81</f>
        <v>18</v>
      </c>
      <c r="B83" s="35" t="str">
        <f>INPUT!B81</f>
        <v>2022-00032</v>
      </c>
      <c r="C83" s="35" t="str">
        <f>INPUT!C81</f>
        <v>Omega, Jabeah Kharla</v>
      </c>
      <c r="D83" s="87">
        <v>1</v>
      </c>
      <c r="E83" s="87">
        <v>1</v>
      </c>
      <c r="F83" s="87">
        <v>1</v>
      </c>
      <c r="G83" s="87">
        <v>1</v>
      </c>
      <c r="H83" s="87">
        <v>1</v>
      </c>
      <c r="I83" s="89">
        <f t="shared" si="30"/>
        <v>5</v>
      </c>
      <c r="J83" s="57">
        <f t="shared" si="31"/>
        <v>100</v>
      </c>
      <c r="K83" s="90">
        <f t="shared" si="32"/>
        <v>20</v>
      </c>
      <c r="L83" s="87">
        <v>1</v>
      </c>
      <c r="M83" s="87">
        <v>1</v>
      </c>
      <c r="N83" s="87">
        <v>1</v>
      </c>
      <c r="O83" s="89">
        <f t="shared" si="33"/>
        <v>3</v>
      </c>
      <c r="P83" s="57">
        <f t="shared" si="34"/>
        <v>100</v>
      </c>
      <c r="Q83" s="90">
        <f t="shared" si="35"/>
        <v>80</v>
      </c>
      <c r="R83" s="87">
        <v>1</v>
      </c>
      <c r="S83" s="87">
        <v>1</v>
      </c>
      <c r="T83" s="87">
        <v>1</v>
      </c>
      <c r="U83" s="89">
        <f t="shared" si="36"/>
        <v>3</v>
      </c>
      <c r="V83" s="57">
        <f t="shared" si="37"/>
        <v>100</v>
      </c>
      <c r="W83" s="90">
        <f t="shared" si="38"/>
        <v>20</v>
      </c>
      <c r="X83" s="91">
        <f t="shared" si="39"/>
        <v>120</v>
      </c>
      <c r="Y83" s="92">
        <f t="shared" si="40"/>
        <v>100</v>
      </c>
      <c r="Z83" s="93" t="str">
        <f t="shared" si="41"/>
        <v>Advancing</v>
      </c>
      <c r="AB83" s="2"/>
      <c r="AC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6"/>
      <c r="AT83" s="41">
        <f t="shared" si="42"/>
        <v>100</v>
      </c>
      <c r="AU83" s="41">
        <f t="shared" si="43"/>
        <v>100</v>
      </c>
      <c r="AV83" s="41">
        <f t="shared" si="44"/>
        <v>100</v>
      </c>
      <c r="AX83" s="6"/>
    </row>
    <row r="84" spans="1:50" ht="18" customHeight="1">
      <c r="A84" s="35">
        <f>INPUT!A82</f>
        <v>19</v>
      </c>
      <c r="B84" s="35" t="str">
        <f>INPUT!B82</f>
        <v>2022-00077</v>
      </c>
      <c r="C84" s="35" t="str">
        <f>INPUT!C82</f>
        <v>Pacli-an, Quennie Joy</v>
      </c>
      <c r="D84" s="87">
        <v>1</v>
      </c>
      <c r="E84" s="87">
        <v>1</v>
      </c>
      <c r="F84" s="87">
        <v>1</v>
      </c>
      <c r="G84" s="87">
        <v>1</v>
      </c>
      <c r="H84" s="87">
        <v>1</v>
      </c>
      <c r="I84" s="89">
        <f t="shared" si="30"/>
        <v>5</v>
      </c>
      <c r="J84" s="57">
        <f t="shared" si="31"/>
        <v>100</v>
      </c>
      <c r="K84" s="90">
        <f t="shared" si="32"/>
        <v>20</v>
      </c>
      <c r="L84" s="87">
        <v>1</v>
      </c>
      <c r="M84" s="87">
        <v>1</v>
      </c>
      <c r="N84" s="87">
        <v>1</v>
      </c>
      <c r="O84" s="89">
        <f t="shared" si="33"/>
        <v>3</v>
      </c>
      <c r="P84" s="57">
        <f t="shared" si="34"/>
        <v>100</v>
      </c>
      <c r="Q84" s="90">
        <f t="shared" si="35"/>
        <v>80</v>
      </c>
      <c r="R84" s="87">
        <v>1</v>
      </c>
      <c r="S84" s="87">
        <v>1</v>
      </c>
      <c r="T84" s="87">
        <v>1</v>
      </c>
      <c r="U84" s="89">
        <f t="shared" si="36"/>
        <v>3</v>
      </c>
      <c r="V84" s="57">
        <f t="shared" si="37"/>
        <v>100</v>
      </c>
      <c r="W84" s="90">
        <f t="shared" si="38"/>
        <v>20</v>
      </c>
      <c r="X84" s="91">
        <f t="shared" si="39"/>
        <v>120</v>
      </c>
      <c r="Y84" s="92">
        <f t="shared" si="40"/>
        <v>100</v>
      </c>
      <c r="Z84" s="93" t="str">
        <f t="shared" si="41"/>
        <v>Advancing</v>
      </c>
      <c r="AB84" s="2"/>
      <c r="AC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6"/>
      <c r="AT84" s="41">
        <f t="shared" si="42"/>
        <v>100</v>
      </c>
      <c r="AU84" s="41">
        <f t="shared" si="43"/>
        <v>100</v>
      </c>
      <c r="AV84" s="41">
        <f t="shared" si="44"/>
        <v>100</v>
      </c>
      <c r="AX84" s="6"/>
    </row>
    <row r="85" spans="1:50" ht="18" customHeight="1">
      <c r="A85" s="35">
        <f>INPUT!A83</f>
        <v>20</v>
      </c>
      <c r="B85" s="35" t="str">
        <f>INPUT!B83</f>
        <v>2022-00033</v>
      </c>
      <c r="C85" s="35" t="str">
        <f>INPUT!C83</f>
        <v>Pasco, Raechelle Vyene</v>
      </c>
      <c r="D85" s="87">
        <v>1</v>
      </c>
      <c r="E85" s="87">
        <v>1</v>
      </c>
      <c r="F85" s="87">
        <v>1</v>
      </c>
      <c r="G85" s="87">
        <v>1</v>
      </c>
      <c r="H85" s="87">
        <v>1</v>
      </c>
      <c r="I85" s="89">
        <f t="shared" si="30"/>
        <v>5</v>
      </c>
      <c r="J85" s="57">
        <f t="shared" si="31"/>
        <v>100</v>
      </c>
      <c r="K85" s="90">
        <f t="shared" si="32"/>
        <v>20</v>
      </c>
      <c r="L85" s="87">
        <v>1</v>
      </c>
      <c r="M85" s="87">
        <v>1</v>
      </c>
      <c r="N85" s="87">
        <v>1</v>
      </c>
      <c r="O85" s="89">
        <f t="shared" si="33"/>
        <v>3</v>
      </c>
      <c r="P85" s="57">
        <f t="shared" si="34"/>
        <v>100</v>
      </c>
      <c r="Q85" s="90">
        <f t="shared" si="35"/>
        <v>80</v>
      </c>
      <c r="R85" s="87">
        <v>1</v>
      </c>
      <c r="S85" s="87">
        <v>1</v>
      </c>
      <c r="T85" s="87">
        <v>1</v>
      </c>
      <c r="U85" s="89">
        <f t="shared" si="36"/>
        <v>3</v>
      </c>
      <c r="V85" s="57">
        <f t="shared" si="37"/>
        <v>100</v>
      </c>
      <c r="W85" s="90">
        <f t="shared" si="38"/>
        <v>20</v>
      </c>
      <c r="X85" s="91">
        <f t="shared" si="39"/>
        <v>120</v>
      </c>
      <c r="Y85" s="92">
        <f t="shared" si="40"/>
        <v>100</v>
      </c>
      <c r="Z85" s="93" t="str">
        <f t="shared" si="41"/>
        <v>Advancing</v>
      </c>
      <c r="AB85" s="2"/>
      <c r="AC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6"/>
      <c r="AT85" s="41">
        <f t="shared" si="42"/>
        <v>100</v>
      </c>
      <c r="AU85" s="41">
        <f t="shared" si="43"/>
        <v>100</v>
      </c>
      <c r="AV85" s="41">
        <f t="shared" si="44"/>
        <v>100</v>
      </c>
      <c r="AX85" s="6"/>
    </row>
    <row r="86" spans="1:50" ht="18" customHeight="1">
      <c r="A86" s="35">
        <f>INPUT!A84</f>
        <v>21</v>
      </c>
      <c r="B86" s="35" t="str">
        <f>INPUT!B84</f>
        <v>2022-00036</v>
      </c>
      <c r="C86" s="35" t="str">
        <f>INPUT!C84</f>
        <v>Sagadsad, Daphney</v>
      </c>
      <c r="D86" s="87">
        <v>1</v>
      </c>
      <c r="E86" s="87">
        <v>1</v>
      </c>
      <c r="F86" s="87">
        <v>1</v>
      </c>
      <c r="G86" s="87">
        <v>1</v>
      </c>
      <c r="H86" s="87">
        <v>1</v>
      </c>
      <c r="I86" s="89">
        <f t="shared" si="30"/>
        <v>5</v>
      </c>
      <c r="J86" s="57">
        <f t="shared" si="31"/>
        <v>100</v>
      </c>
      <c r="K86" s="90">
        <f t="shared" si="32"/>
        <v>20</v>
      </c>
      <c r="L86" s="87">
        <v>1</v>
      </c>
      <c r="M86" s="87">
        <v>1</v>
      </c>
      <c r="N86" s="87">
        <v>1</v>
      </c>
      <c r="O86" s="89">
        <f t="shared" si="33"/>
        <v>3</v>
      </c>
      <c r="P86" s="57">
        <f t="shared" si="34"/>
        <v>100</v>
      </c>
      <c r="Q86" s="90">
        <f t="shared" si="35"/>
        <v>80</v>
      </c>
      <c r="R86" s="87">
        <v>1</v>
      </c>
      <c r="S86" s="87">
        <v>1</v>
      </c>
      <c r="T86" s="87">
        <v>1</v>
      </c>
      <c r="U86" s="89">
        <f t="shared" si="36"/>
        <v>3</v>
      </c>
      <c r="V86" s="57">
        <f t="shared" si="37"/>
        <v>100</v>
      </c>
      <c r="W86" s="90">
        <f t="shared" si="38"/>
        <v>20</v>
      </c>
      <c r="X86" s="91">
        <f t="shared" si="39"/>
        <v>120</v>
      </c>
      <c r="Y86" s="92">
        <f t="shared" si="40"/>
        <v>100</v>
      </c>
      <c r="Z86" s="93" t="str">
        <f t="shared" si="41"/>
        <v>Advancing</v>
      </c>
      <c r="AB86" s="2"/>
      <c r="AC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6"/>
      <c r="AT86" s="41">
        <f t="shared" si="42"/>
        <v>100</v>
      </c>
      <c r="AU86" s="41">
        <f t="shared" si="43"/>
        <v>100</v>
      </c>
      <c r="AV86" s="41">
        <f t="shared" si="44"/>
        <v>100</v>
      </c>
      <c r="AX86" s="6"/>
    </row>
    <row r="87" spans="1:50" ht="18" customHeight="1">
      <c r="A87" s="35">
        <f>INPUT!A85</f>
        <v>22</v>
      </c>
      <c r="B87" s="35" t="str">
        <f>INPUT!B85</f>
        <v>2022-00037</v>
      </c>
      <c r="C87" s="35" t="str">
        <f>INPUT!C85</f>
        <v>Sendrijas, Zeleen</v>
      </c>
      <c r="D87" s="87">
        <v>1</v>
      </c>
      <c r="E87" s="87">
        <v>1</v>
      </c>
      <c r="F87" s="87">
        <v>1</v>
      </c>
      <c r="G87" s="87">
        <v>1</v>
      </c>
      <c r="H87" s="87">
        <v>1</v>
      </c>
      <c r="I87" s="89">
        <f t="shared" si="30"/>
        <v>5</v>
      </c>
      <c r="J87" s="57">
        <f t="shared" si="31"/>
        <v>100</v>
      </c>
      <c r="K87" s="90">
        <f t="shared" si="32"/>
        <v>20</v>
      </c>
      <c r="L87" s="87">
        <v>1</v>
      </c>
      <c r="M87" s="87">
        <v>1</v>
      </c>
      <c r="N87" s="87">
        <v>1</v>
      </c>
      <c r="O87" s="89">
        <f t="shared" si="33"/>
        <v>3</v>
      </c>
      <c r="P87" s="57">
        <f t="shared" si="34"/>
        <v>100</v>
      </c>
      <c r="Q87" s="90">
        <f t="shared" si="35"/>
        <v>80</v>
      </c>
      <c r="R87" s="87">
        <v>1</v>
      </c>
      <c r="S87" s="87">
        <v>1</v>
      </c>
      <c r="T87" s="87">
        <v>1</v>
      </c>
      <c r="U87" s="89">
        <f t="shared" si="36"/>
        <v>3</v>
      </c>
      <c r="V87" s="57">
        <f t="shared" si="37"/>
        <v>100</v>
      </c>
      <c r="W87" s="90">
        <f t="shared" si="38"/>
        <v>20</v>
      </c>
      <c r="X87" s="91">
        <f t="shared" si="39"/>
        <v>120</v>
      </c>
      <c r="Y87" s="92">
        <f t="shared" si="40"/>
        <v>100</v>
      </c>
      <c r="Z87" s="93" t="str">
        <f t="shared" si="41"/>
        <v>Advancing</v>
      </c>
      <c r="AB87" s="2"/>
      <c r="AC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6"/>
      <c r="AT87" s="41">
        <f t="shared" si="42"/>
        <v>100</v>
      </c>
      <c r="AU87" s="41">
        <f t="shared" si="43"/>
        <v>100</v>
      </c>
      <c r="AV87" s="41">
        <f t="shared" si="44"/>
        <v>100</v>
      </c>
      <c r="AX87" s="6"/>
    </row>
    <row r="88" spans="1:50" ht="18" customHeight="1">
      <c r="A88" s="35">
        <f>INPUT!A86</f>
        <v>23</v>
      </c>
      <c r="B88" s="35" t="str">
        <f>INPUT!B86</f>
        <v>2023-00429</v>
      </c>
      <c r="C88" s="35" t="str">
        <f>INPUT!C86</f>
        <v>Tero, Samantha Nichole</v>
      </c>
      <c r="D88" s="87">
        <v>1</v>
      </c>
      <c r="E88" s="87">
        <v>1</v>
      </c>
      <c r="F88" s="87">
        <v>1</v>
      </c>
      <c r="G88" s="87">
        <v>1</v>
      </c>
      <c r="H88" s="87">
        <v>1</v>
      </c>
      <c r="I88" s="89">
        <f t="shared" si="30"/>
        <v>5</v>
      </c>
      <c r="J88" s="57">
        <f t="shared" si="31"/>
        <v>100</v>
      </c>
      <c r="K88" s="90">
        <f t="shared" si="32"/>
        <v>20</v>
      </c>
      <c r="L88" s="87">
        <v>1</v>
      </c>
      <c r="M88" s="87">
        <v>1</v>
      </c>
      <c r="N88" s="87">
        <v>1</v>
      </c>
      <c r="O88" s="89">
        <f t="shared" si="33"/>
        <v>3</v>
      </c>
      <c r="P88" s="57">
        <f t="shared" si="34"/>
        <v>100</v>
      </c>
      <c r="Q88" s="90">
        <f t="shared" si="35"/>
        <v>80</v>
      </c>
      <c r="R88" s="87">
        <v>1</v>
      </c>
      <c r="S88" s="87">
        <v>1</v>
      </c>
      <c r="T88" s="87">
        <v>1</v>
      </c>
      <c r="U88" s="89">
        <f t="shared" si="36"/>
        <v>3</v>
      </c>
      <c r="V88" s="57">
        <f t="shared" si="37"/>
        <v>100</v>
      </c>
      <c r="W88" s="90">
        <f t="shared" si="38"/>
        <v>20</v>
      </c>
      <c r="X88" s="91">
        <f t="shared" si="39"/>
        <v>120</v>
      </c>
      <c r="Y88" s="92">
        <f t="shared" si="40"/>
        <v>100</v>
      </c>
      <c r="Z88" s="93" t="str">
        <f t="shared" si="41"/>
        <v>Advancing</v>
      </c>
      <c r="AB88" s="2"/>
      <c r="AC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6"/>
      <c r="AT88" s="41">
        <f t="shared" si="42"/>
        <v>100</v>
      </c>
      <c r="AU88" s="41">
        <f t="shared" si="43"/>
        <v>100</v>
      </c>
      <c r="AV88" s="41">
        <f t="shared" si="44"/>
        <v>100</v>
      </c>
      <c r="AX88" s="6"/>
    </row>
    <row r="89" spans="1:50" ht="18" customHeight="1">
      <c r="A89" s="35">
        <f>INPUT!A87</f>
        <v>24</v>
      </c>
      <c r="B89" s="35" t="str">
        <f>INPUT!B87</f>
        <v>2022-00039</v>
      </c>
      <c r="C89" s="35" t="str">
        <f>INPUT!C87</f>
        <v>Toledo, Sarah Mae</v>
      </c>
      <c r="D89" s="87">
        <v>1</v>
      </c>
      <c r="E89" s="87">
        <v>1</v>
      </c>
      <c r="F89" s="87">
        <v>1</v>
      </c>
      <c r="G89" s="87">
        <v>1</v>
      </c>
      <c r="H89" s="87">
        <v>1</v>
      </c>
      <c r="I89" s="89">
        <f t="shared" si="30"/>
        <v>5</v>
      </c>
      <c r="J89" s="57">
        <f t="shared" si="31"/>
        <v>100</v>
      </c>
      <c r="K89" s="90">
        <f t="shared" si="32"/>
        <v>20</v>
      </c>
      <c r="L89" s="87">
        <v>1</v>
      </c>
      <c r="M89" s="87">
        <v>1</v>
      </c>
      <c r="N89" s="87">
        <v>1</v>
      </c>
      <c r="O89" s="89">
        <f t="shared" si="33"/>
        <v>3</v>
      </c>
      <c r="P89" s="57">
        <f t="shared" si="34"/>
        <v>100</v>
      </c>
      <c r="Q89" s="90">
        <f t="shared" si="35"/>
        <v>80</v>
      </c>
      <c r="R89" s="87">
        <v>1</v>
      </c>
      <c r="S89" s="87">
        <v>1</v>
      </c>
      <c r="T89" s="87">
        <v>1</v>
      </c>
      <c r="U89" s="89">
        <f t="shared" si="36"/>
        <v>3</v>
      </c>
      <c r="V89" s="57">
        <f t="shared" si="37"/>
        <v>100</v>
      </c>
      <c r="W89" s="90">
        <f t="shared" si="38"/>
        <v>20</v>
      </c>
      <c r="X89" s="91">
        <f t="shared" si="39"/>
        <v>120</v>
      </c>
      <c r="Y89" s="92">
        <f t="shared" si="40"/>
        <v>100</v>
      </c>
      <c r="Z89" s="93" t="str">
        <f t="shared" si="41"/>
        <v>Advancing</v>
      </c>
      <c r="AB89" s="2"/>
      <c r="AC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6"/>
      <c r="AT89" s="41">
        <f t="shared" si="42"/>
        <v>100</v>
      </c>
      <c r="AU89" s="41">
        <f t="shared" si="43"/>
        <v>100</v>
      </c>
      <c r="AV89" s="41">
        <f t="shared" si="44"/>
        <v>100</v>
      </c>
      <c r="AX89" s="6"/>
    </row>
    <row r="90" spans="1:50" ht="18" customHeight="1">
      <c r="A90" s="35">
        <f>INPUT!A88</f>
        <v>25</v>
      </c>
      <c r="B90" s="35" t="str">
        <f>INPUT!B88</f>
        <v>2022-00040</v>
      </c>
      <c r="C90" s="35" t="str">
        <f>INPUT!C88</f>
        <v>Urdaneta, Khloue Aysel</v>
      </c>
      <c r="D90" s="87">
        <v>1</v>
      </c>
      <c r="E90" s="87">
        <v>1</v>
      </c>
      <c r="F90" s="87">
        <v>1</v>
      </c>
      <c r="G90" s="87">
        <v>1</v>
      </c>
      <c r="H90" s="87">
        <v>1</v>
      </c>
      <c r="I90" s="89">
        <f t="shared" si="30"/>
        <v>5</v>
      </c>
      <c r="J90" s="57">
        <f t="shared" si="31"/>
        <v>100</v>
      </c>
      <c r="K90" s="90">
        <f t="shared" si="32"/>
        <v>20</v>
      </c>
      <c r="L90" s="87">
        <v>1</v>
      </c>
      <c r="M90" s="87">
        <v>1</v>
      </c>
      <c r="N90" s="87">
        <v>1</v>
      </c>
      <c r="O90" s="89">
        <f t="shared" si="33"/>
        <v>3</v>
      </c>
      <c r="P90" s="57">
        <f t="shared" si="34"/>
        <v>100</v>
      </c>
      <c r="Q90" s="90">
        <f t="shared" si="35"/>
        <v>80</v>
      </c>
      <c r="R90" s="87">
        <v>1</v>
      </c>
      <c r="S90" s="87">
        <v>1</v>
      </c>
      <c r="T90" s="87">
        <v>1</v>
      </c>
      <c r="U90" s="89">
        <f t="shared" si="36"/>
        <v>3</v>
      </c>
      <c r="V90" s="57">
        <f t="shared" si="37"/>
        <v>100</v>
      </c>
      <c r="W90" s="90">
        <f t="shared" si="38"/>
        <v>20</v>
      </c>
      <c r="X90" s="91">
        <f t="shared" si="39"/>
        <v>120</v>
      </c>
      <c r="Y90" s="92">
        <f t="shared" si="40"/>
        <v>100</v>
      </c>
      <c r="Z90" s="93" t="str">
        <f t="shared" si="41"/>
        <v>Advancing</v>
      </c>
      <c r="AB90" s="2"/>
      <c r="AC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6"/>
      <c r="AT90" s="41">
        <f t="shared" si="42"/>
        <v>100</v>
      </c>
      <c r="AU90" s="41">
        <f t="shared" si="43"/>
        <v>100</v>
      </c>
      <c r="AV90" s="41">
        <f t="shared" si="44"/>
        <v>100</v>
      </c>
      <c r="AX90" s="6"/>
    </row>
    <row r="91" spans="1:50" ht="18" customHeight="1">
      <c r="A91" s="35">
        <f>INPUT!A89</f>
        <v>26</v>
      </c>
      <c r="B91" s="35" t="str">
        <f>INPUT!B89</f>
        <v>2022-00042</v>
      </c>
      <c r="C91" s="35" t="str">
        <f>INPUT!C89</f>
        <v>Villacencio, Kharla</v>
      </c>
      <c r="D91" s="87">
        <v>1</v>
      </c>
      <c r="E91" s="87">
        <v>1</v>
      </c>
      <c r="F91" s="87">
        <v>1</v>
      </c>
      <c r="G91" s="87">
        <v>1</v>
      </c>
      <c r="H91" s="87">
        <v>1</v>
      </c>
      <c r="I91" s="89">
        <f t="shared" si="30"/>
        <v>5</v>
      </c>
      <c r="J91" s="57">
        <f t="shared" si="31"/>
        <v>100</v>
      </c>
      <c r="K91" s="90">
        <f t="shared" si="32"/>
        <v>20</v>
      </c>
      <c r="L91" s="87">
        <v>1</v>
      </c>
      <c r="M91" s="87">
        <v>1</v>
      </c>
      <c r="N91" s="87">
        <v>1</v>
      </c>
      <c r="O91" s="89">
        <f t="shared" si="33"/>
        <v>3</v>
      </c>
      <c r="P91" s="57">
        <f t="shared" si="34"/>
        <v>100</v>
      </c>
      <c r="Q91" s="90">
        <f t="shared" si="35"/>
        <v>80</v>
      </c>
      <c r="R91" s="87">
        <v>1</v>
      </c>
      <c r="S91" s="87">
        <v>1</v>
      </c>
      <c r="T91" s="87">
        <v>1</v>
      </c>
      <c r="U91" s="89">
        <f t="shared" si="36"/>
        <v>3</v>
      </c>
      <c r="V91" s="57">
        <f t="shared" si="37"/>
        <v>100</v>
      </c>
      <c r="W91" s="90">
        <f t="shared" si="38"/>
        <v>20</v>
      </c>
      <c r="X91" s="91">
        <f t="shared" si="39"/>
        <v>120</v>
      </c>
      <c r="Y91" s="92">
        <f t="shared" si="40"/>
        <v>100</v>
      </c>
      <c r="Z91" s="93" t="str">
        <f t="shared" si="41"/>
        <v>Advancing</v>
      </c>
      <c r="AB91" s="2"/>
      <c r="AC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6"/>
      <c r="AT91" s="41">
        <f t="shared" si="42"/>
        <v>100</v>
      </c>
      <c r="AU91" s="41">
        <f t="shared" si="43"/>
        <v>100</v>
      </c>
      <c r="AV91" s="41">
        <f t="shared" si="44"/>
        <v>100</v>
      </c>
      <c r="AX91" s="6"/>
    </row>
    <row r="92" spans="1:50" ht="18" customHeight="1">
      <c r="A92" s="35">
        <f>INPUT!A90</f>
        <v>0</v>
      </c>
      <c r="B92" s="35">
        <f>INPUT!B90</f>
        <v>0</v>
      </c>
      <c r="C92" s="35">
        <f>INPUT!C90</f>
        <v>0</v>
      </c>
      <c r="D92" s="87"/>
      <c r="E92" s="88"/>
      <c r="F92" s="88"/>
      <c r="G92" s="88"/>
      <c r="H92" s="88"/>
      <c r="I92" s="89" t="str">
        <f t="shared" si="30"/>
        <v/>
      </c>
      <c r="J92" s="57" t="str">
        <f t="shared" si="31"/>
        <v/>
      </c>
      <c r="K92" s="90" t="str">
        <f t="shared" si="32"/>
        <v/>
      </c>
      <c r="L92" s="87"/>
      <c r="M92" s="88"/>
      <c r="N92" s="88"/>
      <c r="O92" s="89" t="str">
        <f t="shared" si="33"/>
        <v/>
      </c>
      <c r="P92" s="57" t="str">
        <f t="shared" si="34"/>
        <v/>
      </c>
      <c r="Q92" s="90" t="str">
        <f t="shared" si="35"/>
        <v/>
      </c>
      <c r="R92" s="87"/>
      <c r="S92" s="88"/>
      <c r="T92" s="88"/>
      <c r="U92" s="89" t="str">
        <f t="shared" si="36"/>
        <v/>
      </c>
      <c r="V92" s="57" t="str">
        <f t="shared" si="37"/>
        <v/>
      </c>
      <c r="W92" s="90" t="str">
        <f t="shared" si="38"/>
        <v/>
      </c>
      <c r="X92" s="91" t="str">
        <f t="shared" si="39"/>
        <v/>
      </c>
      <c r="Y92" s="92" t="str">
        <f t="shared" si="40"/>
        <v/>
      </c>
      <c r="Z92" s="93" t="str">
        <f t="shared" si="41"/>
        <v/>
      </c>
      <c r="AB92" s="2"/>
      <c r="AC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6"/>
      <c r="AT92" s="41">
        <f t="shared" si="42"/>
        <v>0</v>
      </c>
      <c r="AU92" s="41">
        <f t="shared" si="43"/>
        <v>0</v>
      </c>
      <c r="AV92" s="41">
        <f t="shared" si="44"/>
        <v>0</v>
      </c>
      <c r="AX92" s="6"/>
    </row>
    <row r="93" spans="1:50" ht="18" customHeight="1">
      <c r="A93" s="35">
        <f>INPUT!A91</f>
        <v>0</v>
      </c>
      <c r="B93" s="35">
        <f>INPUT!B91</f>
        <v>0</v>
      </c>
      <c r="C93" s="35">
        <f>INPUT!C91</f>
        <v>0</v>
      </c>
      <c r="D93" s="87"/>
      <c r="E93" s="88"/>
      <c r="F93" s="88"/>
      <c r="G93" s="88"/>
      <c r="H93" s="88"/>
      <c r="I93" s="89" t="str">
        <f t="shared" si="30"/>
        <v/>
      </c>
      <c r="J93" s="57" t="str">
        <f t="shared" si="31"/>
        <v/>
      </c>
      <c r="K93" s="90" t="str">
        <f t="shared" si="32"/>
        <v/>
      </c>
      <c r="L93" s="87"/>
      <c r="M93" s="88"/>
      <c r="N93" s="88"/>
      <c r="O93" s="89" t="str">
        <f t="shared" si="33"/>
        <v/>
      </c>
      <c r="P93" s="57" t="str">
        <f t="shared" si="34"/>
        <v/>
      </c>
      <c r="Q93" s="90" t="str">
        <f t="shared" si="35"/>
        <v/>
      </c>
      <c r="R93" s="87"/>
      <c r="S93" s="88"/>
      <c r="T93" s="88"/>
      <c r="U93" s="89" t="str">
        <f t="shared" si="36"/>
        <v/>
      </c>
      <c r="V93" s="57" t="str">
        <f t="shared" si="37"/>
        <v/>
      </c>
      <c r="W93" s="90" t="str">
        <f t="shared" si="38"/>
        <v/>
      </c>
      <c r="X93" s="91" t="str">
        <f t="shared" si="39"/>
        <v/>
      </c>
      <c r="Y93" s="92" t="str">
        <f t="shared" si="40"/>
        <v/>
      </c>
      <c r="Z93" s="93" t="str">
        <f t="shared" si="41"/>
        <v/>
      </c>
      <c r="AB93" s="2"/>
      <c r="AC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6"/>
      <c r="AT93" s="41">
        <f t="shared" si="42"/>
        <v>0</v>
      </c>
      <c r="AU93" s="41">
        <f t="shared" si="43"/>
        <v>0</v>
      </c>
      <c r="AV93" s="41">
        <f t="shared" si="44"/>
        <v>0</v>
      </c>
      <c r="AX93" s="6"/>
    </row>
    <row r="94" spans="1:50" ht="18" customHeight="1">
      <c r="A94" s="35">
        <f>INPUT!A92</f>
        <v>0</v>
      </c>
      <c r="B94" s="35">
        <f>INPUT!B92</f>
        <v>0</v>
      </c>
      <c r="C94" s="35">
        <f>INPUT!C92</f>
        <v>0</v>
      </c>
      <c r="D94" s="87"/>
      <c r="E94" s="88"/>
      <c r="F94" s="88"/>
      <c r="G94" s="88"/>
      <c r="H94" s="88"/>
      <c r="I94" s="89" t="str">
        <f t="shared" si="30"/>
        <v/>
      </c>
      <c r="J94" s="57" t="str">
        <f t="shared" si="31"/>
        <v/>
      </c>
      <c r="K94" s="90" t="str">
        <f t="shared" si="32"/>
        <v/>
      </c>
      <c r="L94" s="87"/>
      <c r="M94" s="88"/>
      <c r="N94" s="88"/>
      <c r="O94" s="89" t="str">
        <f t="shared" si="33"/>
        <v/>
      </c>
      <c r="P94" s="57" t="str">
        <f t="shared" si="34"/>
        <v/>
      </c>
      <c r="Q94" s="90" t="str">
        <f t="shared" si="35"/>
        <v/>
      </c>
      <c r="R94" s="87"/>
      <c r="S94" s="88"/>
      <c r="T94" s="88"/>
      <c r="U94" s="89" t="str">
        <f t="shared" si="36"/>
        <v/>
      </c>
      <c r="V94" s="57" t="str">
        <f t="shared" si="37"/>
        <v/>
      </c>
      <c r="W94" s="90" t="str">
        <f t="shared" si="38"/>
        <v/>
      </c>
      <c r="X94" s="91" t="str">
        <f t="shared" si="39"/>
        <v/>
      </c>
      <c r="Y94" s="92" t="str">
        <f t="shared" si="40"/>
        <v/>
      </c>
      <c r="Z94" s="93" t="str">
        <f t="shared" si="41"/>
        <v/>
      </c>
      <c r="AB94" s="2"/>
      <c r="AC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6"/>
      <c r="AT94" s="41">
        <f t="shared" si="42"/>
        <v>0</v>
      </c>
      <c r="AU94" s="41">
        <f t="shared" si="43"/>
        <v>0</v>
      </c>
      <c r="AV94" s="41">
        <f t="shared" si="44"/>
        <v>0</v>
      </c>
      <c r="AX94" s="6"/>
    </row>
    <row r="95" spans="1:50" ht="18" customHeight="1">
      <c r="A95" s="35">
        <f>INPUT!A93</f>
        <v>0</v>
      </c>
      <c r="B95" s="35">
        <f>INPUT!B93</f>
        <v>0</v>
      </c>
      <c r="C95" s="35">
        <f>INPUT!C93</f>
        <v>0</v>
      </c>
      <c r="D95" s="87"/>
      <c r="E95" s="88"/>
      <c r="F95" s="88"/>
      <c r="G95" s="88"/>
      <c r="H95" s="88"/>
      <c r="I95" s="89" t="str">
        <f t="shared" si="30"/>
        <v/>
      </c>
      <c r="J95" s="57" t="str">
        <f t="shared" si="31"/>
        <v/>
      </c>
      <c r="K95" s="90" t="str">
        <f t="shared" si="32"/>
        <v/>
      </c>
      <c r="L95" s="87"/>
      <c r="M95" s="88"/>
      <c r="N95" s="88"/>
      <c r="O95" s="89" t="str">
        <f t="shared" si="33"/>
        <v/>
      </c>
      <c r="P95" s="57" t="str">
        <f t="shared" si="34"/>
        <v/>
      </c>
      <c r="Q95" s="90" t="str">
        <f t="shared" si="35"/>
        <v/>
      </c>
      <c r="R95" s="87"/>
      <c r="S95" s="88"/>
      <c r="T95" s="88"/>
      <c r="U95" s="89" t="str">
        <f t="shared" si="36"/>
        <v/>
      </c>
      <c r="V95" s="57" t="str">
        <f t="shared" si="37"/>
        <v/>
      </c>
      <c r="W95" s="90" t="str">
        <f t="shared" si="38"/>
        <v/>
      </c>
      <c r="X95" s="91" t="str">
        <f t="shared" si="39"/>
        <v/>
      </c>
      <c r="Y95" s="92" t="str">
        <f t="shared" si="40"/>
        <v/>
      </c>
      <c r="Z95" s="93" t="str">
        <f t="shared" si="41"/>
        <v/>
      </c>
      <c r="AB95" s="2"/>
      <c r="AC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6"/>
      <c r="AT95" s="41">
        <f t="shared" si="42"/>
        <v>0</v>
      </c>
      <c r="AU95" s="41">
        <f t="shared" si="43"/>
        <v>0</v>
      </c>
      <c r="AV95" s="41">
        <f t="shared" si="44"/>
        <v>0</v>
      </c>
      <c r="AX95" s="6"/>
    </row>
    <row r="96" spans="1:50" ht="18" customHeight="1">
      <c r="A96" s="35">
        <f>INPUT!A94</f>
        <v>0</v>
      </c>
      <c r="B96" s="35">
        <f>INPUT!B94</f>
        <v>0</v>
      </c>
      <c r="C96" s="35">
        <f>INPUT!C94</f>
        <v>0</v>
      </c>
      <c r="D96" s="87"/>
      <c r="E96" s="88"/>
      <c r="F96" s="88"/>
      <c r="G96" s="88"/>
      <c r="H96" s="88"/>
      <c r="I96" s="89" t="str">
        <f t="shared" si="30"/>
        <v/>
      </c>
      <c r="J96" s="57" t="str">
        <f t="shared" si="31"/>
        <v/>
      </c>
      <c r="K96" s="90" t="str">
        <f t="shared" si="32"/>
        <v/>
      </c>
      <c r="L96" s="87"/>
      <c r="M96" s="88"/>
      <c r="N96" s="88"/>
      <c r="O96" s="89" t="str">
        <f t="shared" si="33"/>
        <v/>
      </c>
      <c r="P96" s="57" t="str">
        <f t="shared" si="34"/>
        <v/>
      </c>
      <c r="Q96" s="90" t="str">
        <f t="shared" si="35"/>
        <v/>
      </c>
      <c r="R96" s="87"/>
      <c r="S96" s="88"/>
      <c r="T96" s="88"/>
      <c r="U96" s="89" t="str">
        <f t="shared" si="36"/>
        <v/>
      </c>
      <c r="V96" s="57" t="str">
        <f t="shared" si="37"/>
        <v/>
      </c>
      <c r="W96" s="90" t="str">
        <f t="shared" si="38"/>
        <v/>
      </c>
      <c r="X96" s="91" t="str">
        <f t="shared" si="39"/>
        <v/>
      </c>
      <c r="Y96" s="92" t="str">
        <f t="shared" si="40"/>
        <v/>
      </c>
      <c r="Z96" s="93" t="str">
        <f t="shared" si="41"/>
        <v/>
      </c>
      <c r="AB96" s="2"/>
      <c r="AC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6"/>
      <c r="AT96" s="41">
        <f t="shared" si="42"/>
        <v>0</v>
      </c>
      <c r="AU96" s="41">
        <f t="shared" si="43"/>
        <v>0</v>
      </c>
      <c r="AV96" s="41">
        <f t="shared" si="44"/>
        <v>0</v>
      </c>
      <c r="AX96" s="6"/>
    </row>
    <row r="97" spans="1:50" ht="18" customHeight="1">
      <c r="A97" s="35">
        <f>INPUT!A95</f>
        <v>0</v>
      </c>
      <c r="B97" s="35">
        <f>INPUT!B95</f>
        <v>0</v>
      </c>
      <c r="C97" s="35">
        <f>INPUT!C95</f>
        <v>0</v>
      </c>
      <c r="D97" s="87"/>
      <c r="E97" s="88"/>
      <c r="F97" s="88"/>
      <c r="G97" s="88"/>
      <c r="H97" s="88"/>
      <c r="I97" s="89" t="str">
        <f t="shared" si="30"/>
        <v/>
      </c>
      <c r="J97" s="57" t="str">
        <f t="shared" si="31"/>
        <v/>
      </c>
      <c r="K97" s="90" t="str">
        <f t="shared" si="32"/>
        <v/>
      </c>
      <c r="L97" s="87"/>
      <c r="M97" s="88"/>
      <c r="N97" s="88"/>
      <c r="O97" s="89" t="str">
        <f t="shared" si="33"/>
        <v/>
      </c>
      <c r="P97" s="57" t="str">
        <f t="shared" si="34"/>
        <v/>
      </c>
      <c r="Q97" s="90" t="str">
        <f t="shared" si="35"/>
        <v/>
      </c>
      <c r="R97" s="87"/>
      <c r="S97" s="88"/>
      <c r="T97" s="88"/>
      <c r="U97" s="89" t="str">
        <f t="shared" si="36"/>
        <v/>
      </c>
      <c r="V97" s="57" t="str">
        <f t="shared" si="37"/>
        <v/>
      </c>
      <c r="W97" s="90" t="str">
        <f t="shared" si="38"/>
        <v/>
      </c>
      <c r="X97" s="91" t="str">
        <f t="shared" si="39"/>
        <v/>
      </c>
      <c r="Y97" s="92" t="str">
        <f t="shared" si="40"/>
        <v/>
      </c>
      <c r="Z97" s="93" t="str">
        <f t="shared" si="41"/>
        <v/>
      </c>
      <c r="AB97" s="2"/>
      <c r="AC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6"/>
      <c r="AT97" s="41">
        <f t="shared" si="42"/>
        <v>0</v>
      </c>
      <c r="AU97" s="41">
        <f t="shared" si="43"/>
        <v>0</v>
      </c>
      <c r="AV97" s="41">
        <f t="shared" si="44"/>
        <v>0</v>
      </c>
      <c r="AX97" s="6"/>
    </row>
    <row r="98" spans="1:50" ht="18" customHeight="1">
      <c r="A98" s="35">
        <f>INPUT!A96</f>
        <v>0</v>
      </c>
      <c r="B98" s="35">
        <f>INPUT!B96</f>
        <v>0</v>
      </c>
      <c r="C98" s="35">
        <f>INPUT!C96</f>
        <v>0</v>
      </c>
      <c r="D98" s="87"/>
      <c r="E98" s="88"/>
      <c r="F98" s="88"/>
      <c r="G98" s="88"/>
      <c r="H98" s="88"/>
      <c r="I98" s="89" t="str">
        <f t="shared" ref="I98:I116" si="45">IF(COUNT($D98:$H98)=0,"",SUM($D98:$H98))</f>
        <v/>
      </c>
      <c r="J98" s="57" t="str">
        <f t="shared" ref="J98:J116" si="46">IF(ISERROR(IF($I98="","",ROUND(($I98/$I$10)*$J$10,2))),"",IF($I98="","",ROUND(($I98/$I$10)*$J$10,2)))</f>
        <v/>
      </c>
      <c r="K98" s="90" t="str">
        <f t="shared" ref="K98:K116" si="47">IF($J98="","",ROUND($J98*$K$10,2))</f>
        <v/>
      </c>
      <c r="L98" s="87"/>
      <c r="M98" s="88"/>
      <c r="N98" s="88"/>
      <c r="O98" s="89" t="str">
        <f t="shared" ref="O98:O116" si="48">IF(COUNT($L98:$N98)=0,"",SUM($L98:$N98))</f>
        <v/>
      </c>
      <c r="P98" s="57" t="str">
        <f t="shared" ref="P98:P116" si="49">IF(ISERROR(IF($O98="","",ROUND(($O98/$O$10)*$P$10,2))),"",IF($O98="","",ROUND(($O98/$O$10)*$P$10,2)))</f>
        <v/>
      </c>
      <c r="Q98" s="90" t="str">
        <f t="shared" ref="Q98:Q116" si="50">IF($P98="","",ROUND($P98*$Q$10,2))</f>
        <v/>
      </c>
      <c r="R98" s="87"/>
      <c r="S98" s="88"/>
      <c r="T98" s="88"/>
      <c r="U98" s="89" t="str">
        <f t="shared" ref="U98:U116" si="51">IF(COUNT($R98:$T98)=0,"",SUM($R98:$T98))</f>
        <v/>
      </c>
      <c r="V98" s="57" t="str">
        <f t="shared" ref="V98:V116" si="52">IF(ISERROR(IF($U98="","",ROUND(($U98/$U$10)*$V$10,2))),"",IF($U98="","",ROUND(($U98/$U$10)*$V$10,2)))</f>
        <v/>
      </c>
      <c r="W98" s="90" t="str">
        <f t="shared" ref="W98:W116" si="53">IF($V98="","",ROUND($V98*$W$10,2))</f>
        <v/>
      </c>
      <c r="X98" s="91" t="str">
        <f t="shared" ref="X98:X116" si="54">IF(ISERROR(IF($T98="","",ROUND(SUM($K98,$Q98,$W98),2))),"",IF($T98="","",ROUND(SUM($K98,$Q98,$W98),2)))</f>
        <v/>
      </c>
      <c r="Y98" s="92" t="str">
        <f t="shared" ref="Y98:Y129" si="55">IF(ISERROR(IF($T98="","",VLOOKUP(X98,NewTransmu,4,TRUE))),"",IF($T98="","",VLOOKUP(X98,NewTransmu,4,TRUE)))</f>
        <v/>
      </c>
      <c r="Z98" s="93" t="str">
        <f t="shared" ref="Z98:Z129" si="56">IF(ISERROR(IF(Y98="","",VLOOKUP(Y98,DESCRIPTORS,4,TRUE))),"",IF(Y98="","",VLOOKUP(Y98,DESCRIPTORS,4,TRUE)))</f>
        <v/>
      </c>
      <c r="AB98" s="2"/>
      <c r="AC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6"/>
      <c r="AT98" s="41">
        <f t="shared" ref="AT98:AT116" si="57">(R98/$R$10)*100</f>
        <v>0</v>
      </c>
      <c r="AU98" s="41">
        <f t="shared" ref="AU98:AU116" si="58">(S98/$S$10)*100</f>
        <v>0</v>
      </c>
      <c r="AV98" s="41">
        <f t="shared" ref="AV98:AV116" si="59">(T98/$T$10)*100</f>
        <v>0</v>
      </c>
      <c r="AX98" s="6"/>
    </row>
    <row r="99" spans="1:50" ht="18" customHeight="1">
      <c r="A99" s="35">
        <f>INPUT!A97</f>
        <v>0</v>
      </c>
      <c r="B99" s="35">
        <f>INPUT!B97</f>
        <v>0</v>
      </c>
      <c r="C99" s="35">
        <f>INPUT!C97</f>
        <v>0</v>
      </c>
      <c r="D99" s="87"/>
      <c r="E99" s="88"/>
      <c r="F99" s="88"/>
      <c r="G99" s="88"/>
      <c r="H99" s="88"/>
      <c r="I99" s="89" t="str">
        <f t="shared" si="45"/>
        <v/>
      </c>
      <c r="J99" s="57" t="str">
        <f t="shared" si="46"/>
        <v/>
      </c>
      <c r="K99" s="90" t="str">
        <f t="shared" si="47"/>
        <v/>
      </c>
      <c r="L99" s="87"/>
      <c r="M99" s="88"/>
      <c r="N99" s="88"/>
      <c r="O99" s="89" t="str">
        <f t="shared" si="48"/>
        <v/>
      </c>
      <c r="P99" s="57" t="str">
        <f t="shared" si="49"/>
        <v/>
      </c>
      <c r="Q99" s="90" t="str">
        <f t="shared" si="50"/>
        <v/>
      </c>
      <c r="R99" s="87"/>
      <c r="S99" s="88"/>
      <c r="T99" s="88"/>
      <c r="U99" s="89" t="str">
        <f t="shared" si="51"/>
        <v/>
      </c>
      <c r="V99" s="57" t="str">
        <f t="shared" si="52"/>
        <v/>
      </c>
      <c r="W99" s="90" t="str">
        <f t="shared" si="53"/>
        <v/>
      </c>
      <c r="X99" s="91" t="str">
        <f t="shared" si="54"/>
        <v/>
      </c>
      <c r="Y99" s="92" t="str">
        <f t="shared" si="55"/>
        <v/>
      </c>
      <c r="Z99" s="93" t="str">
        <f t="shared" si="56"/>
        <v/>
      </c>
      <c r="AB99" s="2"/>
      <c r="AC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6"/>
      <c r="AT99" s="41">
        <f t="shared" si="57"/>
        <v>0</v>
      </c>
      <c r="AU99" s="41">
        <f t="shared" si="58"/>
        <v>0</v>
      </c>
      <c r="AV99" s="41">
        <f t="shared" si="59"/>
        <v>0</v>
      </c>
      <c r="AX99" s="6"/>
    </row>
    <row r="100" spans="1:50" ht="18" customHeight="1">
      <c r="A100" s="35">
        <f>INPUT!A98</f>
        <v>0</v>
      </c>
      <c r="B100" s="35">
        <f>INPUT!B98</f>
        <v>0</v>
      </c>
      <c r="C100" s="35">
        <f>INPUT!C98</f>
        <v>0</v>
      </c>
      <c r="D100" s="87"/>
      <c r="E100" s="88"/>
      <c r="F100" s="88"/>
      <c r="G100" s="88"/>
      <c r="H100" s="88"/>
      <c r="I100" s="89" t="str">
        <f t="shared" si="45"/>
        <v/>
      </c>
      <c r="J100" s="57" t="str">
        <f t="shared" si="46"/>
        <v/>
      </c>
      <c r="K100" s="90" t="str">
        <f t="shared" si="47"/>
        <v/>
      </c>
      <c r="L100" s="87"/>
      <c r="M100" s="88"/>
      <c r="N100" s="88"/>
      <c r="O100" s="89" t="str">
        <f t="shared" si="48"/>
        <v/>
      </c>
      <c r="P100" s="57" t="str">
        <f t="shared" si="49"/>
        <v/>
      </c>
      <c r="Q100" s="90" t="str">
        <f t="shared" si="50"/>
        <v/>
      </c>
      <c r="R100" s="87"/>
      <c r="S100" s="88"/>
      <c r="T100" s="88"/>
      <c r="U100" s="89" t="str">
        <f t="shared" si="51"/>
        <v/>
      </c>
      <c r="V100" s="57" t="str">
        <f t="shared" si="52"/>
        <v/>
      </c>
      <c r="W100" s="90" t="str">
        <f t="shared" si="53"/>
        <v/>
      </c>
      <c r="X100" s="91" t="str">
        <f t="shared" si="54"/>
        <v/>
      </c>
      <c r="Y100" s="92" t="str">
        <f t="shared" si="55"/>
        <v/>
      </c>
      <c r="Z100" s="93" t="str">
        <f t="shared" si="56"/>
        <v/>
      </c>
      <c r="AB100" s="2"/>
      <c r="AC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6"/>
      <c r="AT100" s="41">
        <f t="shared" si="57"/>
        <v>0</v>
      </c>
      <c r="AU100" s="41">
        <f t="shared" si="58"/>
        <v>0</v>
      </c>
      <c r="AV100" s="41">
        <f t="shared" si="59"/>
        <v>0</v>
      </c>
      <c r="AX100" s="6"/>
    </row>
    <row r="101" spans="1:50" ht="18" customHeight="1">
      <c r="A101" s="35">
        <f>INPUT!A99</f>
        <v>0</v>
      </c>
      <c r="B101" s="35">
        <f>INPUT!B99</f>
        <v>0</v>
      </c>
      <c r="C101" s="35">
        <f>INPUT!C99</f>
        <v>0</v>
      </c>
      <c r="D101" s="87"/>
      <c r="E101" s="88"/>
      <c r="F101" s="88"/>
      <c r="G101" s="88"/>
      <c r="H101" s="88"/>
      <c r="I101" s="89" t="str">
        <f t="shared" si="45"/>
        <v/>
      </c>
      <c r="J101" s="57" t="str">
        <f t="shared" si="46"/>
        <v/>
      </c>
      <c r="K101" s="90" t="str">
        <f t="shared" si="47"/>
        <v/>
      </c>
      <c r="L101" s="87"/>
      <c r="M101" s="88"/>
      <c r="N101" s="88"/>
      <c r="O101" s="89" t="str">
        <f t="shared" si="48"/>
        <v/>
      </c>
      <c r="P101" s="57" t="str">
        <f t="shared" si="49"/>
        <v/>
      </c>
      <c r="Q101" s="90" t="str">
        <f t="shared" si="50"/>
        <v/>
      </c>
      <c r="R101" s="87"/>
      <c r="S101" s="88"/>
      <c r="T101" s="88"/>
      <c r="U101" s="89" t="str">
        <f t="shared" si="51"/>
        <v/>
      </c>
      <c r="V101" s="57" t="str">
        <f t="shared" si="52"/>
        <v/>
      </c>
      <c r="W101" s="90" t="str">
        <f t="shared" si="53"/>
        <v/>
      </c>
      <c r="X101" s="91" t="str">
        <f t="shared" si="54"/>
        <v/>
      </c>
      <c r="Y101" s="92" t="str">
        <f t="shared" si="55"/>
        <v/>
      </c>
      <c r="Z101" s="93" t="str">
        <f t="shared" si="56"/>
        <v/>
      </c>
      <c r="AB101" s="2"/>
      <c r="AC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6"/>
      <c r="AT101" s="41">
        <f t="shared" si="57"/>
        <v>0</v>
      </c>
      <c r="AU101" s="41">
        <f t="shared" si="58"/>
        <v>0</v>
      </c>
      <c r="AV101" s="41">
        <f t="shared" si="59"/>
        <v>0</v>
      </c>
      <c r="AX101" s="6"/>
    </row>
    <row r="102" spans="1:50" ht="18" customHeight="1">
      <c r="A102" s="35">
        <f>INPUT!A100</f>
        <v>0</v>
      </c>
      <c r="B102" s="35">
        <f>INPUT!B100</f>
        <v>0</v>
      </c>
      <c r="C102" s="35">
        <f>INPUT!C100</f>
        <v>0</v>
      </c>
      <c r="D102" s="87"/>
      <c r="E102" s="88"/>
      <c r="F102" s="88"/>
      <c r="G102" s="88"/>
      <c r="H102" s="88"/>
      <c r="I102" s="89" t="str">
        <f t="shared" si="45"/>
        <v/>
      </c>
      <c r="J102" s="57" t="str">
        <f t="shared" si="46"/>
        <v/>
      </c>
      <c r="K102" s="90" t="str">
        <f t="shared" si="47"/>
        <v/>
      </c>
      <c r="L102" s="87"/>
      <c r="M102" s="88"/>
      <c r="N102" s="88"/>
      <c r="O102" s="89" t="str">
        <f t="shared" si="48"/>
        <v/>
      </c>
      <c r="P102" s="57" t="str">
        <f t="shared" si="49"/>
        <v/>
      </c>
      <c r="Q102" s="90" t="str">
        <f t="shared" si="50"/>
        <v/>
      </c>
      <c r="R102" s="87"/>
      <c r="S102" s="88"/>
      <c r="T102" s="88"/>
      <c r="U102" s="89" t="str">
        <f t="shared" si="51"/>
        <v/>
      </c>
      <c r="V102" s="57" t="str">
        <f t="shared" si="52"/>
        <v/>
      </c>
      <c r="W102" s="90" t="str">
        <f t="shared" si="53"/>
        <v/>
      </c>
      <c r="X102" s="91" t="str">
        <f t="shared" si="54"/>
        <v/>
      </c>
      <c r="Y102" s="92" t="str">
        <f t="shared" si="55"/>
        <v/>
      </c>
      <c r="Z102" s="93" t="str">
        <f t="shared" si="56"/>
        <v/>
      </c>
      <c r="AB102" s="2"/>
      <c r="AC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6"/>
      <c r="AT102" s="41">
        <f t="shared" si="57"/>
        <v>0</v>
      </c>
      <c r="AU102" s="41">
        <f t="shared" si="58"/>
        <v>0</v>
      </c>
      <c r="AV102" s="41">
        <f t="shared" si="59"/>
        <v>0</v>
      </c>
      <c r="AX102" s="6"/>
    </row>
    <row r="103" spans="1:50" ht="18" customHeight="1">
      <c r="A103" s="35">
        <f>INPUT!A101</f>
        <v>0</v>
      </c>
      <c r="B103" s="35">
        <f>INPUT!B101</f>
        <v>0</v>
      </c>
      <c r="C103" s="35">
        <f>INPUT!C101</f>
        <v>0</v>
      </c>
      <c r="D103" s="87"/>
      <c r="E103" s="88"/>
      <c r="F103" s="88"/>
      <c r="G103" s="88"/>
      <c r="H103" s="88"/>
      <c r="I103" s="89" t="str">
        <f t="shared" si="45"/>
        <v/>
      </c>
      <c r="J103" s="57" t="str">
        <f t="shared" si="46"/>
        <v/>
      </c>
      <c r="K103" s="90" t="str">
        <f t="shared" si="47"/>
        <v/>
      </c>
      <c r="L103" s="87"/>
      <c r="M103" s="88"/>
      <c r="N103" s="88"/>
      <c r="O103" s="89" t="str">
        <f t="shared" si="48"/>
        <v/>
      </c>
      <c r="P103" s="57" t="str">
        <f t="shared" si="49"/>
        <v/>
      </c>
      <c r="Q103" s="90" t="str">
        <f t="shared" si="50"/>
        <v/>
      </c>
      <c r="R103" s="87"/>
      <c r="S103" s="88"/>
      <c r="T103" s="88"/>
      <c r="U103" s="89" t="str">
        <f t="shared" si="51"/>
        <v/>
      </c>
      <c r="V103" s="57" t="str">
        <f t="shared" si="52"/>
        <v/>
      </c>
      <c r="W103" s="90" t="str">
        <f t="shared" si="53"/>
        <v/>
      </c>
      <c r="X103" s="91" t="str">
        <f t="shared" si="54"/>
        <v/>
      </c>
      <c r="Y103" s="92" t="str">
        <f t="shared" si="55"/>
        <v/>
      </c>
      <c r="Z103" s="93" t="str">
        <f t="shared" si="56"/>
        <v/>
      </c>
      <c r="AB103" s="2"/>
      <c r="AC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6"/>
      <c r="AT103" s="41">
        <f t="shared" si="57"/>
        <v>0</v>
      </c>
      <c r="AU103" s="41">
        <f t="shared" si="58"/>
        <v>0</v>
      </c>
      <c r="AV103" s="41">
        <f t="shared" si="59"/>
        <v>0</v>
      </c>
      <c r="AX103" s="6"/>
    </row>
    <row r="104" spans="1:50" ht="18" customHeight="1">
      <c r="A104" s="35">
        <f>INPUT!A102</f>
        <v>0</v>
      </c>
      <c r="B104" s="35">
        <f>INPUT!B102</f>
        <v>0</v>
      </c>
      <c r="C104" s="35">
        <f>INPUT!C102</f>
        <v>0</v>
      </c>
      <c r="D104" s="87"/>
      <c r="E104" s="88"/>
      <c r="F104" s="88"/>
      <c r="G104" s="88"/>
      <c r="H104" s="88"/>
      <c r="I104" s="89" t="str">
        <f t="shared" si="45"/>
        <v/>
      </c>
      <c r="J104" s="57" t="str">
        <f t="shared" si="46"/>
        <v/>
      </c>
      <c r="K104" s="90" t="str">
        <f t="shared" si="47"/>
        <v/>
      </c>
      <c r="L104" s="87"/>
      <c r="M104" s="88"/>
      <c r="N104" s="88"/>
      <c r="O104" s="89" t="str">
        <f t="shared" si="48"/>
        <v/>
      </c>
      <c r="P104" s="57" t="str">
        <f t="shared" si="49"/>
        <v/>
      </c>
      <c r="Q104" s="90" t="str">
        <f t="shared" si="50"/>
        <v/>
      </c>
      <c r="R104" s="87"/>
      <c r="S104" s="88"/>
      <c r="T104" s="88"/>
      <c r="U104" s="89" t="str">
        <f t="shared" si="51"/>
        <v/>
      </c>
      <c r="V104" s="57" t="str">
        <f t="shared" si="52"/>
        <v/>
      </c>
      <c r="W104" s="90" t="str">
        <f t="shared" si="53"/>
        <v/>
      </c>
      <c r="X104" s="91" t="str">
        <f t="shared" si="54"/>
        <v/>
      </c>
      <c r="Y104" s="92" t="str">
        <f t="shared" si="55"/>
        <v/>
      </c>
      <c r="Z104" s="93" t="str">
        <f t="shared" si="56"/>
        <v/>
      </c>
      <c r="AB104" s="2"/>
      <c r="AC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6"/>
      <c r="AT104" s="41">
        <f t="shared" si="57"/>
        <v>0</v>
      </c>
      <c r="AU104" s="41">
        <f t="shared" si="58"/>
        <v>0</v>
      </c>
      <c r="AV104" s="41">
        <f t="shared" si="59"/>
        <v>0</v>
      </c>
      <c r="AX104" s="6"/>
    </row>
    <row r="105" spans="1:50" ht="18" customHeight="1">
      <c r="A105" s="35">
        <f>INPUT!A103</f>
        <v>0</v>
      </c>
      <c r="B105" s="35">
        <f>INPUT!B103</f>
        <v>0</v>
      </c>
      <c r="C105" s="35">
        <f>INPUT!C103</f>
        <v>0</v>
      </c>
      <c r="D105" s="87"/>
      <c r="E105" s="88"/>
      <c r="F105" s="88"/>
      <c r="G105" s="88"/>
      <c r="H105" s="88"/>
      <c r="I105" s="89" t="str">
        <f t="shared" si="45"/>
        <v/>
      </c>
      <c r="J105" s="57" t="str">
        <f t="shared" si="46"/>
        <v/>
      </c>
      <c r="K105" s="90" t="str">
        <f t="shared" si="47"/>
        <v/>
      </c>
      <c r="L105" s="87"/>
      <c r="M105" s="88"/>
      <c r="N105" s="88"/>
      <c r="O105" s="89" t="str">
        <f t="shared" si="48"/>
        <v/>
      </c>
      <c r="P105" s="57" t="str">
        <f t="shared" si="49"/>
        <v/>
      </c>
      <c r="Q105" s="90" t="str">
        <f t="shared" si="50"/>
        <v/>
      </c>
      <c r="R105" s="87"/>
      <c r="S105" s="88"/>
      <c r="T105" s="88"/>
      <c r="U105" s="89" t="str">
        <f t="shared" si="51"/>
        <v/>
      </c>
      <c r="V105" s="57" t="str">
        <f t="shared" si="52"/>
        <v/>
      </c>
      <c r="W105" s="90" t="str">
        <f t="shared" si="53"/>
        <v/>
      </c>
      <c r="X105" s="91" t="str">
        <f t="shared" si="54"/>
        <v/>
      </c>
      <c r="Y105" s="92" t="str">
        <f t="shared" si="55"/>
        <v/>
      </c>
      <c r="Z105" s="93" t="str">
        <f t="shared" si="56"/>
        <v/>
      </c>
      <c r="AB105" s="2"/>
      <c r="AC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6"/>
      <c r="AT105" s="41">
        <f t="shared" si="57"/>
        <v>0</v>
      </c>
      <c r="AU105" s="41">
        <f t="shared" si="58"/>
        <v>0</v>
      </c>
      <c r="AV105" s="41">
        <f t="shared" si="59"/>
        <v>0</v>
      </c>
      <c r="AX105" s="6"/>
    </row>
    <row r="106" spans="1:50" ht="18" customHeight="1">
      <c r="A106" s="35">
        <f>INPUT!A104</f>
        <v>0</v>
      </c>
      <c r="B106" s="35">
        <f>INPUT!B104</f>
        <v>0</v>
      </c>
      <c r="C106" s="35">
        <f>INPUT!C104</f>
        <v>0</v>
      </c>
      <c r="D106" s="87"/>
      <c r="E106" s="88"/>
      <c r="F106" s="88"/>
      <c r="G106" s="88"/>
      <c r="H106" s="88"/>
      <c r="I106" s="89" t="str">
        <f t="shared" si="45"/>
        <v/>
      </c>
      <c r="J106" s="57" t="str">
        <f t="shared" si="46"/>
        <v/>
      </c>
      <c r="K106" s="90" t="str">
        <f t="shared" si="47"/>
        <v/>
      </c>
      <c r="L106" s="87"/>
      <c r="M106" s="88"/>
      <c r="N106" s="88"/>
      <c r="O106" s="89" t="str">
        <f t="shared" si="48"/>
        <v/>
      </c>
      <c r="P106" s="57" t="str">
        <f t="shared" si="49"/>
        <v/>
      </c>
      <c r="Q106" s="90" t="str">
        <f t="shared" si="50"/>
        <v/>
      </c>
      <c r="R106" s="87"/>
      <c r="S106" s="88"/>
      <c r="T106" s="88"/>
      <c r="U106" s="89" t="str">
        <f t="shared" si="51"/>
        <v/>
      </c>
      <c r="V106" s="57" t="str">
        <f t="shared" si="52"/>
        <v/>
      </c>
      <c r="W106" s="90" t="str">
        <f t="shared" si="53"/>
        <v/>
      </c>
      <c r="X106" s="91" t="str">
        <f t="shared" si="54"/>
        <v/>
      </c>
      <c r="Y106" s="92" t="str">
        <f t="shared" si="55"/>
        <v/>
      </c>
      <c r="Z106" s="93" t="str">
        <f t="shared" si="56"/>
        <v/>
      </c>
      <c r="AB106" s="2"/>
      <c r="AC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6"/>
      <c r="AT106" s="41">
        <f t="shared" si="57"/>
        <v>0</v>
      </c>
      <c r="AU106" s="41">
        <f t="shared" si="58"/>
        <v>0</v>
      </c>
      <c r="AV106" s="41">
        <f t="shared" si="59"/>
        <v>0</v>
      </c>
      <c r="AX106" s="6"/>
    </row>
    <row r="107" spans="1:50" ht="18" customHeight="1">
      <c r="A107" s="35">
        <f>INPUT!A105</f>
        <v>0</v>
      </c>
      <c r="B107" s="35">
        <f>INPUT!B105</f>
        <v>0</v>
      </c>
      <c r="C107" s="35">
        <f>INPUT!C105</f>
        <v>0</v>
      </c>
      <c r="D107" s="87"/>
      <c r="E107" s="88"/>
      <c r="F107" s="88"/>
      <c r="G107" s="88"/>
      <c r="H107" s="88"/>
      <c r="I107" s="89" t="str">
        <f t="shared" si="45"/>
        <v/>
      </c>
      <c r="J107" s="57" t="str">
        <f t="shared" si="46"/>
        <v/>
      </c>
      <c r="K107" s="90" t="str">
        <f t="shared" si="47"/>
        <v/>
      </c>
      <c r="L107" s="87"/>
      <c r="M107" s="88"/>
      <c r="N107" s="88"/>
      <c r="O107" s="89" t="str">
        <f t="shared" si="48"/>
        <v/>
      </c>
      <c r="P107" s="57" t="str">
        <f t="shared" si="49"/>
        <v/>
      </c>
      <c r="Q107" s="90" t="str">
        <f t="shared" si="50"/>
        <v/>
      </c>
      <c r="R107" s="87"/>
      <c r="S107" s="88"/>
      <c r="T107" s="88"/>
      <c r="U107" s="89" t="str">
        <f t="shared" si="51"/>
        <v/>
      </c>
      <c r="V107" s="57" t="str">
        <f t="shared" si="52"/>
        <v/>
      </c>
      <c r="W107" s="90" t="str">
        <f t="shared" si="53"/>
        <v/>
      </c>
      <c r="X107" s="91" t="str">
        <f t="shared" si="54"/>
        <v/>
      </c>
      <c r="Y107" s="92" t="str">
        <f t="shared" si="55"/>
        <v/>
      </c>
      <c r="Z107" s="93" t="str">
        <f t="shared" si="56"/>
        <v/>
      </c>
      <c r="AB107" s="2"/>
      <c r="AC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6"/>
      <c r="AT107" s="41">
        <f t="shared" si="57"/>
        <v>0</v>
      </c>
      <c r="AU107" s="41">
        <f t="shared" si="58"/>
        <v>0</v>
      </c>
      <c r="AV107" s="41">
        <f t="shared" si="59"/>
        <v>0</v>
      </c>
      <c r="AX107" s="6"/>
    </row>
    <row r="108" spans="1:50" ht="18" customHeight="1">
      <c r="A108" s="35">
        <f>INPUT!A106</f>
        <v>0</v>
      </c>
      <c r="B108" s="35">
        <f>INPUT!B106</f>
        <v>0</v>
      </c>
      <c r="C108" s="35">
        <f>INPUT!C106</f>
        <v>0</v>
      </c>
      <c r="D108" s="87"/>
      <c r="E108" s="88"/>
      <c r="F108" s="88"/>
      <c r="G108" s="88"/>
      <c r="H108" s="88"/>
      <c r="I108" s="89" t="str">
        <f t="shared" si="45"/>
        <v/>
      </c>
      <c r="J108" s="57" t="str">
        <f t="shared" si="46"/>
        <v/>
      </c>
      <c r="K108" s="90" t="str">
        <f t="shared" si="47"/>
        <v/>
      </c>
      <c r="L108" s="87"/>
      <c r="M108" s="88"/>
      <c r="N108" s="88"/>
      <c r="O108" s="89" t="str">
        <f t="shared" si="48"/>
        <v/>
      </c>
      <c r="P108" s="57" t="str">
        <f t="shared" si="49"/>
        <v/>
      </c>
      <c r="Q108" s="90" t="str">
        <f t="shared" si="50"/>
        <v/>
      </c>
      <c r="R108" s="87"/>
      <c r="S108" s="88"/>
      <c r="T108" s="88"/>
      <c r="U108" s="89" t="str">
        <f t="shared" si="51"/>
        <v/>
      </c>
      <c r="V108" s="57" t="str">
        <f t="shared" si="52"/>
        <v/>
      </c>
      <c r="W108" s="90" t="str">
        <f t="shared" si="53"/>
        <v/>
      </c>
      <c r="X108" s="91" t="str">
        <f t="shared" si="54"/>
        <v/>
      </c>
      <c r="Y108" s="92" t="str">
        <f t="shared" si="55"/>
        <v/>
      </c>
      <c r="Z108" s="93" t="str">
        <f t="shared" si="56"/>
        <v/>
      </c>
      <c r="AB108" s="2"/>
      <c r="AC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6"/>
      <c r="AT108" s="41">
        <f t="shared" si="57"/>
        <v>0</v>
      </c>
      <c r="AU108" s="41">
        <f t="shared" si="58"/>
        <v>0</v>
      </c>
      <c r="AV108" s="41">
        <f t="shared" si="59"/>
        <v>0</v>
      </c>
      <c r="AX108" s="6"/>
    </row>
    <row r="109" spans="1:50" ht="18" customHeight="1">
      <c r="A109" s="35">
        <f>INPUT!A107</f>
        <v>0</v>
      </c>
      <c r="B109" s="35">
        <f>INPUT!B107</f>
        <v>0</v>
      </c>
      <c r="C109" s="35">
        <f>INPUT!C107</f>
        <v>0</v>
      </c>
      <c r="D109" s="87"/>
      <c r="E109" s="88"/>
      <c r="F109" s="88"/>
      <c r="G109" s="88"/>
      <c r="H109" s="88"/>
      <c r="I109" s="89" t="str">
        <f t="shared" si="45"/>
        <v/>
      </c>
      <c r="J109" s="57" t="str">
        <f t="shared" si="46"/>
        <v/>
      </c>
      <c r="K109" s="90" t="str">
        <f t="shared" si="47"/>
        <v/>
      </c>
      <c r="L109" s="87"/>
      <c r="M109" s="88"/>
      <c r="N109" s="88"/>
      <c r="O109" s="89" t="str">
        <f t="shared" si="48"/>
        <v/>
      </c>
      <c r="P109" s="57" t="str">
        <f t="shared" si="49"/>
        <v/>
      </c>
      <c r="Q109" s="90" t="str">
        <f t="shared" si="50"/>
        <v/>
      </c>
      <c r="R109" s="87"/>
      <c r="S109" s="88"/>
      <c r="T109" s="88"/>
      <c r="U109" s="89" t="str">
        <f t="shared" si="51"/>
        <v/>
      </c>
      <c r="V109" s="57" t="str">
        <f t="shared" si="52"/>
        <v/>
      </c>
      <c r="W109" s="90" t="str">
        <f t="shared" si="53"/>
        <v/>
      </c>
      <c r="X109" s="91" t="str">
        <f t="shared" si="54"/>
        <v/>
      </c>
      <c r="Y109" s="92" t="str">
        <f t="shared" si="55"/>
        <v/>
      </c>
      <c r="Z109" s="93" t="str">
        <f t="shared" si="56"/>
        <v/>
      </c>
      <c r="AB109" s="2"/>
      <c r="AC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6"/>
      <c r="AT109" s="41">
        <f t="shared" si="57"/>
        <v>0</v>
      </c>
      <c r="AU109" s="41">
        <f t="shared" si="58"/>
        <v>0</v>
      </c>
      <c r="AV109" s="41">
        <f t="shared" si="59"/>
        <v>0</v>
      </c>
      <c r="AX109" s="6"/>
    </row>
    <row r="110" spans="1:50" ht="18" customHeight="1">
      <c r="A110" s="35">
        <f>INPUT!A108</f>
        <v>0</v>
      </c>
      <c r="B110" s="35">
        <f>INPUT!B108</f>
        <v>0</v>
      </c>
      <c r="C110" s="35">
        <f>INPUT!C108</f>
        <v>0</v>
      </c>
      <c r="D110" s="87"/>
      <c r="E110" s="88"/>
      <c r="F110" s="88"/>
      <c r="G110" s="88"/>
      <c r="H110" s="88"/>
      <c r="I110" s="89" t="str">
        <f t="shared" si="45"/>
        <v/>
      </c>
      <c r="J110" s="57" t="str">
        <f t="shared" si="46"/>
        <v/>
      </c>
      <c r="K110" s="90" t="str">
        <f t="shared" si="47"/>
        <v/>
      </c>
      <c r="L110" s="87"/>
      <c r="M110" s="88"/>
      <c r="N110" s="88"/>
      <c r="O110" s="89" t="str">
        <f t="shared" si="48"/>
        <v/>
      </c>
      <c r="P110" s="57" t="str">
        <f t="shared" si="49"/>
        <v/>
      </c>
      <c r="Q110" s="90" t="str">
        <f t="shared" si="50"/>
        <v/>
      </c>
      <c r="R110" s="87"/>
      <c r="S110" s="88"/>
      <c r="T110" s="88"/>
      <c r="U110" s="89" t="str">
        <f t="shared" si="51"/>
        <v/>
      </c>
      <c r="V110" s="57" t="str">
        <f t="shared" si="52"/>
        <v/>
      </c>
      <c r="W110" s="90" t="str">
        <f t="shared" si="53"/>
        <v/>
      </c>
      <c r="X110" s="91" t="str">
        <f t="shared" si="54"/>
        <v/>
      </c>
      <c r="Y110" s="92" t="str">
        <f t="shared" si="55"/>
        <v/>
      </c>
      <c r="Z110" s="93" t="str">
        <f t="shared" si="56"/>
        <v/>
      </c>
      <c r="AB110" s="2"/>
      <c r="AC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6"/>
      <c r="AT110" s="41">
        <f t="shared" si="57"/>
        <v>0</v>
      </c>
      <c r="AU110" s="41">
        <f t="shared" si="58"/>
        <v>0</v>
      </c>
      <c r="AV110" s="41">
        <f t="shared" si="59"/>
        <v>0</v>
      </c>
      <c r="AX110" s="6"/>
    </row>
    <row r="111" spans="1:50" ht="18" customHeight="1">
      <c r="A111" s="35">
        <f>INPUT!A109</f>
        <v>0</v>
      </c>
      <c r="B111" s="35">
        <f>INPUT!B109</f>
        <v>0</v>
      </c>
      <c r="C111" s="35">
        <f>INPUT!C109</f>
        <v>0</v>
      </c>
      <c r="D111" s="87"/>
      <c r="E111" s="88"/>
      <c r="F111" s="88"/>
      <c r="G111" s="88"/>
      <c r="H111" s="88"/>
      <c r="I111" s="89" t="str">
        <f t="shared" si="45"/>
        <v/>
      </c>
      <c r="J111" s="57" t="str">
        <f t="shared" si="46"/>
        <v/>
      </c>
      <c r="K111" s="90" t="str">
        <f t="shared" si="47"/>
        <v/>
      </c>
      <c r="L111" s="87"/>
      <c r="M111" s="88"/>
      <c r="N111" s="88"/>
      <c r="O111" s="89" t="str">
        <f t="shared" si="48"/>
        <v/>
      </c>
      <c r="P111" s="57" t="str">
        <f t="shared" si="49"/>
        <v/>
      </c>
      <c r="Q111" s="90" t="str">
        <f t="shared" si="50"/>
        <v/>
      </c>
      <c r="R111" s="87"/>
      <c r="S111" s="88"/>
      <c r="T111" s="88"/>
      <c r="U111" s="89" t="str">
        <f t="shared" si="51"/>
        <v/>
      </c>
      <c r="V111" s="57" t="str">
        <f t="shared" si="52"/>
        <v/>
      </c>
      <c r="W111" s="90" t="str">
        <f t="shared" si="53"/>
        <v/>
      </c>
      <c r="X111" s="91" t="str">
        <f t="shared" si="54"/>
        <v/>
      </c>
      <c r="Y111" s="92" t="str">
        <f t="shared" si="55"/>
        <v/>
      </c>
      <c r="Z111" s="93" t="str">
        <f t="shared" si="56"/>
        <v/>
      </c>
      <c r="AB111" s="2"/>
      <c r="AC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6"/>
      <c r="AT111" s="41">
        <f t="shared" si="57"/>
        <v>0</v>
      </c>
      <c r="AU111" s="41">
        <f t="shared" si="58"/>
        <v>0</v>
      </c>
      <c r="AV111" s="41">
        <f t="shared" si="59"/>
        <v>0</v>
      </c>
      <c r="AX111" s="6"/>
    </row>
    <row r="112" spans="1:50" ht="18" customHeight="1">
      <c r="A112" s="35">
        <f>INPUT!A110</f>
        <v>0</v>
      </c>
      <c r="B112" s="35">
        <f>INPUT!B110</f>
        <v>0</v>
      </c>
      <c r="C112" s="35">
        <f>INPUT!C110</f>
        <v>0</v>
      </c>
      <c r="D112" s="87"/>
      <c r="E112" s="88"/>
      <c r="F112" s="88"/>
      <c r="G112" s="88"/>
      <c r="H112" s="88"/>
      <c r="I112" s="89" t="str">
        <f t="shared" si="45"/>
        <v/>
      </c>
      <c r="J112" s="57" t="str">
        <f t="shared" si="46"/>
        <v/>
      </c>
      <c r="K112" s="90" t="str">
        <f t="shared" si="47"/>
        <v/>
      </c>
      <c r="L112" s="87"/>
      <c r="M112" s="88"/>
      <c r="N112" s="88"/>
      <c r="O112" s="89" t="str">
        <f t="shared" si="48"/>
        <v/>
      </c>
      <c r="P112" s="57" t="str">
        <f t="shared" si="49"/>
        <v/>
      </c>
      <c r="Q112" s="90" t="str">
        <f t="shared" si="50"/>
        <v/>
      </c>
      <c r="R112" s="87"/>
      <c r="S112" s="88"/>
      <c r="T112" s="88"/>
      <c r="U112" s="89" t="str">
        <f t="shared" si="51"/>
        <v/>
      </c>
      <c r="V112" s="57" t="str">
        <f t="shared" si="52"/>
        <v/>
      </c>
      <c r="W112" s="90" t="str">
        <f t="shared" si="53"/>
        <v/>
      </c>
      <c r="X112" s="91" t="str">
        <f t="shared" si="54"/>
        <v/>
      </c>
      <c r="Y112" s="92" t="str">
        <f t="shared" si="55"/>
        <v/>
      </c>
      <c r="Z112" s="93" t="str">
        <f t="shared" si="56"/>
        <v/>
      </c>
      <c r="AB112" s="2"/>
      <c r="AC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6"/>
      <c r="AT112" s="41">
        <f t="shared" si="57"/>
        <v>0</v>
      </c>
      <c r="AU112" s="41">
        <f t="shared" si="58"/>
        <v>0</v>
      </c>
      <c r="AV112" s="41">
        <f t="shared" si="59"/>
        <v>0</v>
      </c>
      <c r="AX112" s="6"/>
    </row>
    <row r="113" spans="1:50" ht="18" customHeight="1">
      <c r="A113" s="35">
        <f>INPUT!A111</f>
        <v>0</v>
      </c>
      <c r="B113" s="35">
        <f>INPUT!B111</f>
        <v>0</v>
      </c>
      <c r="C113" s="35">
        <f>INPUT!C111</f>
        <v>0</v>
      </c>
      <c r="D113" s="87"/>
      <c r="E113" s="88"/>
      <c r="F113" s="88"/>
      <c r="G113" s="88"/>
      <c r="H113" s="88"/>
      <c r="I113" s="89" t="str">
        <f t="shared" si="45"/>
        <v/>
      </c>
      <c r="J113" s="57" t="str">
        <f t="shared" si="46"/>
        <v/>
      </c>
      <c r="K113" s="90" t="str">
        <f t="shared" si="47"/>
        <v/>
      </c>
      <c r="L113" s="87"/>
      <c r="M113" s="88"/>
      <c r="N113" s="88"/>
      <c r="O113" s="89" t="str">
        <f t="shared" si="48"/>
        <v/>
      </c>
      <c r="P113" s="57" t="str">
        <f t="shared" si="49"/>
        <v/>
      </c>
      <c r="Q113" s="90" t="str">
        <f t="shared" si="50"/>
        <v/>
      </c>
      <c r="R113" s="87"/>
      <c r="S113" s="88"/>
      <c r="T113" s="88"/>
      <c r="U113" s="89" t="str">
        <f t="shared" si="51"/>
        <v/>
      </c>
      <c r="V113" s="57" t="str">
        <f t="shared" si="52"/>
        <v/>
      </c>
      <c r="W113" s="90" t="str">
        <f t="shared" si="53"/>
        <v/>
      </c>
      <c r="X113" s="91" t="str">
        <f t="shared" si="54"/>
        <v/>
      </c>
      <c r="Y113" s="92" t="str">
        <f t="shared" si="55"/>
        <v/>
      </c>
      <c r="Z113" s="93" t="str">
        <f t="shared" si="56"/>
        <v/>
      </c>
      <c r="AB113" s="2"/>
      <c r="AC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6"/>
      <c r="AT113" s="41">
        <f t="shared" si="57"/>
        <v>0</v>
      </c>
      <c r="AU113" s="41">
        <f t="shared" si="58"/>
        <v>0</v>
      </c>
      <c r="AV113" s="41">
        <f t="shared" si="59"/>
        <v>0</v>
      </c>
      <c r="AX113" s="6"/>
    </row>
    <row r="114" spans="1:50" ht="18" customHeight="1">
      <c r="A114" s="35"/>
      <c r="B114" s="35"/>
      <c r="C114" s="35"/>
      <c r="D114" s="87"/>
      <c r="E114" s="88"/>
      <c r="F114" s="88"/>
      <c r="G114" s="88"/>
      <c r="H114" s="88"/>
      <c r="I114" s="89" t="str">
        <f t="shared" si="45"/>
        <v/>
      </c>
      <c r="J114" s="57" t="str">
        <f t="shared" si="46"/>
        <v/>
      </c>
      <c r="K114" s="90" t="str">
        <f t="shared" si="47"/>
        <v/>
      </c>
      <c r="L114" s="87"/>
      <c r="M114" s="88"/>
      <c r="N114" s="88"/>
      <c r="O114" s="89" t="str">
        <f t="shared" si="48"/>
        <v/>
      </c>
      <c r="P114" s="57" t="str">
        <f t="shared" si="49"/>
        <v/>
      </c>
      <c r="Q114" s="90" t="str">
        <f t="shared" si="50"/>
        <v/>
      </c>
      <c r="R114" s="87"/>
      <c r="S114" s="88"/>
      <c r="T114" s="88"/>
      <c r="U114" s="89" t="str">
        <f t="shared" si="51"/>
        <v/>
      </c>
      <c r="V114" s="57" t="str">
        <f t="shared" si="52"/>
        <v/>
      </c>
      <c r="W114" s="90" t="str">
        <f t="shared" si="53"/>
        <v/>
      </c>
      <c r="X114" s="91" t="str">
        <f t="shared" si="54"/>
        <v/>
      </c>
      <c r="Y114" s="92" t="str">
        <f t="shared" si="55"/>
        <v/>
      </c>
      <c r="Z114" s="93" t="str">
        <f t="shared" si="56"/>
        <v/>
      </c>
      <c r="AC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6"/>
      <c r="AT114" s="41">
        <f t="shared" si="57"/>
        <v>0</v>
      </c>
      <c r="AU114" s="41">
        <f t="shared" si="58"/>
        <v>0</v>
      </c>
      <c r="AV114" s="41">
        <f t="shared" si="59"/>
        <v>0</v>
      </c>
      <c r="AX114" s="6"/>
    </row>
    <row r="115" spans="1:50" ht="18" customHeight="1">
      <c r="A115" s="106"/>
      <c r="B115" s="214"/>
      <c r="C115" s="214"/>
      <c r="D115" s="107"/>
      <c r="E115" s="108"/>
      <c r="F115" s="108"/>
      <c r="G115" s="108"/>
      <c r="H115" s="108"/>
      <c r="I115" s="109" t="str">
        <f t="shared" si="45"/>
        <v/>
      </c>
      <c r="J115" s="110" t="str">
        <f t="shared" si="46"/>
        <v/>
      </c>
      <c r="K115" s="111" t="str">
        <f t="shared" si="47"/>
        <v/>
      </c>
      <c r="L115" s="107"/>
      <c r="M115" s="108"/>
      <c r="N115" s="108"/>
      <c r="O115" s="109" t="str">
        <f t="shared" si="48"/>
        <v/>
      </c>
      <c r="P115" s="110" t="str">
        <f t="shared" si="49"/>
        <v/>
      </c>
      <c r="Q115" s="111" t="str">
        <f t="shared" si="50"/>
        <v/>
      </c>
      <c r="R115" s="107"/>
      <c r="S115" s="108"/>
      <c r="T115" s="108"/>
      <c r="U115" s="109" t="str">
        <f t="shared" si="51"/>
        <v/>
      </c>
      <c r="V115" s="110" t="str">
        <f t="shared" si="52"/>
        <v/>
      </c>
      <c r="W115" s="111" t="str">
        <f t="shared" si="53"/>
        <v/>
      </c>
      <c r="X115" s="112" t="str">
        <f t="shared" si="54"/>
        <v/>
      </c>
      <c r="Y115" s="113" t="str">
        <f t="shared" si="55"/>
        <v/>
      </c>
      <c r="Z115" s="114" t="str">
        <f t="shared" si="56"/>
        <v/>
      </c>
      <c r="AC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6"/>
      <c r="AT115" s="41">
        <f t="shared" si="57"/>
        <v>0</v>
      </c>
      <c r="AU115" s="41">
        <f t="shared" si="58"/>
        <v>0</v>
      </c>
      <c r="AV115" s="41">
        <f t="shared" si="59"/>
        <v>0</v>
      </c>
      <c r="AX115" s="6"/>
    </row>
    <row r="116" spans="1:50" ht="18" hidden="1" customHeight="1">
      <c r="A116" s="226" t="s">
        <v>125</v>
      </c>
      <c r="B116" s="227" t="s">
        <v>126</v>
      </c>
      <c r="C116" s="228" t="s">
        <v>127</v>
      </c>
      <c r="D116" s="221"/>
      <c r="E116" s="222"/>
      <c r="F116" s="222"/>
      <c r="G116" s="222"/>
      <c r="H116" s="222"/>
      <c r="I116" s="229" t="str">
        <f t="shared" si="45"/>
        <v/>
      </c>
      <c r="J116" s="230" t="str">
        <f t="shared" si="46"/>
        <v/>
      </c>
      <c r="K116" s="231" t="str">
        <f t="shared" si="47"/>
        <v/>
      </c>
      <c r="L116" s="221"/>
      <c r="M116" s="222"/>
      <c r="N116" s="222"/>
      <c r="O116" s="229" t="str">
        <f t="shared" si="48"/>
        <v/>
      </c>
      <c r="P116" s="230" t="str">
        <f t="shared" si="49"/>
        <v/>
      </c>
      <c r="Q116" s="231" t="str">
        <f t="shared" si="50"/>
        <v/>
      </c>
      <c r="R116" s="221"/>
      <c r="S116" s="222"/>
      <c r="T116" s="222"/>
      <c r="U116" s="229" t="str">
        <f t="shared" si="51"/>
        <v/>
      </c>
      <c r="V116" s="230" t="str">
        <f t="shared" si="52"/>
        <v/>
      </c>
      <c r="W116" s="231" t="str">
        <f t="shared" si="53"/>
        <v/>
      </c>
      <c r="X116" s="232" t="str">
        <f t="shared" si="54"/>
        <v/>
      </c>
      <c r="Y116" s="233" t="str">
        <f t="shared" si="55"/>
        <v/>
      </c>
      <c r="Z116" s="234" t="str">
        <f t="shared" si="56"/>
        <v/>
      </c>
      <c r="AC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6"/>
      <c r="AT116" s="41">
        <f t="shared" si="57"/>
        <v>0</v>
      </c>
      <c r="AU116" s="41">
        <f t="shared" si="58"/>
        <v>0</v>
      </c>
      <c r="AV116" s="41">
        <f t="shared" si="59"/>
        <v>0</v>
      </c>
      <c r="AX116" s="6"/>
    </row>
    <row r="122" spans="1:50" s="2" customFormat="1">
      <c r="I122" s="3"/>
      <c r="J122" s="3"/>
      <c r="O122" s="3"/>
      <c r="P122" s="3"/>
      <c r="Q122" s="3"/>
      <c r="R122" s="3"/>
      <c r="U122" s="3"/>
      <c r="V122" s="3"/>
      <c r="W122" s="3"/>
      <c r="X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19"/>
      <c r="AS122" s="19"/>
      <c r="AT122" s="47"/>
      <c r="AU122" s="47"/>
      <c r="AV122" s="47"/>
      <c r="AW122" s="47"/>
    </row>
  </sheetData>
  <sheetProtection formatCells="0" formatColumns="0" formatRows="0" insertColumns="0" insertRows="0" insertHyperlinks="0" deleteColumns="0" deleteRows="0" sort="0" autoFilter="0" pivotTables="0"/>
  <mergeCells count="28">
    <mergeCell ref="B64:C64"/>
    <mergeCell ref="A7:C7"/>
    <mergeCell ref="X8:X10"/>
    <mergeCell ref="Y8:Y10"/>
    <mergeCell ref="A10:C10"/>
    <mergeCell ref="B11:C11"/>
    <mergeCell ref="A8:A9"/>
    <mergeCell ref="B8:B9"/>
    <mergeCell ref="C8:C9"/>
    <mergeCell ref="D8:K8"/>
    <mergeCell ref="L8:Q8"/>
    <mergeCell ref="A1:X2"/>
    <mergeCell ref="A3:X3"/>
    <mergeCell ref="D4:E4"/>
    <mergeCell ref="F4:H4"/>
    <mergeCell ref="I4:L4"/>
    <mergeCell ref="Z8:Z10"/>
    <mergeCell ref="D5:L5"/>
    <mergeCell ref="N5:O5"/>
    <mergeCell ref="P5:R5"/>
    <mergeCell ref="S5:V5"/>
    <mergeCell ref="W5:X5"/>
    <mergeCell ref="I7:K7"/>
    <mergeCell ref="L7:N7"/>
    <mergeCell ref="O7:Q7"/>
    <mergeCell ref="R7:T7"/>
    <mergeCell ref="U7:W7"/>
    <mergeCell ref="R8:W8"/>
  </mergeCells>
  <conditionalFormatting sqref="Y13:Y63">
    <cfRule type="cellIs" dxfId="22" priority="1" operator="lessThan">
      <formula>75</formula>
    </cfRule>
  </conditionalFormatting>
  <conditionalFormatting sqref="Y66:Y116">
    <cfRule type="cellIs" dxfId="21" priority="2" operator="lessThan">
      <formula>75</formula>
    </cfRule>
  </conditionalFormatting>
  <conditionalFormatting sqref="Z13:Z116">
    <cfRule type="containsText" dxfId="20" priority="3" operator="containsText" text="Emerging">
      <formula>NOT(ISERROR(SEARCH("Emerging",Z13:Z116)))</formula>
    </cfRule>
    <cfRule type="containsText" dxfId="19" priority="4" operator="containsText" text="Developing">
      <formula>NOT(ISERROR(SEARCH("Developing",Z13:Z116)))</formula>
    </cfRule>
  </conditionalFormatting>
  <printOptions horizontalCentered="1"/>
  <pageMargins left="0.7" right="0.7" top="0.75" bottom="0.75" header="0.3" footer="0.3"/>
  <rowBreaks count="1" manualBreakCount="1">
    <brk id="6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9933"/>
  </sheetPr>
  <dimension ref="A1:BH122"/>
  <sheetViews>
    <sheetView showGridLines="0" zoomScale="85" zoomScaleNormal="85" workbookViewId="0">
      <selection activeCell="Z13" sqref="Z13"/>
    </sheetView>
  </sheetViews>
  <sheetFormatPr defaultColWidth="4.7109375" defaultRowHeight="15"/>
  <cols>
    <col min="1" max="1" width="4.140625" style="2" customWidth="1"/>
    <col min="2" max="2" width="17.28515625" style="2" customWidth="1"/>
    <col min="3" max="3" width="33.42578125" style="2" customWidth="1"/>
    <col min="4" max="7" width="4.7109375" style="2"/>
    <col min="8" max="8" width="5.140625" style="2" customWidth="1"/>
    <col min="9" max="10" width="7.140625" style="3" customWidth="1"/>
    <col min="11" max="11" width="5.85546875" style="2" customWidth="1"/>
    <col min="12" max="13" width="4.7109375" style="2"/>
    <col min="14" max="14" width="6.28515625" style="2" customWidth="1"/>
    <col min="15" max="17" width="7.140625" style="3" customWidth="1"/>
    <col min="18" max="18" width="4.7109375" style="3"/>
    <col min="19" max="19" width="4.7109375" style="2"/>
    <col min="20" max="20" width="7.140625" style="2" customWidth="1"/>
    <col min="21" max="22" width="7.140625" style="3" customWidth="1"/>
    <col min="23" max="23" width="11.28515625" style="3" customWidth="1"/>
    <col min="24" max="24" width="11.28515625" style="4" customWidth="1"/>
    <col min="25" max="25" width="15.28515625" style="1" customWidth="1"/>
    <col min="26" max="26" width="18.85546875" style="1" customWidth="1"/>
    <col min="27" max="27" width="2.7109375" style="1" customWidth="1"/>
    <col min="28" max="28" width="26" style="1" customWidth="1"/>
    <col min="29" max="29" width="8.28515625" style="48" customWidth="1"/>
    <col min="30" max="30" width="8.7109375" style="48" customWidth="1"/>
    <col min="31" max="31" width="9" style="48" customWidth="1"/>
    <col min="32" max="43" width="4.7109375" style="48"/>
    <col min="44" max="45" width="4.7109375" style="5"/>
    <col min="46" max="46" width="4.7109375" style="6"/>
    <col min="47" max="47" width="4.7109375" style="6" hidden="1"/>
    <col min="48" max="49" width="4.7109375" style="6"/>
    <col min="50" max="60" width="4.7109375" style="1"/>
  </cols>
  <sheetData>
    <row r="1" spans="1:50" ht="15" customHeight="1">
      <c r="A1" s="341" t="s">
        <v>0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1"/>
      <c r="T1" s="341"/>
      <c r="U1" s="341"/>
      <c r="V1" s="341"/>
      <c r="W1" s="341"/>
      <c r="X1" s="341"/>
      <c r="Y1" s="6"/>
    </row>
    <row r="2" spans="1:50" ht="15" customHeight="1">
      <c r="A2" s="341"/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  <c r="P2" s="341"/>
      <c r="Q2" s="341"/>
      <c r="R2" s="341"/>
      <c r="S2" s="341"/>
      <c r="T2" s="341"/>
      <c r="U2" s="341"/>
      <c r="V2" s="341"/>
      <c r="W2" s="341"/>
      <c r="X2" s="341"/>
      <c r="Y2" s="6"/>
    </row>
    <row r="3" spans="1:50" ht="15" customHeight="1">
      <c r="A3" s="342"/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6"/>
    </row>
    <row r="4" spans="1:50" ht="21" customHeight="1">
      <c r="A4" s="47"/>
      <c r="C4" s="172" t="s">
        <v>2</v>
      </c>
      <c r="D4" s="324">
        <f>INPUT!H4</f>
        <v>10</v>
      </c>
      <c r="E4" s="326"/>
      <c r="F4" s="343" t="s">
        <v>3</v>
      </c>
      <c r="G4" s="344"/>
      <c r="H4" s="345"/>
      <c r="I4" s="324" t="str">
        <f>INPUT!M4</f>
        <v>CDO</v>
      </c>
      <c r="J4" s="325"/>
      <c r="K4" s="325"/>
      <c r="L4" s="326"/>
      <c r="M4" s="50"/>
      <c r="N4" s="8"/>
      <c r="O4" s="51"/>
      <c r="P4" s="52"/>
      <c r="Q4" s="52"/>
      <c r="R4" s="52"/>
      <c r="S4" s="53"/>
      <c r="T4" s="53"/>
      <c r="U4" s="124"/>
      <c r="V4" s="53"/>
      <c r="W4" s="53"/>
      <c r="X4" s="13"/>
      <c r="Y4" s="13"/>
      <c r="Z4" s="12"/>
      <c r="AA4" s="12"/>
      <c r="AB4" s="12"/>
      <c r="AC4" s="12"/>
    </row>
    <row r="5" spans="1:50" ht="21" customHeight="1">
      <c r="A5" s="47"/>
      <c r="C5" s="172" t="s">
        <v>5</v>
      </c>
      <c r="D5" s="324" t="str">
        <f>INPUT!H5</f>
        <v>Bridgette School Management System</v>
      </c>
      <c r="E5" s="325"/>
      <c r="F5" s="325"/>
      <c r="G5" s="325"/>
      <c r="H5" s="325"/>
      <c r="I5" s="325"/>
      <c r="J5" s="325"/>
      <c r="K5" s="325"/>
      <c r="L5" s="326"/>
      <c r="M5" s="50"/>
      <c r="N5" s="267" t="s">
        <v>7</v>
      </c>
      <c r="O5" s="327"/>
      <c r="P5" s="328">
        <f>INPUT!T5</f>
        <v>405198</v>
      </c>
      <c r="Q5" s="329"/>
      <c r="R5" s="330"/>
      <c r="S5" s="331" t="s">
        <v>8</v>
      </c>
      <c r="T5" s="307"/>
      <c r="U5" s="307"/>
      <c r="V5" s="332"/>
      <c r="W5" s="328" t="str">
        <f>INPUT!Z5</f>
        <v>{school_year}</v>
      </c>
      <c r="X5" s="330"/>
      <c r="Y5" s="13"/>
      <c r="Z5" s="12"/>
      <c r="AA5" s="12"/>
      <c r="AB5" s="12"/>
      <c r="AC5" s="12"/>
    </row>
    <row r="6" spans="1:50" ht="14.65" customHeight="1"/>
    <row r="7" spans="1:50" ht="23.25" customHeight="1">
      <c r="A7" s="348" t="s">
        <v>170</v>
      </c>
      <c r="B7" s="349"/>
      <c r="C7" s="350"/>
      <c r="D7" s="183" t="s">
        <v>10</v>
      </c>
      <c r="E7" s="184"/>
      <c r="F7" s="183"/>
      <c r="G7" s="182"/>
      <c r="H7" s="182"/>
      <c r="I7" s="333" t="str">
        <f>INPUT!K7</f>
        <v>Grade 8 Diamond</v>
      </c>
      <c r="J7" s="333"/>
      <c r="K7" s="334"/>
      <c r="L7" s="335" t="s">
        <v>12</v>
      </c>
      <c r="M7" s="275"/>
      <c r="N7" s="275"/>
      <c r="O7" s="336" t="str">
        <f>INPUT!R7</f>
        <v>Abueva, Apple Joy Middle Name</v>
      </c>
      <c r="P7" s="336"/>
      <c r="Q7" s="337"/>
      <c r="R7" s="335" t="s">
        <v>14</v>
      </c>
      <c r="S7" s="275"/>
      <c r="T7" s="275"/>
      <c r="U7" s="336" t="str">
        <f>INPUT!Z7</f>
        <v>Science 8</v>
      </c>
      <c r="V7" s="336"/>
      <c r="W7" s="337"/>
      <c r="X7" s="185"/>
      <c r="Y7" s="6"/>
    </row>
    <row r="8" spans="1:50" s="4" customFormat="1" ht="46.9" customHeight="1">
      <c r="A8" s="356"/>
      <c r="B8" s="358" t="s">
        <v>17</v>
      </c>
      <c r="C8" s="360" t="s">
        <v>18</v>
      </c>
      <c r="D8" s="362" t="str">
        <f>INPUT!AD7 &amp; " (" &amp; TEXT(INPUT!AL7, "0%") &amp; ")"</f>
        <v>WRITTEN / ORAL WORKS (20%)</v>
      </c>
      <c r="E8" s="363"/>
      <c r="F8" s="363"/>
      <c r="G8" s="363"/>
      <c r="H8" s="363"/>
      <c r="I8" s="363"/>
      <c r="J8" s="363"/>
      <c r="K8" s="364"/>
      <c r="L8" s="338" t="str">
        <f>INPUT!AD8 &amp; " (" &amp; TEXT(INPUT!AL8, "0%") &amp; ")"</f>
        <v>PRODUCT / PERFORMANCE TASKS (80%)</v>
      </c>
      <c r="M8" s="339"/>
      <c r="N8" s="339"/>
      <c r="O8" s="339"/>
      <c r="P8" s="339"/>
      <c r="Q8" s="340"/>
      <c r="R8" s="338" t="str">
        <f>INPUT!AD9 &amp; " (" &amp; TEXT(INPUT!AL9, "0%") &amp; ")"</f>
        <v>PLACEHOLDER (20%)</v>
      </c>
      <c r="S8" s="339"/>
      <c r="T8" s="339"/>
      <c r="U8" s="339"/>
      <c r="V8" s="339"/>
      <c r="W8" s="340"/>
      <c r="X8" s="321" t="s">
        <v>129</v>
      </c>
      <c r="Y8" s="321" t="s">
        <v>130</v>
      </c>
      <c r="Z8" s="321" t="s">
        <v>131</v>
      </c>
      <c r="AA8" s="18"/>
      <c r="AS8" s="19"/>
      <c r="AT8" s="19"/>
      <c r="AU8" s="19"/>
      <c r="AV8" s="19"/>
      <c r="AW8" s="19"/>
      <c r="AX8" s="19"/>
    </row>
    <row r="9" spans="1:50" s="20" customFormat="1" ht="18" customHeight="1">
      <c r="A9" s="357"/>
      <c r="B9" s="359"/>
      <c r="C9" s="361"/>
      <c r="D9" s="55">
        <v>1</v>
      </c>
      <c r="E9" s="54">
        <v>2</v>
      </c>
      <c r="F9" s="54">
        <v>3</v>
      </c>
      <c r="G9" s="54">
        <v>4</v>
      </c>
      <c r="H9" s="54">
        <v>5</v>
      </c>
      <c r="I9" s="56" t="s">
        <v>132</v>
      </c>
      <c r="J9" s="57" t="s">
        <v>133</v>
      </c>
      <c r="K9" s="58" t="s">
        <v>134</v>
      </c>
      <c r="L9" s="55">
        <v>1</v>
      </c>
      <c r="M9" s="54">
        <v>2</v>
      </c>
      <c r="N9" s="54">
        <v>3</v>
      </c>
      <c r="O9" s="56" t="s">
        <v>132</v>
      </c>
      <c r="P9" s="57" t="s">
        <v>133</v>
      </c>
      <c r="Q9" s="58" t="s">
        <v>134</v>
      </c>
      <c r="R9" s="59" t="s">
        <v>135</v>
      </c>
      <c r="S9" s="60" t="s">
        <v>136</v>
      </c>
      <c r="T9" s="54" t="s">
        <v>137</v>
      </c>
      <c r="U9" s="56" t="s">
        <v>132</v>
      </c>
      <c r="V9" s="57" t="s">
        <v>133</v>
      </c>
      <c r="W9" s="58" t="s">
        <v>134</v>
      </c>
      <c r="X9" s="322"/>
      <c r="Y9" s="322"/>
      <c r="Z9" s="322"/>
      <c r="AA9" s="18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22"/>
      <c r="AT9" s="22"/>
      <c r="AU9" s="22"/>
      <c r="AV9" s="22"/>
      <c r="AW9" s="27"/>
      <c r="AX9" s="27"/>
    </row>
    <row r="10" spans="1:50" s="23" customFormat="1" ht="18" customHeight="1">
      <c r="A10" s="351" t="s">
        <v>20</v>
      </c>
      <c r="B10" s="352"/>
      <c r="C10" s="353"/>
      <c r="D10" s="62"/>
      <c r="E10" s="63"/>
      <c r="F10" s="63"/>
      <c r="G10" s="63"/>
      <c r="H10" s="63"/>
      <c r="I10" s="56" t="str">
        <f>IF(COUNT($D10:$H10)=0,"",SUM($D10:$H10))</f>
        <v/>
      </c>
      <c r="J10" s="57">
        <v>100</v>
      </c>
      <c r="K10" s="58">
        <f>INPUT!AL7</f>
        <v>0.2</v>
      </c>
      <c r="L10" s="62"/>
      <c r="M10" s="63"/>
      <c r="N10" s="63"/>
      <c r="O10" s="56" t="str">
        <f>IF(COUNT($L10:$N10)=0,"",SUM($L10:$N10))</f>
        <v/>
      </c>
      <c r="P10" s="57">
        <v>100</v>
      </c>
      <c r="Q10" s="58">
        <f>INPUT!AL8</f>
        <v>0.8</v>
      </c>
      <c r="R10" s="64"/>
      <c r="S10" s="65"/>
      <c r="T10" s="63"/>
      <c r="U10" s="66">
        <f>IF(COUNT($R10:$T10=0),"",SUM($R10:$T10))</f>
        <v>0</v>
      </c>
      <c r="V10" s="57">
        <v>100</v>
      </c>
      <c r="W10" s="58">
        <f>INPUT!AL9</f>
        <v>0.2</v>
      </c>
      <c r="X10" s="323"/>
      <c r="Y10" s="323"/>
      <c r="Z10" s="323"/>
      <c r="AA10" s="18"/>
      <c r="AB10" s="67"/>
      <c r="AC10" s="6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5"/>
      <c r="AT10" s="5"/>
      <c r="AU10" s="5"/>
      <c r="AV10" s="5"/>
      <c r="AW10" s="41"/>
      <c r="AX10" s="41"/>
    </row>
    <row r="11" spans="1:50" s="23" customFormat="1" ht="18" customHeight="1">
      <c r="A11" s="251"/>
      <c r="B11" s="354" t="s">
        <v>22</v>
      </c>
      <c r="C11" s="355"/>
      <c r="D11" s="69"/>
      <c r="E11" s="70"/>
      <c r="F11" s="70"/>
      <c r="G11" s="70"/>
      <c r="H11" s="70"/>
      <c r="I11" s="71"/>
      <c r="J11" s="72"/>
      <c r="K11" s="73"/>
      <c r="L11" s="69"/>
      <c r="M11" s="70"/>
      <c r="N11" s="70"/>
      <c r="O11" s="71"/>
      <c r="P11" s="72"/>
      <c r="Q11" s="73"/>
      <c r="R11" s="74"/>
      <c r="S11" s="71"/>
      <c r="T11" s="70"/>
      <c r="U11" s="70"/>
      <c r="V11" s="72"/>
      <c r="W11" s="73"/>
      <c r="X11" s="75"/>
      <c r="Y11" s="76"/>
      <c r="Z11" s="77"/>
      <c r="AA11" s="18"/>
      <c r="AB11" s="67"/>
      <c r="AC11" s="6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5"/>
      <c r="AT11" s="5"/>
      <c r="AU11" s="5"/>
      <c r="AV11" s="5"/>
      <c r="AW11" s="41"/>
      <c r="AX11" s="41"/>
    </row>
    <row r="12" spans="1:50" s="23" customFormat="1" ht="18" hidden="1" customHeight="1">
      <c r="A12" s="226" t="s">
        <v>23</v>
      </c>
      <c r="B12" s="180" t="s">
        <v>24</v>
      </c>
      <c r="C12" s="186" t="s">
        <v>25</v>
      </c>
      <c r="D12" s="188" t="s">
        <v>138</v>
      </c>
      <c r="E12" s="188" t="s">
        <v>138</v>
      </c>
      <c r="F12" s="188" t="s">
        <v>138</v>
      </c>
      <c r="G12" s="188" t="s">
        <v>138</v>
      </c>
      <c r="H12" s="188" t="s">
        <v>138</v>
      </c>
      <c r="I12" s="189" t="s">
        <v>139</v>
      </c>
      <c r="J12" s="190" t="s">
        <v>140</v>
      </c>
      <c r="K12" s="190" t="s">
        <v>141</v>
      </c>
      <c r="L12" s="188" t="s">
        <v>142</v>
      </c>
      <c r="M12" s="188" t="s">
        <v>142</v>
      </c>
      <c r="N12" s="188" t="s">
        <v>142</v>
      </c>
      <c r="O12" s="189" t="s">
        <v>143</v>
      </c>
      <c r="P12" s="190" t="s">
        <v>144</v>
      </c>
      <c r="Q12" s="190" t="s">
        <v>145</v>
      </c>
      <c r="R12" s="192" t="s">
        <v>146</v>
      </c>
      <c r="S12" s="193" t="s">
        <v>147</v>
      </c>
      <c r="T12" s="194" t="s">
        <v>148</v>
      </c>
      <c r="U12" s="188" t="s">
        <v>149</v>
      </c>
      <c r="V12" s="190" t="s">
        <v>150</v>
      </c>
      <c r="W12" s="190" t="s">
        <v>151</v>
      </c>
      <c r="X12" s="195" t="s">
        <v>152</v>
      </c>
      <c r="Y12" s="196" t="s">
        <v>153</v>
      </c>
      <c r="Z12" s="191" t="s">
        <v>154</v>
      </c>
      <c r="AA12" s="18"/>
      <c r="AB12" s="67"/>
      <c r="AC12" s="6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5"/>
      <c r="AT12" s="5"/>
      <c r="AU12" s="5"/>
      <c r="AV12" s="5"/>
      <c r="AW12" s="41"/>
      <c r="AX12" s="41"/>
    </row>
    <row r="13" spans="1:50" ht="18" customHeight="1">
      <c r="A13" s="179">
        <f>INPUT!A12</f>
        <v>1</v>
      </c>
      <c r="B13" s="179" t="str">
        <f>INPUT!B12</f>
        <v>2022-00001</v>
      </c>
      <c r="C13" s="179" t="str">
        <f>INPUT!C12</f>
        <v>Ando, Ryanjel</v>
      </c>
      <c r="D13" s="78"/>
      <c r="E13" s="79"/>
      <c r="F13" s="79"/>
      <c r="G13" s="79"/>
      <c r="H13" s="79"/>
      <c r="I13" s="80" t="str">
        <f t="shared" ref="I13:I44" si="0">IF(COUNT($D13:$H13)=0,"",SUM($D13:$H13))</f>
        <v/>
      </c>
      <c r="J13" s="81" t="str">
        <f t="shared" ref="J13:J44" si="1">IF(ISERROR(IF($I13="","",ROUND(($I13/$I$10)*$J$10,2))),"",IF($I13="","",ROUND(($I13/$I$10)*$J$10,2)))</f>
        <v/>
      </c>
      <c r="K13" s="82" t="str">
        <f t="shared" ref="K13:K44" si="2">IF($J13="","",ROUND($J13*$K$10,2))</f>
        <v/>
      </c>
      <c r="L13" s="78"/>
      <c r="M13" s="79"/>
      <c r="N13" s="79"/>
      <c r="O13" s="80" t="str">
        <f t="shared" ref="O13:O44" si="3">IF(COUNT($L13:$N13)=0,"",SUM($L13:$N13))</f>
        <v/>
      </c>
      <c r="P13" s="81" t="str">
        <f t="shared" ref="P13:P44" si="4">IF(ISERROR(IF($O13="","",ROUND(($O13/$O$10)*$P$10,2))),"",IF($O13="","",ROUND(($O13/$O$10)*$P$10,2)))</f>
        <v/>
      </c>
      <c r="Q13" s="82" t="str">
        <f t="shared" ref="Q13:Q44" si="5">IF($P13="","",ROUND($P13*$Q$10,2))</f>
        <v/>
      </c>
      <c r="R13" s="78"/>
      <c r="S13" s="79"/>
      <c r="T13" s="79"/>
      <c r="U13" s="80" t="str">
        <f t="shared" ref="U13:U44" si="6">IF(COUNT($R13:$T13)=0,"",SUM($R13:$T13))</f>
        <v/>
      </c>
      <c r="V13" s="81" t="str">
        <f t="shared" ref="V13:V44" si="7">IF(ISERROR(IF($U13="","",ROUND(($U13/$U$10)*$V$10,2))),"",IF($U13="","",ROUND(($U13/$U$10)*$V$10,2)))</f>
        <v/>
      </c>
      <c r="W13" s="82" t="str">
        <f t="shared" ref="W13:W44" si="8">IF($V13="","",ROUND($V13*$W$10,2))</f>
        <v/>
      </c>
      <c r="X13" s="83" t="str">
        <f>IF(ISERROR(IF($U13="","",ROUND(SUM($K13,$Q13,$W13),2))),"",IF($U13="","",ROUND(SUM($K13,$Q13,$W13),2)))</f>
        <v/>
      </c>
      <c r="Y13" s="84" t="str">
        <f>IF(ISERROR(IF($U13="","",VLOOKUP(X13,NewTransmu,4,TRUE))),"",IF($U13="","",VLOOKUP(X13,NewTransmu,4,TRUE)))</f>
        <v/>
      </c>
      <c r="Z13" s="85" t="str">
        <f t="shared" ref="Z13:Z44" si="9">IF(ISERROR(IF(Y13="","",VLOOKUP(Y13,DESCRIPTORS,4,TRUE))),"",IF(Y13="","",VLOOKUP(Y13,DESCRIPTORS,4,TRUE)))</f>
        <v/>
      </c>
      <c r="AB13" s="47"/>
      <c r="AC13" s="6"/>
      <c r="AD13" s="41"/>
      <c r="AE13" s="41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41"/>
      <c r="AT13" s="41" t="e">
        <f t="shared" ref="AT13:AT44" si="10">(R13/$R$10)*100</f>
        <v>#DIV/0!</v>
      </c>
      <c r="AU13" s="41" t="e">
        <f t="shared" ref="AU13:AU44" si="11">(S13/$S$10)*100</f>
        <v>#DIV/0!</v>
      </c>
      <c r="AV13" s="41" t="e">
        <f t="shared" ref="AV13:AV44" si="12">(T13/$T$10)*100</f>
        <v>#DIV/0!</v>
      </c>
      <c r="AX13" s="6"/>
    </row>
    <row r="14" spans="1:50" ht="18" customHeight="1">
      <c r="A14" s="179">
        <f>INPUT!A13</f>
        <v>2</v>
      </c>
      <c r="B14" s="179" t="str">
        <f>INPUT!B13</f>
        <v>2022-00044</v>
      </c>
      <c r="C14" s="179" t="str">
        <f>INPUT!C13</f>
        <v>Arante, Cobe Mc Daniel</v>
      </c>
      <c r="D14" s="87"/>
      <c r="E14" s="88"/>
      <c r="F14" s="88"/>
      <c r="G14" s="88"/>
      <c r="H14" s="88"/>
      <c r="I14" s="89" t="str">
        <f t="shared" si="0"/>
        <v/>
      </c>
      <c r="J14" s="57" t="str">
        <f t="shared" si="1"/>
        <v/>
      </c>
      <c r="K14" s="90" t="str">
        <f t="shared" si="2"/>
        <v/>
      </c>
      <c r="L14" s="87"/>
      <c r="M14" s="88"/>
      <c r="N14" s="88"/>
      <c r="O14" s="89" t="str">
        <f t="shared" si="3"/>
        <v/>
      </c>
      <c r="P14" s="57" t="str">
        <f t="shared" si="4"/>
        <v/>
      </c>
      <c r="Q14" s="90" t="str">
        <f t="shared" si="5"/>
        <v/>
      </c>
      <c r="R14" s="87"/>
      <c r="S14" s="88"/>
      <c r="T14" s="88"/>
      <c r="U14" s="89" t="str">
        <f t="shared" si="6"/>
        <v/>
      </c>
      <c r="V14" s="57" t="str">
        <f t="shared" si="7"/>
        <v/>
      </c>
      <c r="W14" s="90" t="str">
        <f t="shared" si="8"/>
        <v/>
      </c>
      <c r="X14" s="91" t="str">
        <f t="shared" ref="X14:X45" si="13">IF(ISERROR(IF($T14="","",ROUND(SUM($K14,$Q14,$W14),2))),"",IF($T14="","",ROUND(SUM($K14,$Q14,$W14),2)))</f>
        <v/>
      </c>
      <c r="Y14" s="92" t="str">
        <f t="shared" ref="Y14:Y45" si="14">IF(ISERROR(IF($T14="","",VLOOKUP(X14,NewTransmu,4,TRUE))),"",IF($T14="","",VLOOKUP(X14,NewTransmu,4,TRUE)))</f>
        <v/>
      </c>
      <c r="Z14" s="93" t="str">
        <f t="shared" si="9"/>
        <v/>
      </c>
      <c r="AB14" s="94"/>
      <c r="AC14" s="94" t="s">
        <v>135</v>
      </c>
      <c r="AD14" s="94" t="s">
        <v>136</v>
      </c>
      <c r="AE14" s="94" t="s">
        <v>137</v>
      </c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41"/>
      <c r="AT14" s="41" t="e">
        <f t="shared" si="10"/>
        <v>#DIV/0!</v>
      </c>
      <c r="AU14" s="41" t="e">
        <f t="shared" si="11"/>
        <v>#DIV/0!</v>
      </c>
      <c r="AV14" s="41" t="e">
        <f t="shared" si="12"/>
        <v>#DIV/0!</v>
      </c>
      <c r="AX14" s="6"/>
    </row>
    <row r="15" spans="1:50" ht="18" customHeight="1">
      <c r="A15" s="179">
        <f>INPUT!A14</f>
        <v>3</v>
      </c>
      <c r="B15" s="179" t="str">
        <f>INPUT!B14</f>
        <v>2022-00418</v>
      </c>
      <c r="C15" s="179" t="str">
        <f>INPUT!C14</f>
        <v>Barnido, Charllys Moore</v>
      </c>
      <c r="D15" s="87"/>
      <c r="E15" s="88"/>
      <c r="F15" s="88"/>
      <c r="G15" s="88"/>
      <c r="H15" s="88"/>
      <c r="I15" s="89" t="str">
        <f t="shared" si="0"/>
        <v/>
      </c>
      <c r="J15" s="57" t="str">
        <f t="shared" si="1"/>
        <v/>
      </c>
      <c r="K15" s="90" t="str">
        <f t="shared" si="2"/>
        <v/>
      </c>
      <c r="L15" s="87"/>
      <c r="M15" s="88"/>
      <c r="N15" s="88"/>
      <c r="O15" s="89" t="str">
        <f t="shared" si="3"/>
        <v/>
      </c>
      <c r="P15" s="57" t="str">
        <f t="shared" si="4"/>
        <v/>
      </c>
      <c r="Q15" s="90" t="str">
        <f t="shared" si="5"/>
        <v/>
      </c>
      <c r="R15" s="173"/>
      <c r="S15" s="88"/>
      <c r="T15" s="174"/>
      <c r="U15" s="89" t="str">
        <f t="shared" si="6"/>
        <v/>
      </c>
      <c r="V15" s="57" t="str">
        <f t="shared" si="7"/>
        <v/>
      </c>
      <c r="W15" s="90" t="str">
        <f t="shared" si="8"/>
        <v/>
      </c>
      <c r="X15" s="91" t="str">
        <f t="shared" si="13"/>
        <v/>
      </c>
      <c r="Y15" s="92" t="str">
        <f t="shared" si="14"/>
        <v/>
      </c>
      <c r="Z15" s="93" t="str">
        <f t="shared" si="9"/>
        <v/>
      </c>
      <c r="AB15" s="95" t="s">
        <v>155</v>
      </c>
      <c r="AC15" s="96">
        <f>COUNTA(R13:R115)</f>
        <v>0</v>
      </c>
      <c r="AD15" s="96">
        <f>COUNTA(S13:S115)</f>
        <v>0</v>
      </c>
      <c r="AE15" s="96">
        <f>COUNTA(T13:T115)</f>
        <v>0</v>
      </c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41"/>
      <c r="AT15" s="41" t="e">
        <f t="shared" si="10"/>
        <v>#DIV/0!</v>
      </c>
      <c r="AU15" s="41" t="e">
        <f t="shared" si="11"/>
        <v>#DIV/0!</v>
      </c>
      <c r="AV15" s="41" t="e">
        <f t="shared" si="12"/>
        <v>#DIV/0!</v>
      </c>
      <c r="AX15" s="6"/>
    </row>
    <row r="16" spans="1:50" ht="18" customHeight="1">
      <c r="A16" s="179">
        <f>INPUT!A15</f>
        <v>4</v>
      </c>
      <c r="B16" s="179" t="str">
        <f>INPUT!B15</f>
        <v>2023-00532</v>
      </c>
      <c r="C16" s="179" t="str">
        <f>INPUT!C15</f>
        <v>CAPILI, SCHAN MARC STEVEN</v>
      </c>
      <c r="D16" s="87"/>
      <c r="E16" s="88"/>
      <c r="F16" s="88"/>
      <c r="G16" s="88"/>
      <c r="H16" s="88"/>
      <c r="I16" s="89" t="str">
        <f t="shared" si="0"/>
        <v/>
      </c>
      <c r="J16" s="57" t="str">
        <f t="shared" si="1"/>
        <v/>
      </c>
      <c r="K16" s="90" t="str">
        <f t="shared" si="2"/>
        <v/>
      </c>
      <c r="L16" s="87"/>
      <c r="M16" s="88"/>
      <c r="N16" s="88"/>
      <c r="O16" s="89" t="str">
        <f t="shared" si="3"/>
        <v/>
      </c>
      <c r="P16" s="57" t="str">
        <f t="shared" si="4"/>
        <v/>
      </c>
      <c r="Q16" s="90" t="str">
        <f t="shared" si="5"/>
        <v/>
      </c>
      <c r="R16" s="87"/>
      <c r="S16" s="88"/>
      <c r="T16" s="88"/>
      <c r="U16" s="89" t="str">
        <f t="shared" si="6"/>
        <v/>
      </c>
      <c r="V16" s="57" t="str">
        <f t="shared" si="7"/>
        <v/>
      </c>
      <c r="W16" s="90" t="str">
        <f t="shared" si="8"/>
        <v/>
      </c>
      <c r="X16" s="91" t="str">
        <f t="shared" si="13"/>
        <v/>
      </c>
      <c r="Y16" s="92" t="str">
        <f t="shared" si="14"/>
        <v/>
      </c>
      <c r="Z16" s="93" t="str">
        <f t="shared" si="9"/>
        <v/>
      </c>
      <c r="AB16" s="97" t="s">
        <v>156</v>
      </c>
      <c r="AC16" s="96">
        <f>R10</f>
        <v>0</v>
      </c>
      <c r="AD16" s="96">
        <f>S10</f>
        <v>0</v>
      </c>
      <c r="AE16" s="96">
        <f>T10</f>
        <v>0</v>
      </c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41"/>
      <c r="AT16" s="41" t="e">
        <f t="shared" si="10"/>
        <v>#DIV/0!</v>
      </c>
      <c r="AU16" s="41" t="e">
        <f t="shared" si="11"/>
        <v>#DIV/0!</v>
      </c>
      <c r="AV16" s="41" t="e">
        <f t="shared" si="12"/>
        <v>#DIV/0!</v>
      </c>
      <c r="AX16" s="6"/>
    </row>
    <row r="17" spans="1:50" ht="18" customHeight="1">
      <c r="A17" s="179">
        <f>INPUT!A16</f>
        <v>5</v>
      </c>
      <c r="B17" s="179" t="str">
        <f>INPUT!B16</f>
        <v>2022-00002</v>
      </c>
      <c r="C17" s="179" t="str">
        <f>INPUT!C16</f>
        <v>Cuizon, Cyril</v>
      </c>
      <c r="D17" s="87"/>
      <c r="E17" s="88"/>
      <c r="F17" s="88"/>
      <c r="G17" s="88"/>
      <c r="H17" s="88"/>
      <c r="I17" s="89" t="str">
        <f t="shared" si="0"/>
        <v/>
      </c>
      <c r="J17" s="57" t="str">
        <f t="shared" si="1"/>
        <v/>
      </c>
      <c r="K17" s="90" t="str">
        <f t="shared" si="2"/>
        <v/>
      </c>
      <c r="L17" s="87"/>
      <c r="M17" s="88"/>
      <c r="N17" s="88"/>
      <c r="O17" s="89" t="str">
        <f t="shared" si="3"/>
        <v/>
      </c>
      <c r="P17" s="57" t="str">
        <f t="shared" si="4"/>
        <v/>
      </c>
      <c r="Q17" s="90" t="str">
        <f t="shared" si="5"/>
        <v/>
      </c>
      <c r="R17" s="87"/>
      <c r="S17" s="88"/>
      <c r="T17" s="88"/>
      <c r="U17" s="89" t="str">
        <f t="shared" si="6"/>
        <v/>
      </c>
      <c r="V17" s="57" t="str">
        <f t="shared" si="7"/>
        <v/>
      </c>
      <c r="W17" s="90" t="str">
        <f t="shared" si="8"/>
        <v/>
      </c>
      <c r="X17" s="91" t="str">
        <f t="shared" si="13"/>
        <v/>
      </c>
      <c r="Y17" s="92" t="str">
        <f t="shared" si="14"/>
        <v/>
      </c>
      <c r="Z17" s="93" t="str">
        <f t="shared" si="9"/>
        <v/>
      </c>
      <c r="AB17" s="98"/>
      <c r="AC17" s="98"/>
      <c r="AD17" s="98"/>
      <c r="AE17" s="98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41"/>
      <c r="AT17" s="41" t="e">
        <f t="shared" si="10"/>
        <v>#DIV/0!</v>
      </c>
      <c r="AU17" s="41" t="e">
        <f t="shared" si="11"/>
        <v>#DIV/0!</v>
      </c>
      <c r="AV17" s="41" t="e">
        <f t="shared" si="12"/>
        <v>#DIV/0!</v>
      </c>
      <c r="AX17" s="6"/>
    </row>
    <row r="18" spans="1:50" ht="18" customHeight="1">
      <c r="A18" s="179">
        <f>INPUT!A17</f>
        <v>6</v>
      </c>
      <c r="B18" s="179" t="str">
        <f>INPUT!B17</f>
        <v>2022-00003</v>
      </c>
      <c r="C18" s="179" t="str">
        <f>INPUT!C17</f>
        <v>Deguiñon, Paul Jhon</v>
      </c>
      <c r="D18" s="87"/>
      <c r="E18" s="88"/>
      <c r="F18" s="88"/>
      <c r="G18" s="88"/>
      <c r="H18" s="88"/>
      <c r="I18" s="89" t="str">
        <f t="shared" si="0"/>
        <v/>
      </c>
      <c r="J18" s="57" t="str">
        <f t="shared" si="1"/>
        <v/>
      </c>
      <c r="K18" s="90" t="str">
        <f t="shared" si="2"/>
        <v/>
      </c>
      <c r="L18" s="87"/>
      <c r="M18" s="88"/>
      <c r="N18" s="88"/>
      <c r="O18" s="89" t="str">
        <f t="shared" si="3"/>
        <v/>
      </c>
      <c r="P18" s="57" t="str">
        <f t="shared" si="4"/>
        <v/>
      </c>
      <c r="Q18" s="90" t="str">
        <f t="shared" si="5"/>
        <v/>
      </c>
      <c r="R18" s="87"/>
      <c r="S18" s="88"/>
      <c r="T18" s="88"/>
      <c r="U18" s="89" t="str">
        <f t="shared" si="6"/>
        <v/>
      </c>
      <c r="V18" s="57" t="str">
        <f t="shared" si="7"/>
        <v/>
      </c>
      <c r="W18" s="90" t="str">
        <f t="shared" si="8"/>
        <v/>
      </c>
      <c r="X18" s="91" t="str">
        <f t="shared" si="13"/>
        <v/>
      </c>
      <c r="Y18" s="92" t="str">
        <f t="shared" si="14"/>
        <v/>
      </c>
      <c r="Z18" s="93" t="str">
        <f t="shared" si="9"/>
        <v/>
      </c>
      <c r="AB18" s="99" t="s">
        <v>157</v>
      </c>
      <c r="AC18" s="94" t="s">
        <v>135</v>
      </c>
      <c r="AD18" s="94" t="s">
        <v>136</v>
      </c>
      <c r="AE18" s="94" t="s">
        <v>137</v>
      </c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41"/>
      <c r="AT18" s="41" t="e">
        <f t="shared" si="10"/>
        <v>#DIV/0!</v>
      </c>
      <c r="AU18" s="41" t="e">
        <f t="shared" si="11"/>
        <v>#DIV/0!</v>
      </c>
      <c r="AV18" s="41" t="e">
        <f t="shared" si="12"/>
        <v>#DIV/0!</v>
      </c>
      <c r="AX18" s="6"/>
    </row>
    <row r="19" spans="1:50" ht="18" customHeight="1">
      <c r="A19" s="179">
        <f>INPUT!A18</f>
        <v>7</v>
      </c>
      <c r="B19" s="179" t="str">
        <f>INPUT!B18</f>
        <v>002026-000193</v>
      </c>
      <c r="C19" s="179" t="str">
        <f>INPUT!C18</f>
        <v>Dela Cruz, Juan</v>
      </c>
      <c r="D19" s="87"/>
      <c r="E19" s="88"/>
      <c r="F19" s="88"/>
      <c r="G19" s="88"/>
      <c r="H19" s="88"/>
      <c r="I19" s="89" t="str">
        <f t="shared" si="0"/>
        <v/>
      </c>
      <c r="J19" s="57" t="str">
        <f t="shared" si="1"/>
        <v/>
      </c>
      <c r="K19" s="90" t="str">
        <f t="shared" si="2"/>
        <v/>
      </c>
      <c r="L19" s="87"/>
      <c r="M19" s="88"/>
      <c r="N19" s="88"/>
      <c r="O19" s="89" t="str">
        <f t="shared" si="3"/>
        <v/>
      </c>
      <c r="P19" s="57" t="str">
        <f t="shared" si="4"/>
        <v/>
      </c>
      <c r="Q19" s="90" t="str">
        <f t="shared" si="5"/>
        <v/>
      </c>
      <c r="R19" s="87"/>
      <c r="S19" s="88"/>
      <c r="T19" s="88"/>
      <c r="U19" s="89" t="str">
        <f t="shared" si="6"/>
        <v/>
      </c>
      <c r="V19" s="57" t="str">
        <f t="shared" si="7"/>
        <v/>
      </c>
      <c r="W19" s="90" t="str">
        <f t="shared" si="8"/>
        <v/>
      </c>
      <c r="X19" s="91" t="str">
        <f t="shared" si="13"/>
        <v/>
      </c>
      <c r="Y19" s="92" t="str">
        <f t="shared" si="14"/>
        <v/>
      </c>
      <c r="Z19" s="93" t="str">
        <f t="shared" si="9"/>
        <v/>
      </c>
      <c r="AB19" s="100" t="s">
        <v>158</v>
      </c>
      <c r="AC19" s="101">
        <f>COUNTIF(AT13:AT115,"&gt;=75")</f>
        <v>0</v>
      </c>
      <c r="AD19" s="101">
        <f>COUNTIF(AU13:AU115,"&gt;=75")</f>
        <v>0</v>
      </c>
      <c r="AE19" s="101">
        <f>COUNTIF(AV13:AV115,"&gt;=75")</f>
        <v>0</v>
      </c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41"/>
      <c r="AT19" s="41" t="e">
        <f t="shared" si="10"/>
        <v>#DIV/0!</v>
      </c>
      <c r="AU19" s="41" t="e">
        <f t="shared" si="11"/>
        <v>#DIV/0!</v>
      </c>
      <c r="AV19" s="41" t="e">
        <f t="shared" si="12"/>
        <v>#DIV/0!</v>
      </c>
      <c r="AX19" s="6"/>
    </row>
    <row r="20" spans="1:50" ht="18" customHeight="1">
      <c r="A20" s="179">
        <f>INPUT!A19</f>
        <v>8</v>
      </c>
      <c r="B20" s="179" t="str">
        <f>INPUT!B19</f>
        <v>2022-00047</v>
      </c>
      <c r="C20" s="179" t="str">
        <f>INPUT!C19</f>
        <v>Dela Cruz, Stacey Samson</v>
      </c>
      <c r="D20" s="87"/>
      <c r="E20" s="88"/>
      <c r="F20" s="88"/>
      <c r="G20" s="88"/>
      <c r="H20" s="88"/>
      <c r="I20" s="89" t="str">
        <f t="shared" si="0"/>
        <v/>
      </c>
      <c r="J20" s="57" t="str">
        <f t="shared" si="1"/>
        <v/>
      </c>
      <c r="K20" s="90" t="str">
        <f t="shared" si="2"/>
        <v/>
      </c>
      <c r="L20" s="87"/>
      <c r="M20" s="88"/>
      <c r="N20" s="88"/>
      <c r="O20" s="89" t="str">
        <f t="shared" si="3"/>
        <v/>
      </c>
      <c r="P20" s="57" t="str">
        <f t="shared" si="4"/>
        <v/>
      </c>
      <c r="Q20" s="90" t="str">
        <f t="shared" si="5"/>
        <v/>
      </c>
      <c r="R20" s="87"/>
      <c r="S20" s="88"/>
      <c r="T20" s="88"/>
      <c r="U20" s="89" t="str">
        <f t="shared" si="6"/>
        <v/>
      </c>
      <c r="V20" s="57" t="str">
        <f t="shared" si="7"/>
        <v/>
      </c>
      <c r="W20" s="90" t="str">
        <f t="shared" si="8"/>
        <v/>
      </c>
      <c r="X20" s="91" t="str">
        <f t="shared" si="13"/>
        <v/>
      </c>
      <c r="Y20" s="92" t="str">
        <f t="shared" si="14"/>
        <v/>
      </c>
      <c r="Z20" s="93" t="str">
        <f t="shared" si="9"/>
        <v/>
      </c>
      <c r="AB20" s="100" t="s">
        <v>159</v>
      </c>
      <c r="AC20" s="102" t="str">
        <f>IFERROR(AC19/AC15,"")</f>
        <v/>
      </c>
      <c r="AD20" s="102" t="str">
        <f>IFERROR(AD19/AD15,"")</f>
        <v/>
      </c>
      <c r="AE20" s="102" t="str">
        <f>IFERROR(AE19/AE15,"")</f>
        <v/>
      </c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41"/>
      <c r="AT20" s="41" t="e">
        <f t="shared" si="10"/>
        <v>#DIV/0!</v>
      </c>
      <c r="AU20" s="41" t="e">
        <f t="shared" si="11"/>
        <v>#DIV/0!</v>
      </c>
      <c r="AV20" s="41" t="e">
        <f t="shared" si="12"/>
        <v>#DIV/0!</v>
      </c>
      <c r="AX20" s="6"/>
    </row>
    <row r="21" spans="1:50" ht="18" customHeight="1">
      <c r="A21" s="179">
        <f>INPUT!A20</f>
        <v>9</v>
      </c>
      <c r="B21" s="179" t="str">
        <f>INPUT!B20</f>
        <v>2023-00510</v>
      </c>
      <c r="C21" s="179" t="str">
        <f>INPUT!C20</f>
        <v>DURIAS, KIRK ADRIANE</v>
      </c>
      <c r="D21" s="87"/>
      <c r="E21" s="88"/>
      <c r="F21" s="88"/>
      <c r="G21" s="88"/>
      <c r="H21" s="88"/>
      <c r="I21" s="89" t="str">
        <f t="shared" si="0"/>
        <v/>
      </c>
      <c r="J21" s="57" t="str">
        <f t="shared" si="1"/>
        <v/>
      </c>
      <c r="K21" s="90" t="str">
        <f t="shared" si="2"/>
        <v/>
      </c>
      <c r="L21" s="87"/>
      <c r="M21" s="88"/>
      <c r="N21" s="88"/>
      <c r="O21" s="89" t="str">
        <f t="shared" si="3"/>
        <v/>
      </c>
      <c r="P21" s="57" t="str">
        <f t="shared" si="4"/>
        <v/>
      </c>
      <c r="Q21" s="90" t="str">
        <f t="shared" si="5"/>
        <v/>
      </c>
      <c r="R21" s="87"/>
      <c r="S21" s="88"/>
      <c r="T21" s="88"/>
      <c r="U21" s="89" t="str">
        <f t="shared" si="6"/>
        <v/>
      </c>
      <c r="V21" s="57" t="str">
        <f t="shared" si="7"/>
        <v/>
      </c>
      <c r="W21" s="90" t="str">
        <f t="shared" si="8"/>
        <v/>
      </c>
      <c r="X21" s="91" t="str">
        <f t="shared" si="13"/>
        <v/>
      </c>
      <c r="Y21" s="92" t="str">
        <f t="shared" si="14"/>
        <v/>
      </c>
      <c r="Z21" s="93" t="str">
        <f t="shared" si="9"/>
        <v/>
      </c>
      <c r="AB21" s="100" t="s">
        <v>160</v>
      </c>
      <c r="AC21" s="101">
        <f>AC15-AC19</f>
        <v>0</v>
      </c>
      <c r="AD21" s="101">
        <f>AD15-AD19</f>
        <v>0</v>
      </c>
      <c r="AE21" s="101">
        <f>AE15-AE19</f>
        <v>0</v>
      </c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41"/>
      <c r="AT21" s="41" t="e">
        <f t="shared" si="10"/>
        <v>#DIV/0!</v>
      </c>
      <c r="AU21" s="41" t="e">
        <f t="shared" si="11"/>
        <v>#DIV/0!</v>
      </c>
      <c r="AV21" s="41" t="e">
        <f t="shared" si="12"/>
        <v>#DIV/0!</v>
      </c>
      <c r="AX21" s="6"/>
    </row>
    <row r="22" spans="1:50" ht="18" customHeight="1">
      <c r="A22" s="179">
        <f>INPUT!A21</f>
        <v>10</v>
      </c>
      <c r="B22" s="179" t="str">
        <f>INPUT!B21</f>
        <v>2022-00005</v>
      </c>
      <c r="C22" s="179" t="str">
        <f>INPUT!C21</f>
        <v>Fernandez, Jhon Kenneth</v>
      </c>
      <c r="D22" s="87"/>
      <c r="E22" s="88"/>
      <c r="F22" s="88"/>
      <c r="G22" s="88"/>
      <c r="H22" s="88"/>
      <c r="I22" s="89" t="str">
        <f t="shared" si="0"/>
        <v/>
      </c>
      <c r="J22" s="57" t="str">
        <f t="shared" si="1"/>
        <v/>
      </c>
      <c r="K22" s="90" t="str">
        <f t="shared" si="2"/>
        <v/>
      </c>
      <c r="L22" s="87"/>
      <c r="M22" s="88"/>
      <c r="N22" s="88"/>
      <c r="O22" s="89" t="str">
        <f t="shared" si="3"/>
        <v/>
      </c>
      <c r="P22" s="57" t="str">
        <f t="shared" si="4"/>
        <v/>
      </c>
      <c r="Q22" s="90" t="str">
        <f t="shared" si="5"/>
        <v/>
      </c>
      <c r="R22" s="87"/>
      <c r="S22" s="88"/>
      <c r="T22" s="88"/>
      <c r="U22" s="89" t="str">
        <f t="shared" si="6"/>
        <v/>
      </c>
      <c r="V22" s="57" t="str">
        <f t="shared" si="7"/>
        <v/>
      </c>
      <c r="W22" s="90" t="str">
        <f t="shared" si="8"/>
        <v/>
      </c>
      <c r="X22" s="91" t="str">
        <f t="shared" si="13"/>
        <v/>
      </c>
      <c r="Y22" s="92" t="str">
        <f t="shared" si="14"/>
        <v/>
      </c>
      <c r="Z22" s="93" t="str">
        <f t="shared" si="9"/>
        <v/>
      </c>
      <c r="AB22" s="100" t="s">
        <v>159</v>
      </c>
      <c r="AC22" s="102" t="str">
        <f>IFERROR(1-AC20,"")</f>
        <v/>
      </c>
      <c r="AD22" s="102" t="str">
        <f>IFERROR(1-AD20,"")</f>
        <v/>
      </c>
      <c r="AE22" s="102" t="str">
        <f>IFERROR(1-AE20,"")</f>
        <v/>
      </c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41"/>
      <c r="AT22" s="41" t="e">
        <f t="shared" si="10"/>
        <v>#DIV/0!</v>
      </c>
      <c r="AU22" s="41" t="e">
        <f t="shared" si="11"/>
        <v>#DIV/0!</v>
      </c>
      <c r="AV22" s="41" t="e">
        <f t="shared" si="12"/>
        <v>#DIV/0!</v>
      </c>
      <c r="AX22" s="6"/>
    </row>
    <row r="23" spans="1:50" ht="18" customHeight="1">
      <c r="A23" s="179">
        <f>INPUT!A22</f>
        <v>11</v>
      </c>
      <c r="B23" s="179" t="str">
        <f>INPUT!B22</f>
        <v>2022-00006</v>
      </c>
      <c r="C23" s="179" t="str">
        <f>INPUT!C22</f>
        <v>Figueroa, John Rech</v>
      </c>
      <c r="D23" s="87"/>
      <c r="E23" s="88"/>
      <c r="F23" s="88"/>
      <c r="G23" s="88"/>
      <c r="H23" s="88"/>
      <c r="I23" s="89" t="str">
        <f t="shared" si="0"/>
        <v/>
      </c>
      <c r="J23" s="57" t="str">
        <f t="shared" si="1"/>
        <v/>
      </c>
      <c r="K23" s="90" t="str">
        <f t="shared" si="2"/>
        <v/>
      </c>
      <c r="L23" s="87"/>
      <c r="M23" s="88"/>
      <c r="N23" s="88"/>
      <c r="O23" s="89" t="str">
        <f t="shared" si="3"/>
        <v/>
      </c>
      <c r="P23" s="57" t="str">
        <f t="shared" si="4"/>
        <v/>
      </c>
      <c r="Q23" s="90" t="str">
        <f t="shared" si="5"/>
        <v/>
      </c>
      <c r="R23" s="87"/>
      <c r="S23" s="88"/>
      <c r="T23" s="88"/>
      <c r="U23" s="89" t="str">
        <f t="shared" si="6"/>
        <v/>
      </c>
      <c r="V23" s="57" t="str">
        <f t="shared" si="7"/>
        <v/>
      </c>
      <c r="W23" s="90" t="str">
        <f t="shared" si="8"/>
        <v/>
      </c>
      <c r="X23" s="91" t="str">
        <f t="shared" si="13"/>
        <v/>
      </c>
      <c r="Y23" s="92" t="str">
        <f t="shared" si="14"/>
        <v/>
      </c>
      <c r="Z23" s="93" t="str">
        <f t="shared" si="9"/>
        <v/>
      </c>
      <c r="AB23" s="98"/>
      <c r="AC23" s="98"/>
      <c r="AD23" s="98"/>
      <c r="AE23" s="98"/>
      <c r="AR23" s="48"/>
      <c r="AT23" s="41" t="e">
        <f t="shared" si="10"/>
        <v>#DIV/0!</v>
      </c>
      <c r="AU23" s="41" t="e">
        <f t="shared" si="11"/>
        <v>#DIV/0!</v>
      </c>
      <c r="AV23" s="41" t="e">
        <f t="shared" si="12"/>
        <v>#DIV/0!</v>
      </c>
      <c r="AX23" s="6"/>
    </row>
    <row r="24" spans="1:50" ht="18" customHeight="1">
      <c r="A24" s="179">
        <f>INPUT!A23</f>
        <v>12</v>
      </c>
      <c r="B24" s="179" t="str">
        <f>INPUT!B23</f>
        <v>2022-00007</v>
      </c>
      <c r="C24" s="179" t="str">
        <f>INPUT!C23</f>
        <v>Intes, TJ Philip</v>
      </c>
      <c r="D24" s="87"/>
      <c r="E24" s="88"/>
      <c r="F24" s="88"/>
      <c r="G24" s="88"/>
      <c r="H24" s="88"/>
      <c r="I24" s="89" t="str">
        <f t="shared" si="0"/>
        <v/>
      </c>
      <c r="J24" s="57" t="str">
        <f t="shared" si="1"/>
        <v/>
      </c>
      <c r="K24" s="90" t="str">
        <f t="shared" si="2"/>
        <v/>
      </c>
      <c r="L24" s="87"/>
      <c r="M24" s="88"/>
      <c r="N24" s="88"/>
      <c r="O24" s="89" t="str">
        <f t="shared" si="3"/>
        <v/>
      </c>
      <c r="P24" s="57" t="str">
        <f t="shared" si="4"/>
        <v/>
      </c>
      <c r="Q24" s="90" t="str">
        <f t="shared" si="5"/>
        <v/>
      </c>
      <c r="R24" s="87"/>
      <c r="S24" s="88"/>
      <c r="T24" s="88"/>
      <c r="U24" s="89" t="str">
        <f t="shared" si="6"/>
        <v/>
      </c>
      <c r="V24" s="57" t="str">
        <f t="shared" si="7"/>
        <v/>
      </c>
      <c r="W24" s="90" t="str">
        <f t="shared" si="8"/>
        <v/>
      </c>
      <c r="X24" s="91" t="str">
        <f t="shared" si="13"/>
        <v/>
      </c>
      <c r="Y24" s="92" t="str">
        <f t="shared" si="14"/>
        <v/>
      </c>
      <c r="Z24" s="93" t="str">
        <f t="shared" si="9"/>
        <v/>
      </c>
      <c r="AB24" s="99" t="s">
        <v>161</v>
      </c>
      <c r="AC24" s="94" t="s">
        <v>135</v>
      </c>
      <c r="AD24" s="94" t="s">
        <v>136</v>
      </c>
      <c r="AE24" s="94" t="s">
        <v>137</v>
      </c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42"/>
      <c r="AT24" s="41" t="e">
        <f t="shared" si="10"/>
        <v>#DIV/0!</v>
      </c>
      <c r="AU24" s="41" t="e">
        <f t="shared" si="11"/>
        <v>#DIV/0!</v>
      </c>
      <c r="AV24" s="41" t="e">
        <f t="shared" si="12"/>
        <v>#DIV/0!</v>
      </c>
      <c r="AX24" s="6"/>
    </row>
    <row r="25" spans="1:50" ht="18" customHeight="1">
      <c r="A25" s="179">
        <f>INPUT!A24</f>
        <v>13</v>
      </c>
      <c r="B25" s="179" t="str">
        <f>INPUT!B24</f>
        <v>2022-00008</v>
      </c>
      <c r="C25" s="179" t="str">
        <f>INPUT!C24</f>
        <v>Jarabe, Andrei Anthony</v>
      </c>
      <c r="D25" s="87"/>
      <c r="E25" s="88"/>
      <c r="F25" s="88"/>
      <c r="G25" s="88"/>
      <c r="H25" s="88"/>
      <c r="I25" s="89" t="str">
        <f t="shared" si="0"/>
        <v/>
      </c>
      <c r="J25" s="57" t="str">
        <f t="shared" si="1"/>
        <v/>
      </c>
      <c r="K25" s="90" t="str">
        <f t="shared" si="2"/>
        <v/>
      </c>
      <c r="L25" s="87"/>
      <c r="M25" s="88"/>
      <c r="N25" s="88"/>
      <c r="O25" s="89" t="str">
        <f t="shared" si="3"/>
        <v/>
      </c>
      <c r="P25" s="57" t="str">
        <f t="shared" si="4"/>
        <v/>
      </c>
      <c r="Q25" s="90" t="str">
        <f t="shared" si="5"/>
        <v/>
      </c>
      <c r="R25" s="87"/>
      <c r="S25" s="88"/>
      <c r="T25" s="88"/>
      <c r="U25" s="89" t="str">
        <f t="shared" si="6"/>
        <v/>
      </c>
      <c r="V25" s="57" t="str">
        <f t="shared" si="7"/>
        <v/>
      </c>
      <c r="W25" s="90" t="str">
        <f t="shared" si="8"/>
        <v/>
      </c>
      <c r="X25" s="91" t="str">
        <f t="shared" si="13"/>
        <v/>
      </c>
      <c r="Y25" s="92" t="str">
        <f t="shared" si="14"/>
        <v/>
      </c>
      <c r="Z25" s="93" t="str">
        <f t="shared" si="9"/>
        <v/>
      </c>
      <c r="AB25" s="100" t="s">
        <v>162</v>
      </c>
      <c r="AC25" s="104" t="str">
        <f>IFERROR(AVERAGE(R13:R115),"")</f>
        <v/>
      </c>
      <c r="AD25" s="104" t="str">
        <f>IFERROR(AVERAGE(S13:S115),"")</f>
        <v/>
      </c>
      <c r="AE25" s="104" t="str">
        <f>IFERROR(AVERAGE(T13:T115),"")</f>
        <v/>
      </c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42"/>
      <c r="AT25" s="41" t="e">
        <f t="shared" si="10"/>
        <v>#DIV/0!</v>
      </c>
      <c r="AU25" s="41" t="e">
        <f t="shared" si="11"/>
        <v>#DIV/0!</v>
      </c>
      <c r="AV25" s="41" t="e">
        <f t="shared" si="12"/>
        <v>#DIV/0!</v>
      </c>
      <c r="AX25" s="6"/>
    </row>
    <row r="26" spans="1:50" ht="18" customHeight="1">
      <c r="A26" s="179">
        <f>INPUT!A25</f>
        <v>14</v>
      </c>
      <c r="B26" s="179" t="str">
        <f>INPUT!B25</f>
        <v>2022-00012</v>
      </c>
      <c r="C26" s="179" t="str">
        <f>INPUT!C25</f>
        <v>Mumar, Terence Hunter</v>
      </c>
      <c r="D26" s="87"/>
      <c r="E26" s="88"/>
      <c r="F26" s="88"/>
      <c r="G26" s="88"/>
      <c r="H26" s="88"/>
      <c r="I26" s="89" t="str">
        <f t="shared" si="0"/>
        <v/>
      </c>
      <c r="J26" s="57" t="str">
        <f t="shared" si="1"/>
        <v/>
      </c>
      <c r="K26" s="90" t="str">
        <f t="shared" si="2"/>
        <v/>
      </c>
      <c r="L26" s="87"/>
      <c r="M26" s="88"/>
      <c r="N26" s="88"/>
      <c r="O26" s="89" t="str">
        <f t="shared" si="3"/>
        <v/>
      </c>
      <c r="P26" s="57" t="str">
        <f t="shared" si="4"/>
        <v/>
      </c>
      <c r="Q26" s="90" t="str">
        <f t="shared" si="5"/>
        <v/>
      </c>
      <c r="R26" s="87"/>
      <c r="S26" s="88"/>
      <c r="T26" s="88"/>
      <c r="U26" s="89" t="str">
        <f t="shared" si="6"/>
        <v/>
      </c>
      <c r="V26" s="57" t="str">
        <f t="shared" si="7"/>
        <v/>
      </c>
      <c r="W26" s="90" t="str">
        <f t="shared" si="8"/>
        <v/>
      </c>
      <c r="X26" s="91" t="str">
        <f t="shared" si="13"/>
        <v/>
      </c>
      <c r="Y26" s="92" t="str">
        <f t="shared" si="14"/>
        <v/>
      </c>
      <c r="Z26" s="93" t="str">
        <f t="shared" si="9"/>
        <v/>
      </c>
      <c r="AB26" s="100" t="s">
        <v>163</v>
      </c>
      <c r="AC26" s="104" t="str">
        <f>IFERROR(MEDIAN(R13:R115),"")</f>
        <v/>
      </c>
      <c r="AD26" s="104" t="str">
        <f>IFERROR(MEDIAN(S13:S115),"")</f>
        <v/>
      </c>
      <c r="AE26" s="104" t="str">
        <f>IFERROR(MEDIAN(T13:T115),"")</f>
        <v/>
      </c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42"/>
      <c r="AT26" s="41" t="e">
        <f t="shared" si="10"/>
        <v>#DIV/0!</v>
      </c>
      <c r="AU26" s="41" t="e">
        <f t="shared" si="11"/>
        <v>#DIV/0!</v>
      </c>
      <c r="AV26" s="41" t="e">
        <f t="shared" si="12"/>
        <v>#DIV/0!</v>
      </c>
      <c r="AX26" s="6"/>
    </row>
    <row r="27" spans="1:50" ht="18" customHeight="1">
      <c r="A27" s="179">
        <f>INPUT!A26</f>
        <v>15</v>
      </c>
      <c r="B27" s="179" t="str">
        <f>INPUT!B26</f>
        <v>2022-00013</v>
      </c>
      <c r="C27" s="179" t="str">
        <f>INPUT!C26</f>
        <v>Narita, JD Ariel</v>
      </c>
      <c r="D27" s="87"/>
      <c r="E27" s="88"/>
      <c r="F27" s="88"/>
      <c r="G27" s="88"/>
      <c r="H27" s="88"/>
      <c r="I27" s="89" t="str">
        <f t="shared" si="0"/>
        <v/>
      </c>
      <c r="J27" s="57" t="str">
        <f t="shared" si="1"/>
        <v/>
      </c>
      <c r="K27" s="90" t="str">
        <f t="shared" si="2"/>
        <v/>
      </c>
      <c r="L27" s="87"/>
      <c r="M27" s="88"/>
      <c r="N27" s="88"/>
      <c r="O27" s="89" t="str">
        <f t="shared" si="3"/>
        <v/>
      </c>
      <c r="P27" s="57" t="str">
        <f t="shared" si="4"/>
        <v/>
      </c>
      <c r="Q27" s="90" t="str">
        <f t="shared" si="5"/>
        <v/>
      </c>
      <c r="R27" s="87"/>
      <c r="S27" s="88"/>
      <c r="T27" s="88"/>
      <c r="U27" s="89" t="str">
        <f t="shared" si="6"/>
        <v/>
      </c>
      <c r="V27" s="57" t="str">
        <f t="shared" si="7"/>
        <v/>
      </c>
      <c r="W27" s="90" t="str">
        <f t="shared" si="8"/>
        <v/>
      </c>
      <c r="X27" s="91" t="str">
        <f t="shared" si="13"/>
        <v/>
      </c>
      <c r="Y27" s="92" t="str">
        <f t="shared" si="14"/>
        <v/>
      </c>
      <c r="Z27" s="93" t="str">
        <f t="shared" si="9"/>
        <v/>
      </c>
      <c r="AB27" s="100" t="s">
        <v>164</v>
      </c>
      <c r="AC27" s="104" t="str">
        <f>IFERROR(_xlfn.STDEV.S(R13:R115),"")</f>
        <v/>
      </c>
      <c r="AD27" s="104" t="e">
        <f>_xlfn.STDEV.S(S13:S115)</f>
        <v>#DIV/0!</v>
      </c>
      <c r="AE27" s="104" t="e">
        <f>_xlfn.STDEV.S(T13:T115)</f>
        <v>#DIV/0!</v>
      </c>
      <c r="AR27" s="48"/>
      <c r="AT27" s="41" t="e">
        <f t="shared" si="10"/>
        <v>#DIV/0!</v>
      </c>
      <c r="AU27" s="41" t="e">
        <f t="shared" si="11"/>
        <v>#DIV/0!</v>
      </c>
      <c r="AV27" s="41" t="e">
        <f t="shared" si="12"/>
        <v>#DIV/0!</v>
      </c>
      <c r="AX27" s="6"/>
    </row>
    <row r="28" spans="1:50" ht="18" customHeight="1">
      <c r="A28" s="179">
        <f>INPUT!A27</f>
        <v>16</v>
      </c>
      <c r="B28" s="179" t="str">
        <f>INPUT!B27</f>
        <v>2022-00014</v>
      </c>
      <c r="C28" s="179" t="str">
        <f>INPUT!C27</f>
        <v>Ofngol, Prince Ryder</v>
      </c>
      <c r="D28" s="87"/>
      <c r="E28" s="88"/>
      <c r="F28" s="88"/>
      <c r="G28" s="88"/>
      <c r="H28" s="88"/>
      <c r="I28" s="89" t="str">
        <f t="shared" si="0"/>
        <v/>
      </c>
      <c r="J28" s="57" t="str">
        <f t="shared" si="1"/>
        <v/>
      </c>
      <c r="K28" s="90" t="str">
        <f t="shared" si="2"/>
        <v/>
      </c>
      <c r="L28" s="87"/>
      <c r="M28" s="88"/>
      <c r="N28" s="88"/>
      <c r="O28" s="89" t="str">
        <f t="shared" si="3"/>
        <v/>
      </c>
      <c r="P28" s="57" t="str">
        <f t="shared" si="4"/>
        <v/>
      </c>
      <c r="Q28" s="90" t="str">
        <f t="shared" si="5"/>
        <v/>
      </c>
      <c r="R28" s="87"/>
      <c r="S28" s="88"/>
      <c r="T28" s="88"/>
      <c r="U28" s="89" t="str">
        <f t="shared" si="6"/>
        <v/>
      </c>
      <c r="V28" s="57" t="str">
        <f t="shared" si="7"/>
        <v/>
      </c>
      <c r="W28" s="90" t="str">
        <f t="shared" si="8"/>
        <v/>
      </c>
      <c r="X28" s="91" t="str">
        <f t="shared" si="13"/>
        <v/>
      </c>
      <c r="Y28" s="92" t="str">
        <f t="shared" si="14"/>
        <v/>
      </c>
      <c r="Z28" s="93" t="str">
        <f t="shared" si="9"/>
        <v/>
      </c>
      <c r="AB28" s="100" t="s">
        <v>165</v>
      </c>
      <c r="AC28" s="102" t="str">
        <f>IFERROR(AC25/AC16,"")</f>
        <v/>
      </c>
      <c r="AD28" s="102" t="str">
        <f>IFERROR(AD25/AD16,"")</f>
        <v/>
      </c>
      <c r="AE28" s="102" t="str">
        <f>IFERROR(AE25/AE16,"")</f>
        <v/>
      </c>
      <c r="AR28" s="48"/>
      <c r="AT28" s="41" t="e">
        <f t="shared" si="10"/>
        <v>#DIV/0!</v>
      </c>
      <c r="AU28" s="41" t="e">
        <f t="shared" si="11"/>
        <v>#DIV/0!</v>
      </c>
      <c r="AV28" s="41" t="e">
        <f t="shared" si="12"/>
        <v>#DIV/0!</v>
      </c>
      <c r="AX28" s="6"/>
    </row>
    <row r="29" spans="1:50" ht="18" customHeight="1">
      <c r="A29" s="179">
        <f>INPUT!A28</f>
        <v>17</v>
      </c>
      <c r="B29" s="179" t="str">
        <f>INPUT!B28</f>
        <v>2022-00015</v>
      </c>
      <c r="C29" s="179" t="str">
        <f>INPUT!C28</f>
        <v>Pañega, Roland Josh</v>
      </c>
      <c r="D29" s="87"/>
      <c r="E29" s="88"/>
      <c r="F29" s="88"/>
      <c r="G29" s="88"/>
      <c r="H29" s="88"/>
      <c r="I29" s="89" t="str">
        <f t="shared" si="0"/>
        <v/>
      </c>
      <c r="J29" s="57" t="str">
        <f t="shared" si="1"/>
        <v/>
      </c>
      <c r="K29" s="90" t="str">
        <f t="shared" si="2"/>
        <v/>
      </c>
      <c r="L29" s="87"/>
      <c r="M29" s="88"/>
      <c r="N29" s="88"/>
      <c r="O29" s="89" t="str">
        <f t="shared" si="3"/>
        <v/>
      </c>
      <c r="P29" s="57" t="str">
        <f t="shared" si="4"/>
        <v/>
      </c>
      <c r="Q29" s="90" t="str">
        <f t="shared" si="5"/>
        <v/>
      </c>
      <c r="R29" s="87"/>
      <c r="S29" s="88"/>
      <c r="T29" s="88"/>
      <c r="U29" s="89" t="str">
        <f t="shared" si="6"/>
        <v/>
      </c>
      <c r="V29" s="57" t="str">
        <f t="shared" si="7"/>
        <v/>
      </c>
      <c r="W29" s="90" t="str">
        <f t="shared" si="8"/>
        <v/>
      </c>
      <c r="X29" s="91" t="str">
        <f t="shared" si="13"/>
        <v/>
      </c>
      <c r="Y29" s="92" t="str">
        <f t="shared" si="14"/>
        <v/>
      </c>
      <c r="Z29" s="93" t="str">
        <f t="shared" si="9"/>
        <v/>
      </c>
      <c r="AB29" s="6"/>
      <c r="AC29" s="6"/>
      <c r="AD29" s="6"/>
      <c r="AE29" s="6"/>
      <c r="AR29" s="48"/>
      <c r="AT29" s="41" t="e">
        <f t="shared" si="10"/>
        <v>#DIV/0!</v>
      </c>
      <c r="AU29" s="41" t="e">
        <f t="shared" si="11"/>
        <v>#DIV/0!</v>
      </c>
      <c r="AV29" s="41" t="e">
        <f t="shared" si="12"/>
        <v>#DIV/0!</v>
      </c>
      <c r="AX29" s="6"/>
    </row>
    <row r="30" spans="1:50" ht="18" customHeight="1">
      <c r="A30" s="179">
        <f>INPUT!A29</f>
        <v>18</v>
      </c>
      <c r="B30" s="179" t="str">
        <f>INPUT!B29</f>
        <v>2022-00018</v>
      </c>
      <c r="C30" s="179" t="str">
        <f>INPUT!C29</f>
        <v>Sayson, Aianne Anthony</v>
      </c>
      <c r="D30" s="87"/>
      <c r="E30" s="88"/>
      <c r="F30" s="88"/>
      <c r="G30" s="88"/>
      <c r="H30" s="88"/>
      <c r="I30" s="89" t="str">
        <f t="shared" si="0"/>
        <v/>
      </c>
      <c r="J30" s="57" t="str">
        <f t="shared" si="1"/>
        <v/>
      </c>
      <c r="K30" s="90" t="str">
        <f t="shared" si="2"/>
        <v/>
      </c>
      <c r="L30" s="87"/>
      <c r="M30" s="88"/>
      <c r="N30" s="88"/>
      <c r="O30" s="89" t="str">
        <f t="shared" si="3"/>
        <v/>
      </c>
      <c r="P30" s="57" t="str">
        <f t="shared" si="4"/>
        <v/>
      </c>
      <c r="Q30" s="90" t="str">
        <f t="shared" si="5"/>
        <v/>
      </c>
      <c r="R30" s="87"/>
      <c r="S30" s="88"/>
      <c r="T30" s="88"/>
      <c r="U30" s="89" t="str">
        <f t="shared" si="6"/>
        <v/>
      </c>
      <c r="V30" s="57" t="str">
        <f t="shared" si="7"/>
        <v/>
      </c>
      <c r="W30" s="90" t="str">
        <f t="shared" si="8"/>
        <v/>
      </c>
      <c r="X30" s="91" t="str">
        <f t="shared" si="13"/>
        <v/>
      </c>
      <c r="Y30" s="92" t="str">
        <f t="shared" si="14"/>
        <v/>
      </c>
      <c r="Z30" s="93" t="str">
        <f t="shared" si="9"/>
        <v/>
      </c>
      <c r="AB30" s="99" t="s">
        <v>166</v>
      </c>
      <c r="AC30" s="94" t="s">
        <v>135</v>
      </c>
      <c r="AD30" s="94" t="s">
        <v>136</v>
      </c>
      <c r="AE30" s="94" t="s">
        <v>137</v>
      </c>
      <c r="AR30" s="48"/>
      <c r="AT30" s="41" t="e">
        <f t="shared" si="10"/>
        <v>#DIV/0!</v>
      </c>
      <c r="AU30" s="41" t="e">
        <f t="shared" si="11"/>
        <v>#DIV/0!</v>
      </c>
      <c r="AV30" s="41" t="e">
        <f t="shared" si="12"/>
        <v>#DIV/0!</v>
      </c>
      <c r="AX30" s="6"/>
    </row>
    <row r="31" spans="1:50" ht="18" customHeight="1">
      <c r="A31" s="179">
        <f>INPUT!A30</f>
        <v>19</v>
      </c>
      <c r="B31" s="179" t="str">
        <f>INPUT!B30</f>
        <v>2022-00019</v>
      </c>
      <c r="C31" s="179" t="str">
        <f>INPUT!C30</f>
        <v>Vestidas, Rique Mart</v>
      </c>
      <c r="D31" s="87"/>
      <c r="E31" s="88"/>
      <c r="F31" s="88"/>
      <c r="G31" s="88"/>
      <c r="H31" s="88"/>
      <c r="I31" s="89" t="str">
        <f t="shared" si="0"/>
        <v/>
      </c>
      <c r="J31" s="57" t="str">
        <f t="shared" si="1"/>
        <v/>
      </c>
      <c r="K31" s="90" t="str">
        <f t="shared" si="2"/>
        <v/>
      </c>
      <c r="L31" s="87"/>
      <c r="M31" s="88"/>
      <c r="N31" s="88"/>
      <c r="O31" s="89" t="str">
        <f t="shared" si="3"/>
        <v/>
      </c>
      <c r="P31" s="57" t="str">
        <f t="shared" si="4"/>
        <v/>
      </c>
      <c r="Q31" s="90" t="str">
        <f t="shared" si="5"/>
        <v/>
      </c>
      <c r="R31" s="87"/>
      <c r="S31" s="88"/>
      <c r="T31" s="88"/>
      <c r="U31" s="89" t="str">
        <f t="shared" si="6"/>
        <v/>
      </c>
      <c r="V31" s="57" t="str">
        <f t="shared" si="7"/>
        <v/>
      </c>
      <c r="W31" s="90" t="str">
        <f t="shared" si="8"/>
        <v/>
      </c>
      <c r="X31" s="91" t="str">
        <f t="shared" si="13"/>
        <v/>
      </c>
      <c r="Y31" s="92" t="str">
        <f t="shared" si="14"/>
        <v/>
      </c>
      <c r="Z31" s="93" t="str">
        <f t="shared" si="9"/>
        <v/>
      </c>
      <c r="AB31" s="100" t="s">
        <v>167</v>
      </c>
      <c r="AC31" s="105" t="str">
        <f>IF(COUNTA(R13:R115)=0,"",MAX(R13:R115))</f>
        <v/>
      </c>
      <c r="AD31" s="105" t="str">
        <f>IF(COUNTA(S13:S115)=0,"",MAX(S13:S115))</f>
        <v/>
      </c>
      <c r="AE31" s="105" t="str">
        <f>IF(COUNTA(T13:T115)=0,"",MAX(T13:T115))</f>
        <v/>
      </c>
      <c r="AR31" s="48"/>
      <c r="AT31" s="41" t="e">
        <f t="shared" si="10"/>
        <v>#DIV/0!</v>
      </c>
      <c r="AU31" s="41" t="e">
        <f t="shared" si="11"/>
        <v>#DIV/0!</v>
      </c>
      <c r="AV31" s="41" t="e">
        <f t="shared" si="12"/>
        <v>#DIV/0!</v>
      </c>
      <c r="AX31" s="6"/>
    </row>
    <row r="32" spans="1:50" ht="18" customHeight="1">
      <c r="A32" s="179">
        <f>INPUT!A31</f>
        <v>20</v>
      </c>
      <c r="B32" s="179" t="str">
        <f>INPUT!B31</f>
        <v>2023-00512</v>
      </c>
      <c r="C32" s="179" t="str">
        <f>INPUT!C31</f>
        <v>WENCESLAO, EC WHISTLER</v>
      </c>
      <c r="D32" s="87"/>
      <c r="E32" s="88"/>
      <c r="F32" s="88"/>
      <c r="G32" s="88"/>
      <c r="H32" s="88"/>
      <c r="I32" s="89" t="str">
        <f t="shared" si="0"/>
        <v/>
      </c>
      <c r="J32" s="57" t="str">
        <f t="shared" si="1"/>
        <v/>
      </c>
      <c r="K32" s="90" t="str">
        <f t="shared" si="2"/>
        <v/>
      </c>
      <c r="L32" s="87"/>
      <c r="M32" s="88"/>
      <c r="N32" s="88"/>
      <c r="O32" s="89" t="str">
        <f t="shared" si="3"/>
        <v/>
      </c>
      <c r="P32" s="57" t="str">
        <f t="shared" si="4"/>
        <v/>
      </c>
      <c r="Q32" s="90" t="str">
        <f t="shared" si="5"/>
        <v/>
      </c>
      <c r="R32" s="87"/>
      <c r="S32" s="88"/>
      <c r="T32" s="88"/>
      <c r="U32" s="89" t="str">
        <f t="shared" si="6"/>
        <v/>
      </c>
      <c r="V32" s="57" t="str">
        <f t="shared" si="7"/>
        <v/>
      </c>
      <c r="W32" s="90" t="str">
        <f t="shared" si="8"/>
        <v/>
      </c>
      <c r="X32" s="91" t="str">
        <f t="shared" si="13"/>
        <v/>
      </c>
      <c r="Y32" s="92" t="str">
        <f t="shared" si="14"/>
        <v/>
      </c>
      <c r="Z32" s="93" t="str">
        <f t="shared" si="9"/>
        <v/>
      </c>
      <c r="AB32" s="100" t="s">
        <v>168</v>
      </c>
      <c r="AC32" s="105" t="str">
        <f>IF(COUNTA(R13:R115)=0,"",MIN(R13:R115))</f>
        <v/>
      </c>
      <c r="AD32" s="105" t="str">
        <f>IF(COUNTA(S13:S115)=0,"",MIN(S13:S115))</f>
        <v/>
      </c>
      <c r="AE32" s="105" t="str">
        <f>IF(COUNTA(T13:T115)=0,"",MIN(T13:T115))</f>
        <v/>
      </c>
      <c r="AR32" s="48"/>
      <c r="AT32" s="41" t="e">
        <f t="shared" si="10"/>
        <v>#DIV/0!</v>
      </c>
      <c r="AU32" s="41" t="e">
        <f t="shared" si="11"/>
        <v>#DIV/0!</v>
      </c>
      <c r="AV32" s="41" t="e">
        <f t="shared" si="12"/>
        <v>#DIV/0!</v>
      </c>
      <c r="AX32" s="6"/>
    </row>
    <row r="33" spans="1:50" ht="18" customHeight="1">
      <c r="A33" s="179">
        <f>INPUT!A32</f>
        <v>0</v>
      </c>
      <c r="B33" s="179">
        <f>INPUT!B32</f>
        <v>0</v>
      </c>
      <c r="C33" s="179">
        <f>INPUT!C32</f>
        <v>0</v>
      </c>
      <c r="D33" s="87"/>
      <c r="E33" s="88"/>
      <c r="F33" s="88"/>
      <c r="G33" s="88"/>
      <c r="H33" s="88"/>
      <c r="I33" s="89" t="str">
        <f t="shared" si="0"/>
        <v/>
      </c>
      <c r="J33" s="57" t="str">
        <f t="shared" si="1"/>
        <v/>
      </c>
      <c r="K33" s="90" t="str">
        <f t="shared" si="2"/>
        <v/>
      </c>
      <c r="L33" s="87"/>
      <c r="M33" s="88"/>
      <c r="N33" s="88"/>
      <c r="O33" s="89" t="str">
        <f t="shared" si="3"/>
        <v/>
      </c>
      <c r="P33" s="57" t="str">
        <f t="shared" si="4"/>
        <v/>
      </c>
      <c r="Q33" s="90" t="str">
        <f t="shared" si="5"/>
        <v/>
      </c>
      <c r="R33" s="87"/>
      <c r="S33" s="88"/>
      <c r="T33" s="88"/>
      <c r="U33" s="89" t="str">
        <f t="shared" si="6"/>
        <v/>
      </c>
      <c r="V33" s="57" t="str">
        <f t="shared" si="7"/>
        <v/>
      </c>
      <c r="W33" s="90" t="str">
        <f t="shared" si="8"/>
        <v/>
      </c>
      <c r="X33" s="91" t="str">
        <f t="shared" si="13"/>
        <v/>
      </c>
      <c r="Y33" s="92" t="str">
        <f t="shared" si="14"/>
        <v/>
      </c>
      <c r="Z33" s="93" t="str">
        <f t="shared" si="9"/>
        <v/>
      </c>
      <c r="AB33" s="100" t="s">
        <v>169</v>
      </c>
      <c r="AC33" s="105" t="str">
        <f>IF(COUNTA(R13:R115)=0,"",SUM(R13:R115))</f>
        <v/>
      </c>
      <c r="AD33" s="105" t="str">
        <f>IF(COUNTA(S13:S115)=0,"",SUM(S13:S115))</f>
        <v/>
      </c>
      <c r="AE33" s="105" t="str">
        <f>IF(COUNTA(T13:T115)=0,"",SUM(T13:T115))</f>
        <v/>
      </c>
      <c r="AR33" s="48"/>
      <c r="AT33" s="41" t="e">
        <f t="shared" si="10"/>
        <v>#DIV/0!</v>
      </c>
      <c r="AU33" s="41" t="e">
        <f t="shared" si="11"/>
        <v>#DIV/0!</v>
      </c>
      <c r="AV33" s="41" t="e">
        <f t="shared" si="12"/>
        <v>#DIV/0!</v>
      </c>
      <c r="AX33" s="6"/>
    </row>
    <row r="34" spans="1:50" ht="18" customHeight="1">
      <c r="A34" s="179">
        <f>INPUT!A33</f>
        <v>0</v>
      </c>
      <c r="B34" s="179">
        <f>INPUT!B33</f>
        <v>0</v>
      </c>
      <c r="C34" s="179">
        <f>INPUT!C33</f>
        <v>0</v>
      </c>
      <c r="D34" s="87"/>
      <c r="E34" s="88"/>
      <c r="F34" s="88"/>
      <c r="G34" s="88"/>
      <c r="H34" s="88"/>
      <c r="I34" s="89" t="str">
        <f t="shared" si="0"/>
        <v/>
      </c>
      <c r="J34" s="57" t="str">
        <f t="shared" si="1"/>
        <v/>
      </c>
      <c r="K34" s="90" t="str">
        <f t="shared" si="2"/>
        <v/>
      </c>
      <c r="L34" s="87"/>
      <c r="M34" s="88"/>
      <c r="N34" s="88"/>
      <c r="O34" s="89" t="str">
        <f t="shared" si="3"/>
        <v/>
      </c>
      <c r="P34" s="57" t="str">
        <f t="shared" si="4"/>
        <v/>
      </c>
      <c r="Q34" s="90" t="str">
        <f t="shared" si="5"/>
        <v/>
      </c>
      <c r="R34" s="87"/>
      <c r="S34" s="88"/>
      <c r="T34" s="88"/>
      <c r="U34" s="89" t="str">
        <f t="shared" si="6"/>
        <v/>
      </c>
      <c r="V34" s="57" t="str">
        <f t="shared" si="7"/>
        <v/>
      </c>
      <c r="W34" s="90" t="str">
        <f t="shared" si="8"/>
        <v/>
      </c>
      <c r="X34" s="91" t="str">
        <f t="shared" si="13"/>
        <v/>
      </c>
      <c r="Y34" s="92" t="str">
        <f t="shared" si="14"/>
        <v/>
      </c>
      <c r="Z34" s="93" t="str">
        <f t="shared" si="9"/>
        <v/>
      </c>
      <c r="AB34" s="2"/>
      <c r="AC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6"/>
      <c r="AT34" s="41" t="e">
        <f t="shared" si="10"/>
        <v>#DIV/0!</v>
      </c>
      <c r="AU34" s="41" t="e">
        <f t="shared" si="11"/>
        <v>#DIV/0!</v>
      </c>
      <c r="AV34" s="41" t="e">
        <f t="shared" si="12"/>
        <v>#DIV/0!</v>
      </c>
      <c r="AX34" s="6"/>
    </row>
    <row r="35" spans="1:50" ht="18" customHeight="1">
      <c r="A35" s="179">
        <f>INPUT!A34</f>
        <v>0</v>
      </c>
      <c r="B35" s="179">
        <f>INPUT!B34</f>
        <v>0</v>
      </c>
      <c r="C35" s="179">
        <f>INPUT!C34</f>
        <v>0</v>
      </c>
      <c r="D35" s="87"/>
      <c r="E35" s="88"/>
      <c r="F35" s="88"/>
      <c r="G35" s="88"/>
      <c r="H35" s="88"/>
      <c r="I35" s="89" t="str">
        <f t="shared" si="0"/>
        <v/>
      </c>
      <c r="J35" s="57" t="str">
        <f t="shared" si="1"/>
        <v/>
      </c>
      <c r="K35" s="90" t="str">
        <f t="shared" si="2"/>
        <v/>
      </c>
      <c r="L35" s="87"/>
      <c r="M35" s="88"/>
      <c r="N35" s="88"/>
      <c r="O35" s="89" t="str">
        <f t="shared" si="3"/>
        <v/>
      </c>
      <c r="P35" s="57" t="str">
        <f t="shared" si="4"/>
        <v/>
      </c>
      <c r="Q35" s="90" t="str">
        <f t="shared" si="5"/>
        <v/>
      </c>
      <c r="R35" s="87"/>
      <c r="S35" s="88"/>
      <c r="T35" s="88"/>
      <c r="U35" s="89" t="str">
        <f t="shared" si="6"/>
        <v/>
      </c>
      <c r="V35" s="57" t="str">
        <f t="shared" si="7"/>
        <v/>
      </c>
      <c r="W35" s="90" t="str">
        <f t="shared" si="8"/>
        <v/>
      </c>
      <c r="X35" s="91" t="str">
        <f t="shared" si="13"/>
        <v/>
      </c>
      <c r="Y35" s="92" t="str">
        <f t="shared" si="14"/>
        <v/>
      </c>
      <c r="Z35" s="93" t="str">
        <f t="shared" si="9"/>
        <v/>
      </c>
      <c r="AB35" s="2"/>
      <c r="AC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6"/>
      <c r="AT35" s="41" t="e">
        <f t="shared" si="10"/>
        <v>#DIV/0!</v>
      </c>
      <c r="AU35" s="41" t="e">
        <f t="shared" si="11"/>
        <v>#DIV/0!</v>
      </c>
      <c r="AV35" s="41" t="e">
        <f t="shared" si="12"/>
        <v>#DIV/0!</v>
      </c>
      <c r="AX35" s="6"/>
    </row>
    <row r="36" spans="1:50" ht="18" customHeight="1">
      <c r="A36" s="179">
        <f>INPUT!A35</f>
        <v>0</v>
      </c>
      <c r="B36" s="179">
        <f>INPUT!B35</f>
        <v>0</v>
      </c>
      <c r="C36" s="179">
        <f>INPUT!C35</f>
        <v>0</v>
      </c>
      <c r="D36" s="87"/>
      <c r="E36" s="88"/>
      <c r="F36" s="88"/>
      <c r="G36" s="88"/>
      <c r="H36" s="88"/>
      <c r="I36" s="89" t="str">
        <f t="shared" si="0"/>
        <v/>
      </c>
      <c r="J36" s="57" t="str">
        <f t="shared" si="1"/>
        <v/>
      </c>
      <c r="K36" s="90" t="str">
        <f t="shared" si="2"/>
        <v/>
      </c>
      <c r="L36" s="87"/>
      <c r="M36" s="88"/>
      <c r="N36" s="88"/>
      <c r="O36" s="89" t="str">
        <f t="shared" si="3"/>
        <v/>
      </c>
      <c r="P36" s="57" t="str">
        <f t="shared" si="4"/>
        <v/>
      </c>
      <c r="Q36" s="90" t="str">
        <f t="shared" si="5"/>
        <v/>
      </c>
      <c r="R36" s="87"/>
      <c r="S36" s="88"/>
      <c r="T36" s="88"/>
      <c r="U36" s="89" t="str">
        <f t="shared" si="6"/>
        <v/>
      </c>
      <c r="V36" s="57" t="str">
        <f t="shared" si="7"/>
        <v/>
      </c>
      <c r="W36" s="90" t="str">
        <f t="shared" si="8"/>
        <v/>
      </c>
      <c r="X36" s="91" t="str">
        <f t="shared" si="13"/>
        <v/>
      </c>
      <c r="Y36" s="92" t="str">
        <f t="shared" si="14"/>
        <v/>
      </c>
      <c r="Z36" s="93" t="str">
        <f t="shared" si="9"/>
        <v/>
      </c>
      <c r="AB36" s="2"/>
      <c r="AC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6"/>
      <c r="AT36" s="41" t="e">
        <f t="shared" si="10"/>
        <v>#DIV/0!</v>
      </c>
      <c r="AU36" s="41" t="e">
        <f t="shared" si="11"/>
        <v>#DIV/0!</v>
      </c>
      <c r="AV36" s="41" t="e">
        <f t="shared" si="12"/>
        <v>#DIV/0!</v>
      </c>
      <c r="AX36" s="6"/>
    </row>
    <row r="37" spans="1:50" ht="18" customHeight="1">
      <c r="A37" s="179">
        <f>INPUT!A36</f>
        <v>0</v>
      </c>
      <c r="B37" s="179">
        <f>INPUT!B36</f>
        <v>0</v>
      </c>
      <c r="C37" s="179">
        <f>INPUT!C36</f>
        <v>0</v>
      </c>
      <c r="D37" s="87"/>
      <c r="E37" s="88"/>
      <c r="F37" s="88"/>
      <c r="G37" s="88"/>
      <c r="H37" s="88"/>
      <c r="I37" s="89" t="str">
        <f t="shared" si="0"/>
        <v/>
      </c>
      <c r="J37" s="57" t="str">
        <f t="shared" si="1"/>
        <v/>
      </c>
      <c r="K37" s="90" t="str">
        <f t="shared" si="2"/>
        <v/>
      </c>
      <c r="L37" s="87"/>
      <c r="M37" s="88"/>
      <c r="N37" s="88"/>
      <c r="O37" s="89" t="str">
        <f t="shared" si="3"/>
        <v/>
      </c>
      <c r="P37" s="57" t="str">
        <f t="shared" si="4"/>
        <v/>
      </c>
      <c r="Q37" s="90" t="str">
        <f t="shared" si="5"/>
        <v/>
      </c>
      <c r="R37" s="87"/>
      <c r="S37" s="88"/>
      <c r="T37" s="88"/>
      <c r="U37" s="89" t="str">
        <f t="shared" si="6"/>
        <v/>
      </c>
      <c r="V37" s="57" t="str">
        <f t="shared" si="7"/>
        <v/>
      </c>
      <c r="W37" s="90" t="str">
        <f t="shared" si="8"/>
        <v/>
      </c>
      <c r="X37" s="91" t="str">
        <f t="shared" si="13"/>
        <v/>
      </c>
      <c r="Y37" s="92" t="str">
        <f t="shared" si="14"/>
        <v/>
      </c>
      <c r="Z37" s="93" t="str">
        <f t="shared" si="9"/>
        <v/>
      </c>
      <c r="AB37" s="2"/>
      <c r="AC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6"/>
      <c r="AT37" s="41" t="e">
        <f t="shared" si="10"/>
        <v>#DIV/0!</v>
      </c>
      <c r="AU37" s="41" t="e">
        <f t="shared" si="11"/>
        <v>#DIV/0!</v>
      </c>
      <c r="AV37" s="41" t="e">
        <f t="shared" si="12"/>
        <v>#DIV/0!</v>
      </c>
      <c r="AX37" s="6"/>
    </row>
    <row r="38" spans="1:50" ht="18" customHeight="1">
      <c r="A38" s="179">
        <f>INPUT!A37</f>
        <v>0</v>
      </c>
      <c r="B38" s="179">
        <f>INPUT!B37</f>
        <v>0</v>
      </c>
      <c r="C38" s="179">
        <f>INPUT!C37</f>
        <v>0</v>
      </c>
      <c r="D38" s="87"/>
      <c r="E38" s="88"/>
      <c r="F38" s="88"/>
      <c r="G38" s="88"/>
      <c r="H38" s="88"/>
      <c r="I38" s="89" t="str">
        <f t="shared" si="0"/>
        <v/>
      </c>
      <c r="J38" s="57" t="str">
        <f t="shared" si="1"/>
        <v/>
      </c>
      <c r="K38" s="90" t="str">
        <f t="shared" si="2"/>
        <v/>
      </c>
      <c r="L38" s="87"/>
      <c r="M38" s="88"/>
      <c r="N38" s="88"/>
      <c r="O38" s="89" t="str">
        <f t="shared" si="3"/>
        <v/>
      </c>
      <c r="P38" s="57" t="str">
        <f t="shared" si="4"/>
        <v/>
      </c>
      <c r="Q38" s="90" t="str">
        <f t="shared" si="5"/>
        <v/>
      </c>
      <c r="R38" s="87"/>
      <c r="S38" s="88"/>
      <c r="T38" s="88"/>
      <c r="U38" s="89" t="str">
        <f t="shared" si="6"/>
        <v/>
      </c>
      <c r="V38" s="57" t="str">
        <f t="shared" si="7"/>
        <v/>
      </c>
      <c r="W38" s="90" t="str">
        <f t="shared" si="8"/>
        <v/>
      </c>
      <c r="X38" s="91" t="str">
        <f t="shared" si="13"/>
        <v/>
      </c>
      <c r="Y38" s="92" t="str">
        <f t="shared" si="14"/>
        <v/>
      </c>
      <c r="Z38" s="93" t="str">
        <f t="shared" si="9"/>
        <v/>
      </c>
      <c r="AB38" s="2"/>
      <c r="AC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6"/>
      <c r="AT38" s="41" t="e">
        <f t="shared" si="10"/>
        <v>#DIV/0!</v>
      </c>
      <c r="AU38" s="41" t="e">
        <f t="shared" si="11"/>
        <v>#DIV/0!</v>
      </c>
      <c r="AV38" s="41" t="e">
        <f t="shared" si="12"/>
        <v>#DIV/0!</v>
      </c>
      <c r="AX38" s="6"/>
    </row>
    <row r="39" spans="1:50" ht="18" customHeight="1">
      <c r="A39" s="179">
        <f>INPUT!A38</f>
        <v>0</v>
      </c>
      <c r="B39" s="179">
        <f>INPUT!B38</f>
        <v>0</v>
      </c>
      <c r="C39" s="179">
        <f>INPUT!C38</f>
        <v>0</v>
      </c>
      <c r="D39" s="87"/>
      <c r="E39" s="88"/>
      <c r="F39" s="88"/>
      <c r="G39" s="88"/>
      <c r="H39" s="88"/>
      <c r="I39" s="89" t="str">
        <f t="shared" si="0"/>
        <v/>
      </c>
      <c r="J39" s="57" t="str">
        <f t="shared" si="1"/>
        <v/>
      </c>
      <c r="K39" s="90" t="str">
        <f t="shared" si="2"/>
        <v/>
      </c>
      <c r="L39" s="87"/>
      <c r="M39" s="88"/>
      <c r="N39" s="88"/>
      <c r="O39" s="89" t="str">
        <f t="shared" si="3"/>
        <v/>
      </c>
      <c r="P39" s="57" t="str">
        <f t="shared" si="4"/>
        <v/>
      </c>
      <c r="Q39" s="90" t="str">
        <f t="shared" si="5"/>
        <v/>
      </c>
      <c r="R39" s="87"/>
      <c r="S39" s="88"/>
      <c r="T39" s="88"/>
      <c r="U39" s="89" t="str">
        <f t="shared" si="6"/>
        <v/>
      </c>
      <c r="V39" s="57" t="str">
        <f t="shared" si="7"/>
        <v/>
      </c>
      <c r="W39" s="90" t="str">
        <f t="shared" si="8"/>
        <v/>
      </c>
      <c r="X39" s="91" t="str">
        <f t="shared" si="13"/>
        <v/>
      </c>
      <c r="Y39" s="92" t="str">
        <f t="shared" si="14"/>
        <v/>
      </c>
      <c r="Z39" s="93" t="str">
        <f t="shared" si="9"/>
        <v/>
      </c>
      <c r="AB39" s="2"/>
      <c r="AC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6"/>
      <c r="AT39" s="41" t="e">
        <f t="shared" si="10"/>
        <v>#DIV/0!</v>
      </c>
      <c r="AU39" s="41" t="e">
        <f t="shared" si="11"/>
        <v>#DIV/0!</v>
      </c>
      <c r="AV39" s="41" t="e">
        <f t="shared" si="12"/>
        <v>#DIV/0!</v>
      </c>
      <c r="AX39" s="6"/>
    </row>
    <row r="40" spans="1:50" ht="18" customHeight="1">
      <c r="A40" s="179">
        <f>INPUT!A39</f>
        <v>0</v>
      </c>
      <c r="B40" s="179">
        <f>INPUT!B39</f>
        <v>0</v>
      </c>
      <c r="C40" s="179">
        <f>INPUT!C39</f>
        <v>0</v>
      </c>
      <c r="D40" s="87"/>
      <c r="E40" s="88"/>
      <c r="F40" s="88"/>
      <c r="G40" s="88"/>
      <c r="H40" s="88"/>
      <c r="I40" s="89" t="str">
        <f t="shared" si="0"/>
        <v/>
      </c>
      <c r="J40" s="57" t="str">
        <f t="shared" si="1"/>
        <v/>
      </c>
      <c r="K40" s="90" t="str">
        <f t="shared" si="2"/>
        <v/>
      </c>
      <c r="L40" s="87"/>
      <c r="M40" s="88"/>
      <c r="N40" s="88"/>
      <c r="O40" s="89" t="str">
        <f t="shared" si="3"/>
        <v/>
      </c>
      <c r="P40" s="57" t="str">
        <f t="shared" si="4"/>
        <v/>
      </c>
      <c r="Q40" s="90" t="str">
        <f t="shared" si="5"/>
        <v/>
      </c>
      <c r="R40" s="87"/>
      <c r="S40" s="88"/>
      <c r="T40" s="88"/>
      <c r="U40" s="89" t="str">
        <f t="shared" si="6"/>
        <v/>
      </c>
      <c r="V40" s="57" t="str">
        <f t="shared" si="7"/>
        <v/>
      </c>
      <c r="W40" s="90" t="str">
        <f t="shared" si="8"/>
        <v/>
      </c>
      <c r="X40" s="91" t="str">
        <f t="shared" si="13"/>
        <v/>
      </c>
      <c r="Y40" s="92" t="str">
        <f t="shared" si="14"/>
        <v/>
      </c>
      <c r="Z40" s="93" t="str">
        <f t="shared" si="9"/>
        <v/>
      </c>
      <c r="AB40" s="2"/>
      <c r="AC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6"/>
      <c r="AT40" s="41" t="e">
        <f t="shared" si="10"/>
        <v>#DIV/0!</v>
      </c>
      <c r="AU40" s="41" t="e">
        <f t="shared" si="11"/>
        <v>#DIV/0!</v>
      </c>
      <c r="AV40" s="41" t="e">
        <f t="shared" si="12"/>
        <v>#DIV/0!</v>
      </c>
      <c r="AX40" s="6"/>
    </row>
    <row r="41" spans="1:50" ht="18" customHeight="1">
      <c r="A41" s="179">
        <f>INPUT!A40</f>
        <v>0</v>
      </c>
      <c r="B41" s="179">
        <f>INPUT!B40</f>
        <v>0</v>
      </c>
      <c r="C41" s="179">
        <f>INPUT!C40</f>
        <v>0</v>
      </c>
      <c r="D41" s="87"/>
      <c r="E41" s="88"/>
      <c r="F41" s="88"/>
      <c r="G41" s="88"/>
      <c r="H41" s="88"/>
      <c r="I41" s="89" t="str">
        <f t="shared" si="0"/>
        <v/>
      </c>
      <c r="J41" s="57" t="str">
        <f t="shared" si="1"/>
        <v/>
      </c>
      <c r="K41" s="90" t="str">
        <f t="shared" si="2"/>
        <v/>
      </c>
      <c r="L41" s="87"/>
      <c r="M41" s="88"/>
      <c r="N41" s="88"/>
      <c r="O41" s="89" t="str">
        <f t="shared" si="3"/>
        <v/>
      </c>
      <c r="P41" s="57" t="str">
        <f t="shared" si="4"/>
        <v/>
      </c>
      <c r="Q41" s="90" t="str">
        <f t="shared" si="5"/>
        <v/>
      </c>
      <c r="R41" s="87"/>
      <c r="S41" s="88"/>
      <c r="T41" s="88"/>
      <c r="U41" s="89" t="str">
        <f t="shared" si="6"/>
        <v/>
      </c>
      <c r="V41" s="57" t="str">
        <f t="shared" si="7"/>
        <v/>
      </c>
      <c r="W41" s="90" t="str">
        <f t="shared" si="8"/>
        <v/>
      </c>
      <c r="X41" s="91" t="str">
        <f t="shared" si="13"/>
        <v/>
      </c>
      <c r="Y41" s="92" t="str">
        <f t="shared" si="14"/>
        <v/>
      </c>
      <c r="Z41" s="93" t="str">
        <f t="shared" si="9"/>
        <v/>
      </c>
      <c r="AB41" s="2"/>
      <c r="AC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6"/>
      <c r="AT41" s="41" t="e">
        <f t="shared" si="10"/>
        <v>#DIV/0!</v>
      </c>
      <c r="AU41" s="41" t="e">
        <f t="shared" si="11"/>
        <v>#DIV/0!</v>
      </c>
      <c r="AV41" s="41" t="e">
        <f t="shared" si="12"/>
        <v>#DIV/0!</v>
      </c>
      <c r="AX41" s="6"/>
    </row>
    <row r="42" spans="1:50" ht="18" customHeight="1">
      <c r="A42" s="179">
        <f>INPUT!A41</f>
        <v>0</v>
      </c>
      <c r="B42" s="179">
        <f>INPUT!B41</f>
        <v>0</v>
      </c>
      <c r="C42" s="179">
        <f>INPUT!C41</f>
        <v>0</v>
      </c>
      <c r="D42" s="87"/>
      <c r="E42" s="88"/>
      <c r="F42" s="88"/>
      <c r="G42" s="88"/>
      <c r="H42" s="88"/>
      <c r="I42" s="89" t="str">
        <f t="shared" si="0"/>
        <v/>
      </c>
      <c r="J42" s="57" t="str">
        <f t="shared" si="1"/>
        <v/>
      </c>
      <c r="K42" s="90" t="str">
        <f t="shared" si="2"/>
        <v/>
      </c>
      <c r="L42" s="87"/>
      <c r="M42" s="88"/>
      <c r="N42" s="88"/>
      <c r="O42" s="89" t="str">
        <f t="shared" si="3"/>
        <v/>
      </c>
      <c r="P42" s="57" t="str">
        <f t="shared" si="4"/>
        <v/>
      </c>
      <c r="Q42" s="90" t="str">
        <f t="shared" si="5"/>
        <v/>
      </c>
      <c r="R42" s="87"/>
      <c r="S42" s="88"/>
      <c r="T42" s="88"/>
      <c r="U42" s="89" t="str">
        <f t="shared" si="6"/>
        <v/>
      </c>
      <c r="V42" s="57" t="str">
        <f t="shared" si="7"/>
        <v/>
      </c>
      <c r="W42" s="90" t="str">
        <f t="shared" si="8"/>
        <v/>
      </c>
      <c r="X42" s="91" t="str">
        <f t="shared" si="13"/>
        <v/>
      </c>
      <c r="Y42" s="92" t="str">
        <f t="shared" si="14"/>
        <v/>
      </c>
      <c r="Z42" s="93" t="str">
        <f t="shared" si="9"/>
        <v/>
      </c>
      <c r="AB42" s="2"/>
      <c r="AC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6"/>
      <c r="AT42" s="41" t="e">
        <f t="shared" si="10"/>
        <v>#DIV/0!</v>
      </c>
      <c r="AU42" s="41" t="e">
        <f t="shared" si="11"/>
        <v>#DIV/0!</v>
      </c>
      <c r="AV42" s="41" t="e">
        <f t="shared" si="12"/>
        <v>#DIV/0!</v>
      </c>
      <c r="AX42" s="6"/>
    </row>
    <row r="43" spans="1:50" ht="18" customHeight="1">
      <c r="A43" s="179">
        <f>INPUT!A42</f>
        <v>0</v>
      </c>
      <c r="B43" s="179">
        <f>INPUT!B42</f>
        <v>0</v>
      </c>
      <c r="C43" s="179">
        <f>INPUT!C42</f>
        <v>0</v>
      </c>
      <c r="D43" s="87"/>
      <c r="E43" s="88"/>
      <c r="F43" s="88"/>
      <c r="G43" s="88"/>
      <c r="H43" s="88"/>
      <c r="I43" s="89" t="str">
        <f t="shared" si="0"/>
        <v/>
      </c>
      <c r="J43" s="57" t="str">
        <f t="shared" si="1"/>
        <v/>
      </c>
      <c r="K43" s="90" t="str">
        <f t="shared" si="2"/>
        <v/>
      </c>
      <c r="L43" s="87"/>
      <c r="M43" s="88"/>
      <c r="N43" s="88"/>
      <c r="O43" s="89" t="str">
        <f t="shared" si="3"/>
        <v/>
      </c>
      <c r="P43" s="57" t="str">
        <f t="shared" si="4"/>
        <v/>
      </c>
      <c r="Q43" s="90" t="str">
        <f t="shared" si="5"/>
        <v/>
      </c>
      <c r="R43" s="87"/>
      <c r="S43" s="88"/>
      <c r="T43" s="88"/>
      <c r="U43" s="89" t="str">
        <f t="shared" si="6"/>
        <v/>
      </c>
      <c r="V43" s="57" t="str">
        <f t="shared" si="7"/>
        <v/>
      </c>
      <c r="W43" s="90" t="str">
        <f t="shared" si="8"/>
        <v/>
      </c>
      <c r="X43" s="91" t="str">
        <f t="shared" si="13"/>
        <v/>
      </c>
      <c r="Y43" s="92" t="str">
        <f t="shared" si="14"/>
        <v/>
      </c>
      <c r="Z43" s="93" t="str">
        <f t="shared" si="9"/>
        <v/>
      </c>
      <c r="AB43" s="2"/>
      <c r="AC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6"/>
      <c r="AT43" s="41" t="e">
        <f t="shared" si="10"/>
        <v>#DIV/0!</v>
      </c>
      <c r="AU43" s="41" t="e">
        <f t="shared" si="11"/>
        <v>#DIV/0!</v>
      </c>
      <c r="AV43" s="41" t="e">
        <f t="shared" si="12"/>
        <v>#DIV/0!</v>
      </c>
      <c r="AX43" s="6"/>
    </row>
    <row r="44" spans="1:50" ht="18" customHeight="1">
      <c r="A44" s="179">
        <f>INPUT!A43</f>
        <v>0</v>
      </c>
      <c r="B44" s="179">
        <f>INPUT!B43</f>
        <v>0</v>
      </c>
      <c r="C44" s="179">
        <f>INPUT!C43</f>
        <v>0</v>
      </c>
      <c r="D44" s="87"/>
      <c r="E44" s="88"/>
      <c r="F44" s="88"/>
      <c r="G44" s="88"/>
      <c r="H44" s="88"/>
      <c r="I44" s="89" t="str">
        <f t="shared" si="0"/>
        <v/>
      </c>
      <c r="J44" s="57" t="str">
        <f t="shared" si="1"/>
        <v/>
      </c>
      <c r="K44" s="90" t="str">
        <f t="shared" si="2"/>
        <v/>
      </c>
      <c r="L44" s="87"/>
      <c r="M44" s="88"/>
      <c r="N44" s="88"/>
      <c r="O44" s="89" t="str">
        <f t="shared" si="3"/>
        <v/>
      </c>
      <c r="P44" s="57" t="str">
        <f t="shared" si="4"/>
        <v/>
      </c>
      <c r="Q44" s="90" t="str">
        <f t="shared" si="5"/>
        <v/>
      </c>
      <c r="R44" s="87"/>
      <c r="S44" s="88"/>
      <c r="T44" s="88"/>
      <c r="U44" s="89" t="str">
        <f t="shared" si="6"/>
        <v/>
      </c>
      <c r="V44" s="57" t="str">
        <f t="shared" si="7"/>
        <v/>
      </c>
      <c r="W44" s="90" t="str">
        <f t="shared" si="8"/>
        <v/>
      </c>
      <c r="X44" s="91" t="str">
        <f t="shared" si="13"/>
        <v/>
      </c>
      <c r="Y44" s="92" t="str">
        <f t="shared" si="14"/>
        <v/>
      </c>
      <c r="Z44" s="93" t="str">
        <f t="shared" si="9"/>
        <v/>
      </c>
      <c r="AB44" s="2"/>
      <c r="AC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6"/>
      <c r="AT44" s="41" t="e">
        <f t="shared" si="10"/>
        <v>#DIV/0!</v>
      </c>
      <c r="AU44" s="41" t="e">
        <f t="shared" si="11"/>
        <v>#DIV/0!</v>
      </c>
      <c r="AV44" s="41" t="e">
        <f t="shared" si="12"/>
        <v>#DIV/0!</v>
      </c>
      <c r="AX44" s="6"/>
    </row>
    <row r="45" spans="1:50" ht="18" customHeight="1">
      <c r="A45" s="179">
        <f>INPUT!A44</f>
        <v>0</v>
      </c>
      <c r="B45" s="179">
        <f>INPUT!B44</f>
        <v>0</v>
      </c>
      <c r="C45" s="179">
        <f>INPUT!C44</f>
        <v>0</v>
      </c>
      <c r="D45" s="87"/>
      <c r="E45" s="88"/>
      <c r="F45" s="88"/>
      <c r="G45" s="88"/>
      <c r="H45" s="88"/>
      <c r="I45" s="89" t="str">
        <f t="shared" ref="I45:I62" si="15">IF(COUNT($D45:$H45)=0,"",SUM($D45:$H45))</f>
        <v/>
      </c>
      <c r="J45" s="57" t="str">
        <f t="shared" ref="J45:J62" si="16">IF(ISERROR(IF($I45="","",ROUND(($I45/$I$10)*$J$10,2))),"",IF($I45="","",ROUND(($I45/$I$10)*$J$10,2)))</f>
        <v/>
      </c>
      <c r="K45" s="90" t="str">
        <f t="shared" ref="K45:K62" si="17">IF($J45="","",ROUND($J45*$K$10,2))</f>
        <v/>
      </c>
      <c r="L45" s="87"/>
      <c r="M45" s="88"/>
      <c r="N45" s="88"/>
      <c r="O45" s="89" t="str">
        <f t="shared" ref="O45:O62" si="18">IF(COUNT($L45:$N45)=0,"",SUM($L45:$N45))</f>
        <v/>
      </c>
      <c r="P45" s="57" t="str">
        <f t="shared" ref="P45:P62" si="19">IF(ISERROR(IF($O45="","",ROUND(($O45/$O$10)*$P$10,2))),"",IF($O45="","",ROUND(($O45/$O$10)*$P$10,2)))</f>
        <v/>
      </c>
      <c r="Q45" s="90" t="str">
        <f t="shared" ref="Q45:Q62" si="20">IF($P45="","",ROUND($P45*$Q$10,2))</f>
        <v/>
      </c>
      <c r="R45" s="87"/>
      <c r="S45" s="88"/>
      <c r="T45" s="88"/>
      <c r="U45" s="89" t="str">
        <f t="shared" ref="U45:U62" si="21">IF(COUNT($R45:$T45)=0,"",SUM($R45:$T45))</f>
        <v/>
      </c>
      <c r="V45" s="57" t="str">
        <f t="shared" ref="V45:V62" si="22">IF(ISERROR(IF($U45="","",ROUND(($U45/$U$10)*$V$10,2))),"",IF($U45="","",ROUND(($U45/$U$10)*$V$10,2)))</f>
        <v/>
      </c>
      <c r="W45" s="90" t="str">
        <f t="shared" ref="W45:W62" si="23">IF($V45="","",ROUND($V45*$W$10,2))</f>
        <v/>
      </c>
      <c r="X45" s="91" t="str">
        <f t="shared" si="13"/>
        <v/>
      </c>
      <c r="Y45" s="92" t="str">
        <f t="shared" si="14"/>
        <v/>
      </c>
      <c r="Z45" s="93" t="str">
        <f t="shared" ref="Z45:Z76" si="24">IF(ISERROR(IF(Y45="","",VLOOKUP(Y45,DESCRIPTORS,4,TRUE))),"",IF(Y45="","",VLOOKUP(Y45,DESCRIPTORS,4,TRUE)))</f>
        <v/>
      </c>
      <c r="AB45" s="2"/>
      <c r="AC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6"/>
      <c r="AT45" s="41" t="e">
        <f t="shared" ref="AT45:AT62" si="25">(R45/$R$10)*100</f>
        <v>#DIV/0!</v>
      </c>
      <c r="AU45" s="41" t="e">
        <f t="shared" ref="AU45:AU62" si="26">(S45/$S$10)*100</f>
        <v>#DIV/0!</v>
      </c>
      <c r="AV45" s="41" t="e">
        <f t="shared" ref="AV45:AV62" si="27">(T45/$T$10)*100</f>
        <v>#DIV/0!</v>
      </c>
      <c r="AX45" s="6"/>
    </row>
    <row r="46" spans="1:50" ht="18" customHeight="1">
      <c r="A46" s="179">
        <f>INPUT!A45</f>
        <v>0</v>
      </c>
      <c r="B46" s="179">
        <f>INPUT!B45</f>
        <v>0</v>
      </c>
      <c r="C46" s="179">
        <f>INPUT!C45</f>
        <v>0</v>
      </c>
      <c r="D46" s="87"/>
      <c r="E46" s="88"/>
      <c r="F46" s="88"/>
      <c r="G46" s="88"/>
      <c r="H46" s="88"/>
      <c r="I46" s="89" t="str">
        <f t="shared" si="15"/>
        <v/>
      </c>
      <c r="J46" s="57" t="str">
        <f t="shared" si="16"/>
        <v/>
      </c>
      <c r="K46" s="90" t="str">
        <f t="shared" si="17"/>
        <v/>
      </c>
      <c r="L46" s="87"/>
      <c r="M46" s="88"/>
      <c r="N46" s="88"/>
      <c r="O46" s="89" t="str">
        <f t="shared" si="18"/>
        <v/>
      </c>
      <c r="P46" s="57" t="str">
        <f t="shared" si="19"/>
        <v/>
      </c>
      <c r="Q46" s="90" t="str">
        <f t="shared" si="20"/>
        <v/>
      </c>
      <c r="R46" s="87"/>
      <c r="S46" s="88"/>
      <c r="T46" s="88"/>
      <c r="U46" s="89" t="str">
        <f t="shared" si="21"/>
        <v/>
      </c>
      <c r="V46" s="57" t="str">
        <f t="shared" si="22"/>
        <v/>
      </c>
      <c r="W46" s="90" t="str">
        <f t="shared" si="23"/>
        <v/>
      </c>
      <c r="X46" s="91" t="str">
        <f t="shared" ref="X46:X62" si="28">IF(ISERROR(IF($T46="","",ROUND(SUM($K46,$Q46,$W46),2))),"",IF($T46="","",ROUND(SUM($K46,$Q46,$W46),2)))</f>
        <v/>
      </c>
      <c r="Y46" s="92" t="str">
        <f t="shared" ref="Y46:Y77" si="29">IF(ISERROR(IF($T46="","",VLOOKUP(X46,NewTransmu,4,TRUE))),"",IF($T46="","",VLOOKUP(X46,NewTransmu,4,TRUE)))</f>
        <v/>
      </c>
      <c r="Z46" s="93" t="str">
        <f t="shared" si="24"/>
        <v/>
      </c>
      <c r="AB46" s="2"/>
      <c r="AC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6"/>
      <c r="AT46" s="41" t="e">
        <f t="shared" si="25"/>
        <v>#DIV/0!</v>
      </c>
      <c r="AU46" s="41" t="e">
        <f t="shared" si="26"/>
        <v>#DIV/0!</v>
      </c>
      <c r="AV46" s="41" t="e">
        <f t="shared" si="27"/>
        <v>#DIV/0!</v>
      </c>
      <c r="AX46" s="6"/>
    </row>
    <row r="47" spans="1:50" ht="18" customHeight="1">
      <c r="A47" s="179">
        <f>INPUT!A46</f>
        <v>0</v>
      </c>
      <c r="B47" s="179">
        <f>INPUT!B46</f>
        <v>0</v>
      </c>
      <c r="C47" s="179">
        <f>INPUT!C46</f>
        <v>0</v>
      </c>
      <c r="D47" s="87"/>
      <c r="E47" s="88"/>
      <c r="F47" s="88"/>
      <c r="G47" s="88"/>
      <c r="H47" s="88"/>
      <c r="I47" s="89" t="str">
        <f t="shared" si="15"/>
        <v/>
      </c>
      <c r="J47" s="57" t="str">
        <f t="shared" si="16"/>
        <v/>
      </c>
      <c r="K47" s="90" t="str">
        <f t="shared" si="17"/>
        <v/>
      </c>
      <c r="L47" s="87"/>
      <c r="M47" s="88"/>
      <c r="N47" s="88"/>
      <c r="O47" s="89" t="str">
        <f t="shared" si="18"/>
        <v/>
      </c>
      <c r="P47" s="57" t="str">
        <f t="shared" si="19"/>
        <v/>
      </c>
      <c r="Q47" s="90" t="str">
        <f t="shared" si="20"/>
        <v/>
      </c>
      <c r="R47" s="87"/>
      <c r="S47" s="88"/>
      <c r="T47" s="88"/>
      <c r="U47" s="89" t="str">
        <f t="shared" si="21"/>
        <v/>
      </c>
      <c r="V47" s="57" t="str">
        <f t="shared" si="22"/>
        <v/>
      </c>
      <c r="W47" s="90" t="str">
        <f t="shared" si="23"/>
        <v/>
      </c>
      <c r="X47" s="91" t="str">
        <f t="shared" si="28"/>
        <v/>
      </c>
      <c r="Y47" s="92" t="str">
        <f t="shared" si="29"/>
        <v/>
      </c>
      <c r="Z47" s="93" t="str">
        <f t="shared" si="24"/>
        <v/>
      </c>
      <c r="AB47" s="2"/>
      <c r="AC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6"/>
      <c r="AT47" s="41" t="e">
        <f t="shared" si="25"/>
        <v>#DIV/0!</v>
      </c>
      <c r="AU47" s="41" t="e">
        <f t="shared" si="26"/>
        <v>#DIV/0!</v>
      </c>
      <c r="AV47" s="41" t="e">
        <f t="shared" si="27"/>
        <v>#DIV/0!</v>
      </c>
      <c r="AX47" s="6"/>
    </row>
    <row r="48" spans="1:50" ht="18" customHeight="1">
      <c r="A48" s="179">
        <f>INPUT!A47</f>
        <v>0</v>
      </c>
      <c r="B48" s="179">
        <f>INPUT!B47</f>
        <v>0</v>
      </c>
      <c r="C48" s="179">
        <f>INPUT!C47</f>
        <v>0</v>
      </c>
      <c r="D48" s="87"/>
      <c r="E48" s="88"/>
      <c r="F48" s="88"/>
      <c r="G48" s="88"/>
      <c r="H48" s="88"/>
      <c r="I48" s="89" t="str">
        <f t="shared" si="15"/>
        <v/>
      </c>
      <c r="J48" s="57" t="str">
        <f t="shared" si="16"/>
        <v/>
      </c>
      <c r="K48" s="90" t="str">
        <f t="shared" si="17"/>
        <v/>
      </c>
      <c r="L48" s="87"/>
      <c r="M48" s="88"/>
      <c r="N48" s="88"/>
      <c r="O48" s="89" t="str">
        <f t="shared" si="18"/>
        <v/>
      </c>
      <c r="P48" s="57" t="str">
        <f t="shared" si="19"/>
        <v/>
      </c>
      <c r="Q48" s="90" t="str">
        <f t="shared" si="20"/>
        <v/>
      </c>
      <c r="R48" s="87"/>
      <c r="S48" s="88"/>
      <c r="T48" s="88"/>
      <c r="U48" s="89" t="str">
        <f t="shared" si="21"/>
        <v/>
      </c>
      <c r="V48" s="57" t="str">
        <f t="shared" si="22"/>
        <v/>
      </c>
      <c r="W48" s="90" t="str">
        <f t="shared" si="23"/>
        <v/>
      </c>
      <c r="X48" s="91" t="str">
        <f t="shared" si="28"/>
        <v/>
      </c>
      <c r="Y48" s="92" t="str">
        <f t="shared" si="29"/>
        <v/>
      </c>
      <c r="Z48" s="93" t="str">
        <f t="shared" si="24"/>
        <v/>
      </c>
      <c r="AB48" s="2"/>
      <c r="AC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6"/>
      <c r="AT48" s="41" t="e">
        <f t="shared" si="25"/>
        <v>#DIV/0!</v>
      </c>
      <c r="AU48" s="41" t="e">
        <f t="shared" si="26"/>
        <v>#DIV/0!</v>
      </c>
      <c r="AV48" s="41" t="e">
        <f t="shared" si="27"/>
        <v>#DIV/0!</v>
      </c>
      <c r="AX48" s="6"/>
    </row>
    <row r="49" spans="1:50" ht="18" customHeight="1">
      <c r="A49" s="179">
        <f>INPUT!A48</f>
        <v>0</v>
      </c>
      <c r="B49" s="179">
        <f>INPUT!B48</f>
        <v>0</v>
      </c>
      <c r="C49" s="179">
        <f>INPUT!C48</f>
        <v>0</v>
      </c>
      <c r="D49" s="87"/>
      <c r="E49" s="88"/>
      <c r="F49" s="88"/>
      <c r="G49" s="88"/>
      <c r="H49" s="88"/>
      <c r="I49" s="89" t="str">
        <f t="shared" si="15"/>
        <v/>
      </c>
      <c r="J49" s="57" t="str">
        <f t="shared" si="16"/>
        <v/>
      </c>
      <c r="K49" s="90" t="str">
        <f t="shared" si="17"/>
        <v/>
      </c>
      <c r="L49" s="87"/>
      <c r="M49" s="88"/>
      <c r="N49" s="88"/>
      <c r="O49" s="89" t="str">
        <f t="shared" si="18"/>
        <v/>
      </c>
      <c r="P49" s="57" t="str">
        <f t="shared" si="19"/>
        <v/>
      </c>
      <c r="Q49" s="90" t="str">
        <f t="shared" si="20"/>
        <v/>
      </c>
      <c r="R49" s="87"/>
      <c r="S49" s="88"/>
      <c r="T49" s="88"/>
      <c r="U49" s="89" t="str">
        <f t="shared" si="21"/>
        <v/>
      </c>
      <c r="V49" s="57" t="str">
        <f t="shared" si="22"/>
        <v/>
      </c>
      <c r="W49" s="90" t="str">
        <f t="shared" si="23"/>
        <v/>
      </c>
      <c r="X49" s="91" t="str">
        <f t="shared" si="28"/>
        <v/>
      </c>
      <c r="Y49" s="92" t="str">
        <f t="shared" si="29"/>
        <v/>
      </c>
      <c r="Z49" s="93" t="str">
        <f t="shared" si="24"/>
        <v/>
      </c>
      <c r="AB49" s="2"/>
      <c r="AC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6"/>
      <c r="AT49" s="41" t="e">
        <f t="shared" si="25"/>
        <v>#DIV/0!</v>
      </c>
      <c r="AU49" s="41" t="e">
        <f t="shared" si="26"/>
        <v>#DIV/0!</v>
      </c>
      <c r="AV49" s="41" t="e">
        <f t="shared" si="27"/>
        <v>#DIV/0!</v>
      </c>
      <c r="AX49" s="6"/>
    </row>
    <row r="50" spans="1:50" ht="18" customHeight="1">
      <c r="A50" s="179">
        <f>INPUT!A49</f>
        <v>0</v>
      </c>
      <c r="B50" s="179">
        <f>INPUT!B49</f>
        <v>0</v>
      </c>
      <c r="C50" s="179">
        <f>INPUT!C49</f>
        <v>0</v>
      </c>
      <c r="D50" s="87"/>
      <c r="E50" s="88"/>
      <c r="F50" s="88"/>
      <c r="G50" s="88"/>
      <c r="H50" s="88"/>
      <c r="I50" s="89" t="str">
        <f t="shared" si="15"/>
        <v/>
      </c>
      <c r="J50" s="57" t="str">
        <f t="shared" si="16"/>
        <v/>
      </c>
      <c r="K50" s="90" t="str">
        <f t="shared" si="17"/>
        <v/>
      </c>
      <c r="L50" s="87"/>
      <c r="M50" s="88"/>
      <c r="N50" s="88"/>
      <c r="O50" s="89" t="str">
        <f t="shared" si="18"/>
        <v/>
      </c>
      <c r="P50" s="57" t="str">
        <f t="shared" si="19"/>
        <v/>
      </c>
      <c r="Q50" s="90" t="str">
        <f t="shared" si="20"/>
        <v/>
      </c>
      <c r="R50" s="87"/>
      <c r="S50" s="88"/>
      <c r="T50" s="88"/>
      <c r="U50" s="89" t="str">
        <f t="shared" si="21"/>
        <v/>
      </c>
      <c r="V50" s="57" t="str">
        <f t="shared" si="22"/>
        <v/>
      </c>
      <c r="W50" s="90" t="str">
        <f t="shared" si="23"/>
        <v/>
      </c>
      <c r="X50" s="91" t="str">
        <f t="shared" si="28"/>
        <v/>
      </c>
      <c r="Y50" s="92" t="str">
        <f t="shared" si="29"/>
        <v/>
      </c>
      <c r="Z50" s="93" t="str">
        <f t="shared" si="24"/>
        <v/>
      </c>
      <c r="AB50" s="2"/>
      <c r="AC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6"/>
      <c r="AT50" s="41" t="e">
        <f t="shared" si="25"/>
        <v>#DIV/0!</v>
      </c>
      <c r="AU50" s="41" t="e">
        <f t="shared" si="26"/>
        <v>#DIV/0!</v>
      </c>
      <c r="AV50" s="41" t="e">
        <f t="shared" si="27"/>
        <v>#DIV/0!</v>
      </c>
      <c r="AX50" s="6"/>
    </row>
    <row r="51" spans="1:50" ht="18" customHeight="1">
      <c r="A51" s="179">
        <f>INPUT!A50</f>
        <v>0</v>
      </c>
      <c r="B51" s="179">
        <f>INPUT!B50</f>
        <v>0</v>
      </c>
      <c r="C51" s="179">
        <f>INPUT!C50</f>
        <v>0</v>
      </c>
      <c r="D51" s="87"/>
      <c r="E51" s="88"/>
      <c r="F51" s="88"/>
      <c r="G51" s="88"/>
      <c r="H51" s="88"/>
      <c r="I51" s="89" t="str">
        <f t="shared" si="15"/>
        <v/>
      </c>
      <c r="J51" s="57" t="str">
        <f t="shared" si="16"/>
        <v/>
      </c>
      <c r="K51" s="90" t="str">
        <f t="shared" si="17"/>
        <v/>
      </c>
      <c r="L51" s="87"/>
      <c r="M51" s="88"/>
      <c r="N51" s="88"/>
      <c r="O51" s="89" t="str">
        <f t="shared" si="18"/>
        <v/>
      </c>
      <c r="P51" s="57" t="str">
        <f t="shared" si="19"/>
        <v/>
      </c>
      <c r="Q51" s="90" t="str">
        <f t="shared" si="20"/>
        <v/>
      </c>
      <c r="R51" s="87"/>
      <c r="S51" s="88"/>
      <c r="T51" s="88"/>
      <c r="U51" s="89" t="str">
        <f t="shared" si="21"/>
        <v/>
      </c>
      <c r="V51" s="57" t="str">
        <f t="shared" si="22"/>
        <v/>
      </c>
      <c r="W51" s="90" t="str">
        <f t="shared" si="23"/>
        <v/>
      </c>
      <c r="X51" s="91" t="str">
        <f t="shared" si="28"/>
        <v/>
      </c>
      <c r="Y51" s="92" t="str">
        <f t="shared" si="29"/>
        <v/>
      </c>
      <c r="Z51" s="93" t="str">
        <f t="shared" si="24"/>
        <v/>
      </c>
      <c r="AB51" s="2"/>
      <c r="AC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6"/>
      <c r="AT51" s="41" t="e">
        <f t="shared" si="25"/>
        <v>#DIV/0!</v>
      </c>
      <c r="AU51" s="41" t="e">
        <f t="shared" si="26"/>
        <v>#DIV/0!</v>
      </c>
      <c r="AV51" s="41" t="e">
        <f t="shared" si="27"/>
        <v>#DIV/0!</v>
      </c>
      <c r="AX51" s="6"/>
    </row>
    <row r="52" spans="1:50" ht="18" customHeight="1">
      <c r="A52" s="179">
        <f>INPUT!A51</f>
        <v>0</v>
      </c>
      <c r="B52" s="179">
        <f>INPUT!B51</f>
        <v>0</v>
      </c>
      <c r="C52" s="179">
        <f>INPUT!C51</f>
        <v>0</v>
      </c>
      <c r="D52" s="87"/>
      <c r="E52" s="88"/>
      <c r="F52" s="88"/>
      <c r="G52" s="88"/>
      <c r="H52" s="88"/>
      <c r="I52" s="89" t="str">
        <f t="shared" si="15"/>
        <v/>
      </c>
      <c r="J52" s="57" t="str">
        <f t="shared" si="16"/>
        <v/>
      </c>
      <c r="K52" s="90" t="str">
        <f t="shared" si="17"/>
        <v/>
      </c>
      <c r="L52" s="87"/>
      <c r="M52" s="88"/>
      <c r="N52" s="88"/>
      <c r="O52" s="89" t="str">
        <f t="shared" si="18"/>
        <v/>
      </c>
      <c r="P52" s="57" t="str">
        <f t="shared" si="19"/>
        <v/>
      </c>
      <c r="Q52" s="90" t="str">
        <f t="shared" si="20"/>
        <v/>
      </c>
      <c r="R52" s="87"/>
      <c r="S52" s="88"/>
      <c r="T52" s="88"/>
      <c r="U52" s="89" t="str">
        <f t="shared" si="21"/>
        <v/>
      </c>
      <c r="V52" s="57" t="str">
        <f t="shared" si="22"/>
        <v/>
      </c>
      <c r="W52" s="90" t="str">
        <f t="shared" si="23"/>
        <v/>
      </c>
      <c r="X52" s="91" t="str">
        <f t="shared" si="28"/>
        <v/>
      </c>
      <c r="Y52" s="92" t="str">
        <f t="shared" si="29"/>
        <v/>
      </c>
      <c r="Z52" s="93" t="str">
        <f t="shared" si="24"/>
        <v/>
      </c>
      <c r="AB52" s="2"/>
      <c r="AC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6"/>
      <c r="AT52" s="41" t="e">
        <f t="shared" si="25"/>
        <v>#DIV/0!</v>
      </c>
      <c r="AU52" s="41" t="e">
        <f t="shared" si="26"/>
        <v>#DIV/0!</v>
      </c>
      <c r="AV52" s="41" t="e">
        <f t="shared" si="27"/>
        <v>#DIV/0!</v>
      </c>
      <c r="AX52" s="6"/>
    </row>
    <row r="53" spans="1:50" ht="18" customHeight="1">
      <c r="A53" s="179">
        <f>INPUT!A52</f>
        <v>0</v>
      </c>
      <c r="B53" s="179">
        <f>INPUT!B52</f>
        <v>0</v>
      </c>
      <c r="C53" s="179">
        <f>INPUT!C52</f>
        <v>0</v>
      </c>
      <c r="D53" s="87"/>
      <c r="E53" s="88"/>
      <c r="F53" s="88"/>
      <c r="G53" s="88"/>
      <c r="H53" s="88"/>
      <c r="I53" s="89" t="str">
        <f t="shared" si="15"/>
        <v/>
      </c>
      <c r="J53" s="57" t="str">
        <f t="shared" si="16"/>
        <v/>
      </c>
      <c r="K53" s="90" t="str">
        <f t="shared" si="17"/>
        <v/>
      </c>
      <c r="L53" s="87"/>
      <c r="M53" s="88"/>
      <c r="N53" s="88"/>
      <c r="O53" s="89" t="str">
        <f t="shared" si="18"/>
        <v/>
      </c>
      <c r="P53" s="57" t="str">
        <f t="shared" si="19"/>
        <v/>
      </c>
      <c r="Q53" s="90" t="str">
        <f t="shared" si="20"/>
        <v/>
      </c>
      <c r="R53" s="87"/>
      <c r="S53" s="88"/>
      <c r="T53" s="88"/>
      <c r="U53" s="89" t="str">
        <f t="shared" si="21"/>
        <v/>
      </c>
      <c r="V53" s="57" t="str">
        <f t="shared" si="22"/>
        <v/>
      </c>
      <c r="W53" s="90" t="str">
        <f t="shared" si="23"/>
        <v/>
      </c>
      <c r="X53" s="91" t="str">
        <f t="shared" si="28"/>
        <v/>
      </c>
      <c r="Y53" s="92" t="str">
        <f t="shared" si="29"/>
        <v/>
      </c>
      <c r="Z53" s="93" t="str">
        <f t="shared" si="24"/>
        <v/>
      </c>
      <c r="AB53" s="2"/>
      <c r="AC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6"/>
      <c r="AT53" s="41" t="e">
        <f t="shared" si="25"/>
        <v>#DIV/0!</v>
      </c>
      <c r="AU53" s="41" t="e">
        <f t="shared" si="26"/>
        <v>#DIV/0!</v>
      </c>
      <c r="AV53" s="41" t="e">
        <f t="shared" si="27"/>
        <v>#DIV/0!</v>
      </c>
      <c r="AX53" s="6"/>
    </row>
    <row r="54" spans="1:50" ht="18" customHeight="1">
      <c r="A54" s="179">
        <f>INPUT!A53</f>
        <v>0</v>
      </c>
      <c r="B54" s="179">
        <f>INPUT!B53</f>
        <v>0</v>
      </c>
      <c r="C54" s="179">
        <f>INPUT!C53</f>
        <v>0</v>
      </c>
      <c r="D54" s="87"/>
      <c r="E54" s="88"/>
      <c r="F54" s="88"/>
      <c r="G54" s="88"/>
      <c r="H54" s="88"/>
      <c r="I54" s="89" t="str">
        <f t="shared" si="15"/>
        <v/>
      </c>
      <c r="J54" s="57" t="str">
        <f t="shared" si="16"/>
        <v/>
      </c>
      <c r="K54" s="90" t="str">
        <f t="shared" si="17"/>
        <v/>
      </c>
      <c r="L54" s="87"/>
      <c r="M54" s="88"/>
      <c r="N54" s="88"/>
      <c r="O54" s="89" t="str">
        <f t="shared" si="18"/>
        <v/>
      </c>
      <c r="P54" s="57" t="str">
        <f t="shared" si="19"/>
        <v/>
      </c>
      <c r="Q54" s="90" t="str">
        <f t="shared" si="20"/>
        <v/>
      </c>
      <c r="R54" s="87"/>
      <c r="S54" s="88"/>
      <c r="T54" s="88"/>
      <c r="U54" s="89" t="str">
        <f t="shared" si="21"/>
        <v/>
      </c>
      <c r="V54" s="57" t="str">
        <f t="shared" si="22"/>
        <v/>
      </c>
      <c r="W54" s="90" t="str">
        <f t="shared" si="23"/>
        <v/>
      </c>
      <c r="X54" s="91" t="str">
        <f t="shared" si="28"/>
        <v/>
      </c>
      <c r="Y54" s="92" t="str">
        <f t="shared" si="29"/>
        <v/>
      </c>
      <c r="Z54" s="93" t="str">
        <f t="shared" si="24"/>
        <v/>
      </c>
      <c r="AB54" s="2"/>
      <c r="AC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6"/>
      <c r="AT54" s="41" t="e">
        <f t="shared" si="25"/>
        <v>#DIV/0!</v>
      </c>
      <c r="AU54" s="41" t="e">
        <f t="shared" si="26"/>
        <v>#DIV/0!</v>
      </c>
      <c r="AV54" s="41" t="e">
        <f t="shared" si="27"/>
        <v>#DIV/0!</v>
      </c>
      <c r="AX54" s="6"/>
    </row>
    <row r="55" spans="1:50" ht="18" customHeight="1">
      <c r="A55" s="179">
        <f>INPUT!A54</f>
        <v>0</v>
      </c>
      <c r="B55" s="179">
        <f>INPUT!B54</f>
        <v>0</v>
      </c>
      <c r="C55" s="179">
        <f>INPUT!C54</f>
        <v>0</v>
      </c>
      <c r="D55" s="87"/>
      <c r="E55" s="88"/>
      <c r="F55" s="88"/>
      <c r="G55" s="88"/>
      <c r="H55" s="88"/>
      <c r="I55" s="89" t="str">
        <f t="shared" si="15"/>
        <v/>
      </c>
      <c r="J55" s="57" t="str">
        <f t="shared" si="16"/>
        <v/>
      </c>
      <c r="K55" s="90" t="str">
        <f t="shared" si="17"/>
        <v/>
      </c>
      <c r="L55" s="87"/>
      <c r="M55" s="88"/>
      <c r="N55" s="88"/>
      <c r="O55" s="89" t="str">
        <f t="shared" si="18"/>
        <v/>
      </c>
      <c r="P55" s="57" t="str">
        <f t="shared" si="19"/>
        <v/>
      </c>
      <c r="Q55" s="90" t="str">
        <f t="shared" si="20"/>
        <v/>
      </c>
      <c r="R55" s="87"/>
      <c r="S55" s="88"/>
      <c r="T55" s="88"/>
      <c r="U55" s="89" t="str">
        <f t="shared" si="21"/>
        <v/>
      </c>
      <c r="V55" s="57" t="str">
        <f t="shared" si="22"/>
        <v/>
      </c>
      <c r="W55" s="90" t="str">
        <f t="shared" si="23"/>
        <v/>
      </c>
      <c r="X55" s="91" t="str">
        <f t="shared" si="28"/>
        <v/>
      </c>
      <c r="Y55" s="92" t="str">
        <f t="shared" si="29"/>
        <v/>
      </c>
      <c r="Z55" s="93" t="str">
        <f t="shared" si="24"/>
        <v/>
      </c>
      <c r="AB55" s="2"/>
      <c r="AC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6"/>
      <c r="AT55" s="41" t="e">
        <f t="shared" si="25"/>
        <v>#DIV/0!</v>
      </c>
      <c r="AU55" s="41" t="e">
        <f t="shared" si="26"/>
        <v>#DIV/0!</v>
      </c>
      <c r="AV55" s="41" t="e">
        <f t="shared" si="27"/>
        <v>#DIV/0!</v>
      </c>
      <c r="AX55" s="6"/>
    </row>
    <row r="56" spans="1:50" ht="18" customHeight="1">
      <c r="A56" s="179">
        <f>INPUT!A55</f>
        <v>0</v>
      </c>
      <c r="B56" s="179">
        <f>INPUT!B55</f>
        <v>0</v>
      </c>
      <c r="C56" s="179">
        <f>INPUT!C55</f>
        <v>0</v>
      </c>
      <c r="D56" s="87"/>
      <c r="E56" s="88"/>
      <c r="F56" s="88"/>
      <c r="G56" s="88"/>
      <c r="H56" s="88"/>
      <c r="I56" s="89" t="str">
        <f t="shared" si="15"/>
        <v/>
      </c>
      <c r="J56" s="57" t="str">
        <f t="shared" si="16"/>
        <v/>
      </c>
      <c r="K56" s="90" t="str">
        <f t="shared" si="17"/>
        <v/>
      </c>
      <c r="L56" s="87"/>
      <c r="M56" s="88"/>
      <c r="N56" s="88"/>
      <c r="O56" s="89" t="str">
        <f t="shared" si="18"/>
        <v/>
      </c>
      <c r="P56" s="57" t="str">
        <f t="shared" si="19"/>
        <v/>
      </c>
      <c r="Q56" s="90" t="str">
        <f t="shared" si="20"/>
        <v/>
      </c>
      <c r="R56" s="87"/>
      <c r="S56" s="88"/>
      <c r="T56" s="88"/>
      <c r="U56" s="89" t="str">
        <f t="shared" si="21"/>
        <v/>
      </c>
      <c r="V56" s="57" t="str">
        <f t="shared" si="22"/>
        <v/>
      </c>
      <c r="W56" s="90" t="str">
        <f t="shared" si="23"/>
        <v/>
      </c>
      <c r="X56" s="91" t="str">
        <f t="shared" si="28"/>
        <v/>
      </c>
      <c r="Y56" s="92" t="str">
        <f t="shared" si="29"/>
        <v/>
      </c>
      <c r="Z56" s="93" t="str">
        <f t="shared" si="24"/>
        <v/>
      </c>
      <c r="AB56" s="2"/>
      <c r="AC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6"/>
      <c r="AT56" s="41" t="e">
        <f t="shared" si="25"/>
        <v>#DIV/0!</v>
      </c>
      <c r="AU56" s="41" t="e">
        <f t="shared" si="26"/>
        <v>#DIV/0!</v>
      </c>
      <c r="AV56" s="41" t="e">
        <f t="shared" si="27"/>
        <v>#DIV/0!</v>
      </c>
      <c r="AX56" s="6"/>
    </row>
    <row r="57" spans="1:50" ht="18" customHeight="1">
      <c r="A57" s="179">
        <f>INPUT!A56</f>
        <v>0</v>
      </c>
      <c r="B57" s="179">
        <f>INPUT!B56</f>
        <v>0</v>
      </c>
      <c r="C57" s="179">
        <f>INPUT!C56</f>
        <v>0</v>
      </c>
      <c r="D57" s="87"/>
      <c r="E57" s="88"/>
      <c r="F57" s="88"/>
      <c r="G57" s="88"/>
      <c r="H57" s="88"/>
      <c r="I57" s="89" t="str">
        <f t="shared" si="15"/>
        <v/>
      </c>
      <c r="J57" s="57" t="str">
        <f t="shared" si="16"/>
        <v/>
      </c>
      <c r="K57" s="90" t="str">
        <f t="shared" si="17"/>
        <v/>
      </c>
      <c r="L57" s="87"/>
      <c r="M57" s="88"/>
      <c r="N57" s="88"/>
      <c r="O57" s="89" t="str">
        <f t="shared" si="18"/>
        <v/>
      </c>
      <c r="P57" s="57" t="str">
        <f t="shared" si="19"/>
        <v/>
      </c>
      <c r="Q57" s="90" t="str">
        <f t="shared" si="20"/>
        <v/>
      </c>
      <c r="R57" s="87"/>
      <c r="S57" s="88"/>
      <c r="T57" s="88"/>
      <c r="U57" s="89" t="str">
        <f t="shared" si="21"/>
        <v/>
      </c>
      <c r="V57" s="57" t="str">
        <f t="shared" si="22"/>
        <v/>
      </c>
      <c r="W57" s="90" t="str">
        <f t="shared" si="23"/>
        <v/>
      </c>
      <c r="X57" s="91" t="str">
        <f t="shared" si="28"/>
        <v/>
      </c>
      <c r="Y57" s="92" t="str">
        <f t="shared" si="29"/>
        <v/>
      </c>
      <c r="Z57" s="93" t="str">
        <f t="shared" si="24"/>
        <v/>
      </c>
      <c r="AB57" s="2"/>
      <c r="AC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6"/>
      <c r="AT57" s="41" t="e">
        <f t="shared" si="25"/>
        <v>#DIV/0!</v>
      </c>
      <c r="AU57" s="41" t="e">
        <f t="shared" si="26"/>
        <v>#DIV/0!</v>
      </c>
      <c r="AV57" s="41" t="e">
        <f t="shared" si="27"/>
        <v>#DIV/0!</v>
      </c>
      <c r="AX57" s="6"/>
    </row>
    <row r="58" spans="1:50" ht="18" customHeight="1">
      <c r="A58" s="179">
        <f>INPUT!A57</f>
        <v>0</v>
      </c>
      <c r="B58" s="179">
        <f>INPUT!B57</f>
        <v>0</v>
      </c>
      <c r="C58" s="179">
        <f>INPUT!C57</f>
        <v>0</v>
      </c>
      <c r="D58" s="87"/>
      <c r="E58" s="88"/>
      <c r="F58" s="88"/>
      <c r="G58" s="88"/>
      <c r="H58" s="88"/>
      <c r="I58" s="89" t="str">
        <f t="shared" si="15"/>
        <v/>
      </c>
      <c r="J58" s="57" t="str">
        <f t="shared" si="16"/>
        <v/>
      </c>
      <c r="K58" s="90" t="str">
        <f t="shared" si="17"/>
        <v/>
      </c>
      <c r="L58" s="87"/>
      <c r="M58" s="88"/>
      <c r="N58" s="88"/>
      <c r="O58" s="89" t="str">
        <f t="shared" si="18"/>
        <v/>
      </c>
      <c r="P58" s="57" t="str">
        <f t="shared" si="19"/>
        <v/>
      </c>
      <c r="Q58" s="90" t="str">
        <f t="shared" si="20"/>
        <v/>
      </c>
      <c r="R58" s="87"/>
      <c r="S58" s="88"/>
      <c r="T58" s="88"/>
      <c r="U58" s="89" t="str">
        <f t="shared" si="21"/>
        <v/>
      </c>
      <c r="V58" s="57" t="str">
        <f t="shared" si="22"/>
        <v/>
      </c>
      <c r="W58" s="90" t="str">
        <f t="shared" si="23"/>
        <v/>
      </c>
      <c r="X58" s="91" t="str">
        <f t="shared" si="28"/>
        <v/>
      </c>
      <c r="Y58" s="92" t="str">
        <f t="shared" si="29"/>
        <v/>
      </c>
      <c r="Z58" s="93" t="str">
        <f t="shared" si="24"/>
        <v/>
      </c>
      <c r="AB58" s="2"/>
      <c r="AC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6"/>
      <c r="AT58" s="41" t="e">
        <f t="shared" si="25"/>
        <v>#DIV/0!</v>
      </c>
      <c r="AU58" s="41" t="e">
        <f t="shared" si="26"/>
        <v>#DIV/0!</v>
      </c>
      <c r="AV58" s="41" t="e">
        <f t="shared" si="27"/>
        <v>#DIV/0!</v>
      </c>
      <c r="AX58" s="6"/>
    </row>
    <row r="59" spans="1:50" ht="18" customHeight="1">
      <c r="A59" s="179">
        <f>INPUT!A58</f>
        <v>0</v>
      </c>
      <c r="B59" s="179">
        <f>INPUT!B58</f>
        <v>0</v>
      </c>
      <c r="C59" s="179">
        <f>INPUT!C58</f>
        <v>0</v>
      </c>
      <c r="D59" s="87"/>
      <c r="E59" s="88"/>
      <c r="F59" s="88"/>
      <c r="G59" s="88"/>
      <c r="H59" s="88"/>
      <c r="I59" s="89" t="str">
        <f t="shared" si="15"/>
        <v/>
      </c>
      <c r="J59" s="57" t="str">
        <f t="shared" si="16"/>
        <v/>
      </c>
      <c r="K59" s="90" t="str">
        <f t="shared" si="17"/>
        <v/>
      </c>
      <c r="L59" s="87"/>
      <c r="M59" s="88"/>
      <c r="N59" s="88"/>
      <c r="O59" s="89" t="str">
        <f t="shared" si="18"/>
        <v/>
      </c>
      <c r="P59" s="57" t="str">
        <f t="shared" si="19"/>
        <v/>
      </c>
      <c r="Q59" s="90" t="str">
        <f t="shared" si="20"/>
        <v/>
      </c>
      <c r="R59" s="87"/>
      <c r="S59" s="88"/>
      <c r="T59" s="88"/>
      <c r="U59" s="89" t="str">
        <f t="shared" si="21"/>
        <v/>
      </c>
      <c r="V59" s="57" t="str">
        <f t="shared" si="22"/>
        <v/>
      </c>
      <c r="W59" s="90" t="str">
        <f t="shared" si="23"/>
        <v/>
      </c>
      <c r="X59" s="91" t="str">
        <f t="shared" si="28"/>
        <v/>
      </c>
      <c r="Y59" s="92" t="str">
        <f t="shared" si="29"/>
        <v/>
      </c>
      <c r="Z59" s="93" t="str">
        <f t="shared" si="24"/>
        <v/>
      </c>
      <c r="AB59" s="2"/>
      <c r="AC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6"/>
      <c r="AT59" s="41" t="e">
        <f t="shared" si="25"/>
        <v>#DIV/0!</v>
      </c>
      <c r="AU59" s="41" t="e">
        <f t="shared" si="26"/>
        <v>#DIV/0!</v>
      </c>
      <c r="AV59" s="41" t="e">
        <f t="shared" si="27"/>
        <v>#DIV/0!</v>
      </c>
      <c r="AX59" s="6"/>
    </row>
    <row r="60" spans="1:50" ht="18" customHeight="1">
      <c r="A60" s="179">
        <f>INPUT!A59</f>
        <v>0</v>
      </c>
      <c r="B60" s="179">
        <f>INPUT!B59</f>
        <v>0</v>
      </c>
      <c r="C60" s="179">
        <f>INPUT!C59</f>
        <v>0</v>
      </c>
      <c r="D60" s="87"/>
      <c r="E60" s="88"/>
      <c r="F60" s="88"/>
      <c r="G60" s="88"/>
      <c r="H60" s="88"/>
      <c r="I60" s="89" t="str">
        <f t="shared" si="15"/>
        <v/>
      </c>
      <c r="J60" s="57" t="str">
        <f t="shared" si="16"/>
        <v/>
      </c>
      <c r="K60" s="90" t="str">
        <f t="shared" si="17"/>
        <v/>
      </c>
      <c r="L60" s="87"/>
      <c r="M60" s="88"/>
      <c r="N60" s="88"/>
      <c r="O60" s="89" t="str">
        <f t="shared" si="18"/>
        <v/>
      </c>
      <c r="P60" s="57" t="str">
        <f t="shared" si="19"/>
        <v/>
      </c>
      <c r="Q60" s="90" t="str">
        <f t="shared" si="20"/>
        <v/>
      </c>
      <c r="R60" s="87"/>
      <c r="S60" s="88"/>
      <c r="T60" s="88"/>
      <c r="U60" s="89" t="str">
        <f t="shared" si="21"/>
        <v/>
      </c>
      <c r="V60" s="57" t="str">
        <f t="shared" si="22"/>
        <v/>
      </c>
      <c r="W60" s="90" t="str">
        <f t="shared" si="23"/>
        <v/>
      </c>
      <c r="X60" s="91" t="str">
        <f t="shared" si="28"/>
        <v/>
      </c>
      <c r="Y60" s="92" t="str">
        <f t="shared" si="29"/>
        <v/>
      </c>
      <c r="Z60" s="93" t="str">
        <f t="shared" si="24"/>
        <v/>
      </c>
      <c r="AB60" s="2"/>
      <c r="AC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6"/>
      <c r="AT60" s="41" t="e">
        <f t="shared" si="25"/>
        <v>#DIV/0!</v>
      </c>
      <c r="AU60" s="41" t="e">
        <f t="shared" si="26"/>
        <v>#DIV/0!</v>
      </c>
      <c r="AV60" s="41" t="e">
        <f t="shared" si="27"/>
        <v>#DIV/0!</v>
      </c>
      <c r="AX60" s="6"/>
    </row>
    <row r="61" spans="1:50" ht="18" customHeight="1">
      <c r="A61" s="179">
        <f>INPUT!A60</f>
        <v>0</v>
      </c>
      <c r="B61" s="179">
        <f>INPUT!B60</f>
        <v>0</v>
      </c>
      <c r="C61" s="179">
        <f>INPUT!C60</f>
        <v>0</v>
      </c>
      <c r="D61" s="87"/>
      <c r="E61" s="88"/>
      <c r="F61" s="88"/>
      <c r="G61" s="88"/>
      <c r="H61" s="88"/>
      <c r="I61" s="89" t="str">
        <f t="shared" si="15"/>
        <v/>
      </c>
      <c r="J61" s="57" t="str">
        <f t="shared" si="16"/>
        <v/>
      </c>
      <c r="K61" s="90" t="str">
        <f t="shared" si="17"/>
        <v/>
      </c>
      <c r="L61" s="87"/>
      <c r="M61" s="88"/>
      <c r="N61" s="88"/>
      <c r="O61" s="89" t="str">
        <f t="shared" si="18"/>
        <v/>
      </c>
      <c r="P61" s="57" t="str">
        <f t="shared" si="19"/>
        <v/>
      </c>
      <c r="Q61" s="90" t="str">
        <f t="shared" si="20"/>
        <v/>
      </c>
      <c r="R61" s="87"/>
      <c r="S61" s="88"/>
      <c r="T61" s="88"/>
      <c r="U61" s="89" t="str">
        <f t="shared" si="21"/>
        <v/>
      </c>
      <c r="V61" s="57" t="str">
        <f t="shared" si="22"/>
        <v/>
      </c>
      <c r="W61" s="90" t="str">
        <f t="shared" si="23"/>
        <v/>
      </c>
      <c r="X61" s="91" t="str">
        <f t="shared" si="28"/>
        <v/>
      </c>
      <c r="Y61" s="92" t="str">
        <f t="shared" si="29"/>
        <v/>
      </c>
      <c r="Z61" s="93" t="str">
        <f t="shared" si="24"/>
        <v/>
      </c>
      <c r="AB61" s="2"/>
      <c r="AC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6"/>
      <c r="AT61" s="41" t="e">
        <f t="shared" si="25"/>
        <v>#DIV/0!</v>
      </c>
      <c r="AU61" s="41" t="e">
        <f t="shared" si="26"/>
        <v>#DIV/0!</v>
      </c>
      <c r="AV61" s="41" t="e">
        <f t="shared" si="27"/>
        <v>#DIV/0!</v>
      </c>
      <c r="AX61" s="6"/>
    </row>
    <row r="62" spans="1:50" ht="18" customHeight="1">
      <c r="A62" s="179"/>
      <c r="B62" s="179"/>
      <c r="C62" s="179"/>
      <c r="D62" s="107"/>
      <c r="E62" s="108"/>
      <c r="F62" s="108"/>
      <c r="G62" s="108"/>
      <c r="H62" s="108"/>
      <c r="I62" s="109" t="str">
        <f t="shared" si="15"/>
        <v/>
      </c>
      <c r="J62" s="110" t="str">
        <f t="shared" si="16"/>
        <v/>
      </c>
      <c r="K62" s="111" t="str">
        <f t="shared" si="17"/>
        <v/>
      </c>
      <c r="L62" s="107"/>
      <c r="M62" s="108"/>
      <c r="N62" s="108"/>
      <c r="O62" s="109" t="str">
        <f t="shared" si="18"/>
        <v/>
      </c>
      <c r="P62" s="110" t="str">
        <f t="shared" si="19"/>
        <v/>
      </c>
      <c r="Q62" s="111" t="str">
        <f t="shared" si="20"/>
        <v/>
      </c>
      <c r="R62" s="107"/>
      <c r="S62" s="108"/>
      <c r="T62" s="108"/>
      <c r="U62" s="109" t="str">
        <f t="shared" si="21"/>
        <v/>
      </c>
      <c r="V62" s="110" t="str">
        <f t="shared" si="22"/>
        <v/>
      </c>
      <c r="W62" s="111" t="str">
        <f t="shared" si="23"/>
        <v/>
      </c>
      <c r="X62" s="112" t="str">
        <f t="shared" si="28"/>
        <v/>
      </c>
      <c r="Y62" s="113" t="str">
        <f t="shared" si="29"/>
        <v/>
      </c>
      <c r="Z62" s="114" t="str">
        <f t="shared" si="24"/>
        <v/>
      </c>
      <c r="AB62" s="2"/>
      <c r="AC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6"/>
      <c r="AT62" s="41" t="e">
        <f t="shared" si="25"/>
        <v>#DIV/0!</v>
      </c>
      <c r="AU62" s="41" t="e">
        <f t="shared" si="26"/>
        <v>#DIV/0!</v>
      </c>
      <c r="AV62" s="41" t="e">
        <f t="shared" si="27"/>
        <v>#DIV/0!</v>
      </c>
      <c r="AX62" s="6"/>
    </row>
    <row r="63" spans="1:50" ht="18" hidden="1" customHeight="1">
      <c r="A63" s="187" t="s">
        <v>66</v>
      </c>
      <c r="B63" s="180" t="s">
        <v>67</v>
      </c>
      <c r="C63" s="186" t="s">
        <v>68</v>
      </c>
      <c r="D63" s="221"/>
      <c r="E63" s="222"/>
      <c r="F63" s="223"/>
      <c r="G63" s="223"/>
      <c r="H63" s="223"/>
      <c r="I63" s="224"/>
      <c r="J63" s="119"/>
      <c r="K63" s="120"/>
      <c r="L63" s="225"/>
      <c r="M63" s="223"/>
      <c r="N63" s="223"/>
      <c r="O63" s="224"/>
      <c r="P63" s="119"/>
      <c r="Q63" s="120"/>
      <c r="R63" s="225"/>
      <c r="S63" s="223"/>
      <c r="T63" s="223"/>
      <c r="U63" s="224"/>
      <c r="V63" s="119"/>
      <c r="W63" s="120"/>
      <c r="X63" s="121"/>
      <c r="Y63" s="122"/>
      <c r="Z63" s="123"/>
      <c r="AB63" s="2"/>
      <c r="AC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6"/>
      <c r="AT63" s="41"/>
      <c r="AU63" s="41"/>
      <c r="AV63" s="41"/>
      <c r="AX63" s="6"/>
    </row>
    <row r="64" spans="1:50" ht="18" customHeight="1">
      <c r="A64" s="198"/>
      <c r="B64" s="346" t="s">
        <v>69</v>
      </c>
      <c r="C64" s="347"/>
      <c r="D64" s="177"/>
      <c r="E64" s="178"/>
      <c r="F64" s="116"/>
      <c r="G64" s="116"/>
      <c r="H64" s="116"/>
      <c r="I64" s="117"/>
      <c r="J64" s="117"/>
      <c r="K64" s="118"/>
      <c r="L64" s="115"/>
      <c r="M64" s="116"/>
      <c r="N64" s="116"/>
      <c r="O64" s="117"/>
      <c r="P64" s="117"/>
      <c r="Q64" s="118"/>
      <c r="R64" s="115"/>
      <c r="S64" s="116"/>
      <c r="T64" s="116"/>
      <c r="U64" s="117"/>
      <c r="V64" s="119"/>
      <c r="W64" s="120"/>
      <c r="X64" s="121"/>
      <c r="Y64" s="122"/>
      <c r="Z64" s="123"/>
      <c r="AB64" s="2"/>
      <c r="AC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6"/>
      <c r="AT64" s="41" t="e">
        <f>(R64/$R$10)*100</f>
        <v>#DIV/0!</v>
      </c>
      <c r="AU64" s="41" t="e">
        <f>(S64/$S$10)*100</f>
        <v>#DIV/0!</v>
      </c>
      <c r="AV64" s="41" t="e">
        <f>(T64/$T$10)*100</f>
        <v>#DIV/0!</v>
      </c>
      <c r="AX64" s="6"/>
    </row>
    <row r="65" spans="1:50" ht="18" hidden="1" customHeight="1">
      <c r="A65" s="188" t="s">
        <v>70</v>
      </c>
      <c r="B65" s="199" t="s">
        <v>71</v>
      </c>
      <c r="C65" s="197" t="s">
        <v>72</v>
      </c>
      <c r="D65" s="115"/>
      <c r="E65" s="116"/>
      <c r="F65" s="116"/>
      <c r="G65" s="116"/>
      <c r="H65" s="116"/>
      <c r="I65" s="117"/>
      <c r="J65" s="117"/>
      <c r="K65" s="118"/>
      <c r="L65" s="115"/>
      <c r="M65" s="116"/>
      <c r="N65" s="116"/>
      <c r="O65" s="117"/>
      <c r="P65" s="117"/>
      <c r="Q65" s="118"/>
      <c r="R65" s="115"/>
      <c r="S65" s="116"/>
      <c r="T65" s="116"/>
      <c r="U65" s="117"/>
      <c r="V65" s="119"/>
      <c r="W65" s="120"/>
      <c r="X65" s="121"/>
      <c r="Y65" s="122"/>
      <c r="Z65" s="123"/>
      <c r="AB65" s="2"/>
      <c r="AC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6"/>
      <c r="AT65" s="41"/>
      <c r="AU65" s="41"/>
      <c r="AV65" s="41"/>
      <c r="AX65" s="6"/>
    </row>
    <row r="66" spans="1:50" ht="18" customHeight="1">
      <c r="A66" s="35">
        <f>INPUT!A64</f>
        <v>1</v>
      </c>
      <c r="B66" s="35" t="str">
        <f>INPUT!B64</f>
        <v>2022-00020</v>
      </c>
      <c r="C66" s="35" t="str">
        <f>INPUT!C64</f>
        <v>Araquil, Jheane Joel</v>
      </c>
      <c r="D66" s="175"/>
      <c r="E66" s="176"/>
      <c r="F66" s="79"/>
      <c r="G66" s="79"/>
      <c r="H66" s="79"/>
      <c r="I66" s="80" t="str">
        <f t="shared" ref="I66:I97" si="30">IF(COUNT($D66:$H66)=0,"",SUM($D66:$H66))</f>
        <v/>
      </c>
      <c r="J66" s="81" t="str">
        <f t="shared" ref="J66:J97" si="31">IF(ISERROR(IF($I66="","",ROUND(($I66/$I$10)*$J$10,2))),"",IF($I66="","",ROUND(($I66/$I$10)*$J$10,2)))</f>
        <v/>
      </c>
      <c r="K66" s="82" t="str">
        <f t="shared" ref="K66:K97" si="32">IF($J66="","",ROUND($J66*$K$10,2))</f>
        <v/>
      </c>
      <c r="L66" s="78"/>
      <c r="M66" s="79"/>
      <c r="N66" s="79"/>
      <c r="O66" s="80" t="str">
        <f t="shared" ref="O66:O97" si="33">IF(COUNT($L66:$N66)=0,"",SUM($L66:$N66))</f>
        <v/>
      </c>
      <c r="P66" s="81" t="str">
        <f t="shared" ref="P66:P97" si="34">IF(ISERROR(IF($O66="","",ROUND(($O66/$O$10)*$P$10,2))),"",IF($O66="","",ROUND(($O66/$O$10)*$P$10,2)))</f>
        <v/>
      </c>
      <c r="Q66" s="82" t="str">
        <f t="shared" ref="Q66:Q97" si="35">IF($P66="","",ROUND($P66*$Q$10,2))</f>
        <v/>
      </c>
      <c r="R66" s="78"/>
      <c r="S66" s="79"/>
      <c r="T66" s="79"/>
      <c r="U66" s="80" t="str">
        <f t="shared" ref="U66:U97" si="36">IF(COUNT($R66:$T66)=0,"",SUM($R66:$T66))</f>
        <v/>
      </c>
      <c r="V66" s="81" t="str">
        <f t="shared" ref="V66:V97" si="37">IF(ISERROR(IF($U66="","",ROUND(($U66/$U$10)*$V$10,2))),"",IF($U66="","",ROUND(($U66/$U$10)*$V$10,2)))</f>
        <v/>
      </c>
      <c r="W66" s="82" t="str">
        <f t="shared" ref="W66:W97" si="38">IF($V66="","",ROUND($V66*$W$10,2))</f>
        <v/>
      </c>
      <c r="X66" s="83" t="str">
        <f t="shared" ref="X66:X97" si="39">IF(ISERROR(IF($T66="","",ROUND(SUM($K66,$Q66,$W66),2))),"",IF($T66="","",ROUND(SUM($K66,$Q66,$W66),2)))</f>
        <v/>
      </c>
      <c r="Y66" s="84" t="str">
        <f t="shared" ref="Y66:Y97" si="40">IF(ISERROR(IF($T66="","",VLOOKUP(X66,NewTransmu,4,TRUE))),"",IF($T66="","",VLOOKUP(X66,NewTransmu,4,TRUE)))</f>
        <v/>
      </c>
      <c r="Z66" s="85" t="str">
        <f t="shared" ref="Z66:Z97" si="41">IF(ISERROR(IF(Y66="","",VLOOKUP(Y66,DESCRIPTORS,4,TRUE))),"",IF(Y66="","",VLOOKUP(Y66,DESCRIPTORS,4,TRUE)))</f>
        <v/>
      </c>
      <c r="AB66" s="2"/>
      <c r="AC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6"/>
      <c r="AT66" s="41" t="e">
        <f t="shared" ref="AT66:AT97" si="42">(R66/$R$10)*100</f>
        <v>#DIV/0!</v>
      </c>
      <c r="AU66" s="41" t="e">
        <f t="shared" ref="AU66:AU97" si="43">(S66/$S$10)*100</f>
        <v>#DIV/0!</v>
      </c>
      <c r="AV66" s="41" t="e">
        <f t="shared" ref="AV66:AV97" si="44">(T66/$T$10)*100</f>
        <v>#DIV/0!</v>
      </c>
      <c r="AX66" s="6"/>
    </row>
    <row r="67" spans="1:50" ht="18" customHeight="1">
      <c r="A67" s="35">
        <f>INPUT!A65</f>
        <v>2</v>
      </c>
      <c r="B67" s="35" t="str">
        <f>INPUT!B65</f>
        <v>2022-00021</v>
      </c>
      <c r="C67" s="35" t="str">
        <f>INPUT!C65</f>
        <v>Balacuit, Kyle Anjheilee</v>
      </c>
      <c r="D67" s="87"/>
      <c r="E67" s="88"/>
      <c r="F67" s="88"/>
      <c r="G67" s="88"/>
      <c r="H67" s="88"/>
      <c r="I67" s="89" t="str">
        <f t="shared" si="30"/>
        <v/>
      </c>
      <c r="J67" s="57" t="str">
        <f t="shared" si="31"/>
        <v/>
      </c>
      <c r="K67" s="90" t="str">
        <f t="shared" si="32"/>
        <v/>
      </c>
      <c r="L67" s="87"/>
      <c r="M67" s="88"/>
      <c r="N67" s="88"/>
      <c r="O67" s="89" t="str">
        <f t="shared" si="33"/>
        <v/>
      </c>
      <c r="P67" s="57" t="str">
        <f t="shared" si="34"/>
        <v/>
      </c>
      <c r="Q67" s="90" t="str">
        <f t="shared" si="35"/>
        <v/>
      </c>
      <c r="R67" s="87"/>
      <c r="S67" s="88"/>
      <c r="T67" s="88"/>
      <c r="U67" s="89" t="str">
        <f t="shared" si="36"/>
        <v/>
      </c>
      <c r="V67" s="57" t="str">
        <f t="shared" si="37"/>
        <v/>
      </c>
      <c r="W67" s="90" t="str">
        <f t="shared" si="38"/>
        <v/>
      </c>
      <c r="X67" s="91" t="str">
        <f t="shared" si="39"/>
        <v/>
      </c>
      <c r="Y67" s="92" t="str">
        <f t="shared" si="40"/>
        <v/>
      </c>
      <c r="Z67" s="93" t="str">
        <f t="shared" si="41"/>
        <v/>
      </c>
      <c r="AB67" s="2"/>
      <c r="AC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6"/>
      <c r="AT67" s="41" t="e">
        <f t="shared" si="42"/>
        <v>#DIV/0!</v>
      </c>
      <c r="AU67" s="41" t="e">
        <f t="shared" si="43"/>
        <v>#DIV/0!</v>
      </c>
      <c r="AV67" s="41" t="e">
        <f t="shared" si="44"/>
        <v>#DIV/0!</v>
      </c>
      <c r="AX67" s="6"/>
    </row>
    <row r="68" spans="1:50" ht="18" customHeight="1">
      <c r="A68" s="35">
        <f>INPUT!A66</f>
        <v>3</v>
      </c>
      <c r="B68" s="35" t="str">
        <f>INPUT!B66</f>
        <v>2022-00022</v>
      </c>
      <c r="C68" s="35" t="str">
        <f>INPUT!C66</f>
        <v>Barcelona, Jannah  Grich</v>
      </c>
      <c r="D68" s="87"/>
      <c r="E68" s="88"/>
      <c r="F68" s="88"/>
      <c r="G68" s="88"/>
      <c r="H68" s="88"/>
      <c r="I68" s="89" t="str">
        <f t="shared" si="30"/>
        <v/>
      </c>
      <c r="J68" s="57" t="str">
        <f t="shared" si="31"/>
        <v/>
      </c>
      <c r="K68" s="90" t="str">
        <f t="shared" si="32"/>
        <v/>
      </c>
      <c r="L68" s="87"/>
      <c r="M68" s="88"/>
      <c r="N68" s="88"/>
      <c r="O68" s="89" t="str">
        <f t="shared" si="33"/>
        <v/>
      </c>
      <c r="P68" s="57" t="str">
        <f t="shared" si="34"/>
        <v/>
      </c>
      <c r="Q68" s="90" t="str">
        <f t="shared" si="35"/>
        <v/>
      </c>
      <c r="R68" s="173"/>
      <c r="S68" s="88"/>
      <c r="T68" s="174"/>
      <c r="U68" s="89" t="str">
        <f t="shared" si="36"/>
        <v/>
      </c>
      <c r="V68" s="57" t="str">
        <f t="shared" si="37"/>
        <v/>
      </c>
      <c r="W68" s="90" t="str">
        <f t="shared" si="38"/>
        <v/>
      </c>
      <c r="X68" s="91" t="str">
        <f t="shared" si="39"/>
        <v/>
      </c>
      <c r="Y68" s="92" t="str">
        <f t="shared" si="40"/>
        <v/>
      </c>
      <c r="Z68" s="93" t="str">
        <f t="shared" si="41"/>
        <v/>
      </c>
      <c r="AB68" s="2"/>
      <c r="AC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6"/>
      <c r="AT68" s="41" t="e">
        <f t="shared" si="42"/>
        <v>#DIV/0!</v>
      </c>
      <c r="AU68" s="41" t="e">
        <f t="shared" si="43"/>
        <v>#DIV/0!</v>
      </c>
      <c r="AV68" s="41" t="e">
        <f t="shared" si="44"/>
        <v>#DIV/0!</v>
      </c>
      <c r="AX68" s="6"/>
    </row>
    <row r="69" spans="1:50" ht="18" customHeight="1">
      <c r="A69" s="35">
        <f>INPUT!A67</f>
        <v>4</v>
      </c>
      <c r="B69" s="35" t="str">
        <f>INPUT!B67</f>
        <v>2022-00421</v>
      </c>
      <c r="C69" s="35" t="str">
        <f>INPUT!C67</f>
        <v>Bartonico, Flenzeu</v>
      </c>
      <c r="D69" s="87"/>
      <c r="E69" s="88"/>
      <c r="F69" s="88"/>
      <c r="G69" s="88"/>
      <c r="H69" s="88"/>
      <c r="I69" s="89" t="str">
        <f t="shared" si="30"/>
        <v/>
      </c>
      <c r="J69" s="57" t="str">
        <f t="shared" si="31"/>
        <v/>
      </c>
      <c r="K69" s="90" t="str">
        <f t="shared" si="32"/>
        <v/>
      </c>
      <c r="L69" s="87"/>
      <c r="M69" s="88"/>
      <c r="N69" s="88"/>
      <c r="O69" s="89" t="str">
        <f t="shared" si="33"/>
        <v/>
      </c>
      <c r="P69" s="57" t="str">
        <f t="shared" si="34"/>
        <v/>
      </c>
      <c r="Q69" s="90" t="str">
        <f t="shared" si="35"/>
        <v/>
      </c>
      <c r="R69" s="87"/>
      <c r="S69" s="88"/>
      <c r="T69" s="88"/>
      <c r="U69" s="89" t="str">
        <f t="shared" si="36"/>
        <v/>
      </c>
      <c r="V69" s="57" t="str">
        <f t="shared" si="37"/>
        <v/>
      </c>
      <c r="W69" s="90" t="str">
        <f t="shared" si="38"/>
        <v/>
      </c>
      <c r="X69" s="91" t="str">
        <f t="shared" si="39"/>
        <v/>
      </c>
      <c r="Y69" s="92" t="str">
        <f t="shared" si="40"/>
        <v/>
      </c>
      <c r="Z69" s="93" t="str">
        <f t="shared" si="41"/>
        <v/>
      </c>
      <c r="AB69" s="2"/>
      <c r="AC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6"/>
      <c r="AT69" s="41" t="e">
        <f t="shared" si="42"/>
        <v>#DIV/0!</v>
      </c>
      <c r="AU69" s="41" t="e">
        <f t="shared" si="43"/>
        <v>#DIV/0!</v>
      </c>
      <c r="AV69" s="41" t="e">
        <f t="shared" si="44"/>
        <v>#DIV/0!</v>
      </c>
      <c r="AX69" s="6"/>
    </row>
    <row r="70" spans="1:50" ht="18" customHeight="1">
      <c r="A70" s="35">
        <f>INPUT!A68</f>
        <v>5</v>
      </c>
      <c r="B70" s="35" t="str">
        <f>INPUT!B68</f>
        <v>2022-00422</v>
      </c>
      <c r="C70" s="35" t="str">
        <f>INPUT!C68</f>
        <v>Bernaldo, Rutchyl Gem</v>
      </c>
      <c r="D70" s="87"/>
      <c r="E70" s="88"/>
      <c r="F70" s="88"/>
      <c r="G70" s="88"/>
      <c r="H70" s="88"/>
      <c r="I70" s="89" t="str">
        <f t="shared" si="30"/>
        <v/>
      </c>
      <c r="J70" s="57" t="str">
        <f t="shared" si="31"/>
        <v/>
      </c>
      <c r="K70" s="90" t="str">
        <f t="shared" si="32"/>
        <v/>
      </c>
      <c r="L70" s="87"/>
      <c r="M70" s="88"/>
      <c r="N70" s="88"/>
      <c r="O70" s="89" t="str">
        <f t="shared" si="33"/>
        <v/>
      </c>
      <c r="P70" s="57" t="str">
        <f t="shared" si="34"/>
        <v/>
      </c>
      <c r="Q70" s="90" t="str">
        <f t="shared" si="35"/>
        <v/>
      </c>
      <c r="R70" s="87"/>
      <c r="S70" s="88"/>
      <c r="T70" s="88"/>
      <c r="U70" s="89" t="str">
        <f t="shared" si="36"/>
        <v/>
      </c>
      <c r="V70" s="57" t="str">
        <f t="shared" si="37"/>
        <v/>
      </c>
      <c r="W70" s="90" t="str">
        <f t="shared" si="38"/>
        <v/>
      </c>
      <c r="X70" s="91" t="str">
        <f t="shared" si="39"/>
        <v/>
      </c>
      <c r="Y70" s="92" t="str">
        <f t="shared" si="40"/>
        <v/>
      </c>
      <c r="Z70" s="93" t="str">
        <f t="shared" si="41"/>
        <v/>
      </c>
      <c r="AB70" s="2"/>
      <c r="AC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6"/>
      <c r="AT70" s="41" t="e">
        <f t="shared" si="42"/>
        <v>#DIV/0!</v>
      </c>
      <c r="AU70" s="41" t="e">
        <f t="shared" si="43"/>
        <v>#DIV/0!</v>
      </c>
      <c r="AV70" s="41" t="e">
        <f t="shared" si="44"/>
        <v>#DIV/0!</v>
      </c>
      <c r="AX70" s="6"/>
    </row>
    <row r="71" spans="1:50" ht="18" customHeight="1">
      <c r="A71" s="35">
        <f>INPUT!A69</f>
        <v>6</v>
      </c>
      <c r="B71" s="35" t="str">
        <f>INPUT!B69</f>
        <v>2022-00023</v>
      </c>
      <c r="C71" s="35" t="str">
        <f>INPUT!C69</f>
        <v>Borja, Wins Daughter</v>
      </c>
      <c r="D71" s="87"/>
      <c r="E71" s="88"/>
      <c r="F71" s="88"/>
      <c r="G71" s="88"/>
      <c r="H71" s="88"/>
      <c r="I71" s="89" t="str">
        <f t="shared" si="30"/>
        <v/>
      </c>
      <c r="J71" s="57" t="str">
        <f t="shared" si="31"/>
        <v/>
      </c>
      <c r="K71" s="90" t="str">
        <f t="shared" si="32"/>
        <v/>
      </c>
      <c r="L71" s="87"/>
      <c r="M71" s="88"/>
      <c r="N71" s="88"/>
      <c r="O71" s="89" t="str">
        <f t="shared" si="33"/>
        <v/>
      </c>
      <c r="P71" s="57" t="str">
        <f t="shared" si="34"/>
        <v/>
      </c>
      <c r="Q71" s="90" t="str">
        <f t="shared" si="35"/>
        <v/>
      </c>
      <c r="R71" s="87"/>
      <c r="S71" s="88"/>
      <c r="T71" s="88"/>
      <c r="U71" s="89" t="str">
        <f t="shared" si="36"/>
        <v/>
      </c>
      <c r="V71" s="57" t="str">
        <f t="shared" si="37"/>
        <v/>
      </c>
      <c r="W71" s="90" t="str">
        <f t="shared" si="38"/>
        <v/>
      </c>
      <c r="X71" s="91" t="str">
        <f t="shared" si="39"/>
        <v/>
      </c>
      <c r="Y71" s="92" t="str">
        <f t="shared" si="40"/>
        <v/>
      </c>
      <c r="Z71" s="93" t="str">
        <f t="shared" si="41"/>
        <v/>
      </c>
      <c r="AB71" s="2"/>
      <c r="AC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6"/>
      <c r="AT71" s="41" t="e">
        <f t="shared" si="42"/>
        <v>#DIV/0!</v>
      </c>
      <c r="AU71" s="41" t="e">
        <f t="shared" si="43"/>
        <v>#DIV/0!</v>
      </c>
      <c r="AV71" s="41" t="e">
        <f t="shared" si="44"/>
        <v>#DIV/0!</v>
      </c>
      <c r="AX71" s="6"/>
    </row>
    <row r="72" spans="1:50" ht="18" customHeight="1">
      <c r="A72" s="35">
        <f>INPUT!A70</f>
        <v>7</v>
      </c>
      <c r="B72" s="35" t="str">
        <f>INPUT!B70</f>
        <v>2023-00520</v>
      </c>
      <c r="C72" s="35" t="str">
        <f>INPUT!C70</f>
        <v>CABIGAS, HUETTE EVANNY</v>
      </c>
      <c r="D72" s="87"/>
      <c r="E72" s="88"/>
      <c r="F72" s="88"/>
      <c r="G72" s="88"/>
      <c r="H72" s="88"/>
      <c r="I72" s="89" t="str">
        <f t="shared" si="30"/>
        <v/>
      </c>
      <c r="J72" s="57" t="str">
        <f t="shared" si="31"/>
        <v/>
      </c>
      <c r="K72" s="90" t="str">
        <f t="shared" si="32"/>
        <v/>
      </c>
      <c r="L72" s="87"/>
      <c r="M72" s="88"/>
      <c r="N72" s="88"/>
      <c r="O72" s="89" t="str">
        <f t="shared" si="33"/>
        <v/>
      </c>
      <c r="P72" s="57" t="str">
        <f t="shared" si="34"/>
        <v/>
      </c>
      <c r="Q72" s="90" t="str">
        <f t="shared" si="35"/>
        <v/>
      </c>
      <c r="R72" s="87"/>
      <c r="S72" s="88"/>
      <c r="T72" s="88"/>
      <c r="U72" s="89" t="str">
        <f t="shared" si="36"/>
        <v/>
      </c>
      <c r="V72" s="57" t="str">
        <f t="shared" si="37"/>
        <v/>
      </c>
      <c r="W72" s="90" t="str">
        <f t="shared" si="38"/>
        <v/>
      </c>
      <c r="X72" s="91" t="str">
        <f t="shared" si="39"/>
        <v/>
      </c>
      <c r="Y72" s="92" t="str">
        <f t="shared" si="40"/>
        <v/>
      </c>
      <c r="Z72" s="93" t="str">
        <f t="shared" si="41"/>
        <v/>
      </c>
      <c r="AB72" s="2"/>
      <c r="AC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6"/>
      <c r="AT72" s="41" t="e">
        <f t="shared" si="42"/>
        <v>#DIV/0!</v>
      </c>
      <c r="AU72" s="41" t="e">
        <f t="shared" si="43"/>
        <v>#DIV/0!</v>
      </c>
      <c r="AV72" s="41" t="e">
        <f t="shared" si="44"/>
        <v>#DIV/0!</v>
      </c>
      <c r="AX72" s="6"/>
    </row>
    <row r="73" spans="1:50" ht="18" customHeight="1">
      <c r="A73" s="35">
        <f>INPUT!A71</f>
        <v>8</v>
      </c>
      <c r="B73" s="35" t="str">
        <f>INPUT!B71</f>
        <v>2023-00518</v>
      </c>
      <c r="C73" s="35" t="str">
        <f>INPUT!C71</f>
        <v>CAHANAP, ALESSA KRISTINE</v>
      </c>
      <c r="D73" s="87"/>
      <c r="E73" s="88"/>
      <c r="F73" s="88"/>
      <c r="G73" s="88"/>
      <c r="H73" s="88"/>
      <c r="I73" s="89" t="str">
        <f t="shared" si="30"/>
        <v/>
      </c>
      <c r="J73" s="57" t="str">
        <f t="shared" si="31"/>
        <v/>
      </c>
      <c r="K73" s="90" t="str">
        <f t="shared" si="32"/>
        <v/>
      </c>
      <c r="L73" s="87"/>
      <c r="M73" s="88"/>
      <c r="N73" s="88"/>
      <c r="O73" s="89" t="str">
        <f t="shared" si="33"/>
        <v/>
      </c>
      <c r="P73" s="57" t="str">
        <f t="shared" si="34"/>
        <v/>
      </c>
      <c r="Q73" s="90" t="str">
        <f t="shared" si="35"/>
        <v/>
      </c>
      <c r="R73" s="87"/>
      <c r="S73" s="88"/>
      <c r="T73" s="88"/>
      <c r="U73" s="89" t="str">
        <f t="shared" si="36"/>
        <v/>
      </c>
      <c r="V73" s="57" t="str">
        <f t="shared" si="37"/>
        <v/>
      </c>
      <c r="W73" s="90" t="str">
        <f t="shared" si="38"/>
        <v/>
      </c>
      <c r="X73" s="91" t="str">
        <f t="shared" si="39"/>
        <v/>
      </c>
      <c r="Y73" s="92" t="str">
        <f t="shared" si="40"/>
        <v/>
      </c>
      <c r="Z73" s="93" t="str">
        <f t="shared" si="41"/>
        <v/>
      </c>
      <c r="AB73" s="2"/>
      <c r="AC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6"/>
      <c r="AT73" s="41" t="e">
        <f t="shared" si="42"/>
        <v>#DIV/0!</v>
      </c>
      <c r="AU73" s="41" t="e">
        <f t="shared" si="43"/>
        <v>#DIV/0!</v>
      </c>
      <c r="AV73" s="41" t="e">
        <f t="shared" si="44"/>
        <v>#DIV/0!</v>
      </c>
      <c r="AX73" s="6"/>
    </row>
    <row r="74" spans="1:50" ht="18" customHeight="1">
      <c r="A74" s="35">
        <f>INPUT!A72</f>
        <v>9</v>
      </c>
      <c r="B74" s="35" t="str">
        <f>INPUT!B72</f>
        <v>2022-00025</v>
      </c>
      <c r="C74" s="35" t="str">
        <f>INPUT!C72</f>
        <v>Catubay, Cyril Jhean</v>
      </c>
      <c r="D74" s="87"/>
      <c r="E74" s="88"/>
      <c r="F74" s="88"/>
      <c r="G74" s="88"/>
      <c r="H74" s="88"/>
      <c r="I74" s="89" t="str">
        <f t="shared" si="30"/>
        <v/>
      </c>
      <c r="J74" s="57" t="str">
        <f t="shared" si="31"/>
        <v/>
      </c>
      <c r="K74" s="90" t="str">
        <f t="shared" si="32"/>
        <v/>
      </c>
      <c r="L74" s="87"/>
      <c r="M74" s="88"/>
      <c r="N74" s="88"/>
      <c r="O74" s="89" t="str">
        <f t="shared" si="33"/>
        <v/>
      </c>
      <c r="P74" s="57" t="str">
        <f t="shared" si="34"/>
        <v/>
      </c>
      <c r="Q74" s="90" t="str">
        <f t="shared" si="35"/>
        <v/>
      </c>
      <c r="R74" s="87"/>
      <c r="S74" s="88"/>
      <c r="T74" s="88"/>
      <c r="U74" s="89" t="str">
        <f t="shared" si="36"/>
        <v/>
      </c>
      <c r="V74" s="57" t="str">
        <f t="shared" si="37"/>
        <v/>
      </c>
      <c r="W74" s="90" t="str">
        <f t="shared" si="38"/>
        <v/>
      </c>
      <c r="X74" s="91" t="str">
        <f t="shared" si="39"/>
        <v/>
      </c>
      <c r="Y74" s="92" t="str">
        <f t="shared" si="40"/>
        <v/>
      </c>
      <c r="Z74" s="93" t="str">
        <f t="shared" si="41"/>
        <v/>
      </c>
      <c r="AB74" s="2"/>
      <c r="AC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6"/>
      <c r="AT74" s="41" t="e">
        <f t="shared" si="42"/>
        <v>#DIV/0!</v>
      </c>
      <c r="AU74" s="41" t="e">
        <f t="shared" si="43"/>
        <v>#DIV/0!</v>
      </c>
      <c r="AV74" s="41" t="e">
        <f t="shared" si="44"/>
        <v>#DIV/0!</v>
      </c>
      <c r="AX74" s="6"/>
    </row>
    <row r="75" spans="1:50" ht="18" customHeight="1">
      <c r="A75" s="35">
        <f>INPUT!A73</f>
        <v>10</v>
      </c>
      <c r="B75" s="35" t="str">
        <f>INPUT!B73</f>
        <v>2022-00026</v>
      </c>
      <c r="C75" s="35" t="str">
        <f>INPUT!C73</f>
        <v>Dolotallas, Ashanti Leigh</v>
      </c>
      <c r="D75" s="87"/>
      <c r="E75" s="88"/>
      <c r="F75" s="88"/>
      <c r="G75" s="88"/>
      <c r="H75" s="88"/>
      <c r="I75" s="89" t="str">
        <f t="shared" si="30"/>
        <v/>
      </c>
      <c r="J75" s="57" t="str">
        <f t="shared" si="31"/>
        <v/>
      </c>
      <c r="K75" s="90" t="str">
        <f t="shared" si="32"/>
        <v/>
      </c>
      <c r="L75" s="87"/>
      <c r="M75" s="88"/>
      <c r="N75" s="88"/>
      <c r="O75" s="89" t="str">
        <f t="shared" si="33"/>
        <v/>
      </c>
      <c r="P75" s="57" t="str">
        <f t="shared" si="34"/>
        <v/>
      </c>
      <c r="Q75" s="90" t="str">
        <f t="shared" si="35"/>
        <v/>
      </c>
      <c r="R75" s="87"/>
      <c r="S75" s="88"/>
      <c r="T75" s="88"/>
      <c r="U75" s="89" t="str">
        <f t="shared" si="36"/>
        <v/>
      </c>
      <c r="V75" s="57" t="str">
        <f t="shared" si="37"/>
        <v/>
      </c>
      <c r="W75" s="90" t="str">
        <f t="shared" si="38"/>
        <v/>
      </c>
      <c r="X75" s="91" t="str">
        <f t="shared" si="39"/>
        <v/>
      </c>
      <c r="Y75" s="92" t="str">
        <f t="shared" si="40"/>
        <v/>
      </c>
      <c r="Z75" s="93" t="str">
        <f t="shared" si="41"/>
        <v/>
      </c>
      <c r="AB75" s="2"/>
      <c r="AC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6"/>
      <c r="AT75" s="41" t="e">
        <f t="shared" si="42"/>
        <v>#DIV/0!</v>
      </c>
      <c r="AU75" s="41" t="e">
        <f t="shared" si="43"/>
        <v>#DIV/0!</v>
      </c>
      <c r="AV75" s="41" t="e">
        <f t="shared" si="44"/>
        <v>#DIV/0!</v>
      </c>
      <c r="AX75" s="6"/>
    </row>
    <row r="76" spans="1:50" ht="18" customHeight="1">
      <c r="A76" s="35">
        <f>INPUT!A74</f>
        <v>11</v>
      </c>
      <c r="B76" s="35" t="str">
        <f>INPUT!B74</f>
        <v>2022-00027</v>
      </c>
      <c r="C76" s="35" t="str">
        <f>INPUT!C74</f>
        <v>Egay, Charice</v>
      </c>
      <c r="D76" s="87"/>
      <c r="E76" s="88"/>
      <c r="F76" s="88"/>
      <c r="G76" s="88"/>
      <c r="H76" s="88"/>
      <c r="I76" s="89" t="str">
        <f t="shared" si="30"/>
        <v/>
      </c>
      <c r="J76" s="57" t="str">
        <f t="shared" si="31"/>
        <v/>
      </c>
      <c r="K76" s="90" t="str">
        <f t="shared" si="32"/>
        <v/>
      </c>
      <c r="L76" s="87"/>
      <c r="M76" s="88"/>
      <c r="N76" s="88"/>
      <c r="O76" s="89" t="str">
        <f t="shared" si="33"/>
        <v/>
      </c>
      <c r="P76" s="57" t="str">
        <f t="shared" si="34"/>
        <v/>
      </c>
      <c r="Q76" s="90" t="str">
        <f t="shared" si="35"/>
        <v/>
      </c>
      <c r="R76" s="87"/>
      <c r="S76" s="88"/>
      <c r="T76" s="88"/>
      <c r="U76" s="89" t="str">
        <f t="shared" si="36"/>
        <v/>
      </c>
      <c r="V76" s="57" t="str">
        <f t="shared" si="37"/>
        <v/>
      </c>
      <c r="W76" s="90" t="str">
        <f t="shared" si="38"/>
        <v/>
      </c>
      <c r="X76" s="91" t="str">
        <f t="shared" si="39"/>
        <v/>
      </c>
      <c r="Y76" s="92" t="str">
        <f t="shared" si="40"/>
        <v/>
      </c>
      <c r="Z76" s="93" t="str">
        <f t="shared" si="41"/>
        <v/>
      </c>
      <c r="AB76" s="2"/>
      <c r="AC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6"/>
      <c r="AT76" s="41" t="e">
        <f t="shared" si="42"/>
        <v>#DIV/0!</v>
      </c>
      <c r="AU76" s="41" t="e">
        <f t="shared" si="43"/>
        <v>#DIV/0!</v>
      </c>
      <c r="AV76" s="41" t="e">
        <f t="shared" si="44"/>
        <v>#DIV/0!</v>
      </c>
      <c r="AX76" s="6"/>
    </row>
    <row r="77" spans="1:50" ht="18" customHeight="1">
      <c r="A77" s="35">
        <f>INPUT!A75</f>
        <v>12</v>
      </c>
      <c r="B77" s="35" t="str">
        <f>INPUT!B75</f>
        <v>2022-00028</v>
      </c>
      <c r="C77" s="35" t="str">
        <f>INPUT!C75</f>
        <v>Ferraren, Abegail Jane</v>
      </c>
      <c r="D77" s="87"/>
      <c r="E77" s="88"/>
      <c r="F77" s="88"/>
      <c r="G77" s="88"/>
      <c r="H77" s="88"/>
      <c r="I77" s="89" t="str">
        <f t="shared" si="30"/>
        <v/>
      </c>
      <c r="J77" s="57" t="str">
        <f t="shared" si="31"/>
        <v/>
      </c>
      <c r="K77" s="90" t="str">
        <f t="shared" si="32"/>
        <v/>
      </c>
      <c r="L77" s="87"/>
      <c r="M77" s="88"/>
      <c r="N77" s="88"/>
      <c r="O77" s="89" t="str">
        <f t="shared" si="33"/>
        <v/>
      </c>
      <c r="P77" s="57" t="str">
        <f t="shared" si="34"/>
        <v/>
      </c>
      <c r="Q77" s="90" t="str">
        <f t="shared" si="35"/>
        <v/>
      </c>
      <c r="R77" s="87"/>
      <c r="S77" s="88"/>
      <c r="T77" s="88"/>
      <c r="U77" s="89" t="str">
        <f t="shared" si="36"/>
        <v/>
      </c>
      <c r="V77" s="57" t="str">
        <f t="shared" si="37"/>
        <v/>
      </c>
      <c r="W77" s="90" t="str">
        <f t="shared" si="38"/>
        <v/>
      </c>
      <c r="X77" s="91" t="str">
        <f t="shared" si="39"/>
        <v/>
      </c>
      <c r="Y77" s="92" t="str">
        <f t="shared" si="40"/>
        <v/>
      </c>
      <c r="Z77" s="93" t="str">
        <f t="shared" si="41"/>
        <v/>
      </c>
      <c r="AB77" s="2"/>
      <c r="AC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6"/>
      <c r="AT77" s="41" t="e">
        <f t="shared" si="42"/>
        <v>#DIV/0!</v>
      </c>
      <c r="AU77" s="41" t="e">
        <f t="shared" si="43"/>
        <v>#DIV/0!</v>
      </c>
      <c r="AV77" s="41" t="e">
        <f t="shared" si="44"/>
        <v>#DIV/0!</v>
      </c>
      <c r="AX77" s="6"/>
    </row>
    <row r="78" spans="1:50" ht="18" customHeight="1">
      <c r="A78" s="35">
        <f>INPUT!A76</f>
        <v>13</v>
      </c>
      <c r="B78" s="35" t="str">
        <f>INPUT!B76</f>
        <v>2022-00029</v>
      </c>
      <c r="C78" s="35" t="str">
        <f>INPUT!C76</f>
        <v>Gales, Jillian</v>
      </c>
      <c r="D78" s="87"/>
      <c r="E78" s="88"/>
      <c r="F78" s="88"/>
      <c r="G78" s="88"/>
      <c r="H78" s="88"/>
      <c r="I78" s="89" t="str">
        <f t="shared" si="30"/>
        <v/>
      </c>
      <c r="J78" s="57" t="str">
        <f t="shared" si="31"/>
        <v/>
      </c>
      <c r="K78" s="90" t="str">
        <f t="shared" si="32"/>
        <v/>
      </c>
      <c r="L78" s="87"/>
      <c r="M78" s="88"/>
      <c r="N78" s="88"/>
      <c r="O78" s="89" t="str">
        <f t="shared" si="33"/>
        <v/>
      </c>
      <c r="P78" s="57" t="str">
        <f t="shared" si="34"/>
        <v/>
      </c>
      <c r="Q78" s="90" t="str">
        <f t="shared" si="35"/>
        <v/>
      </c>
      <c r="R78" s="87"/>
      <c r="S78" s="88"/>
      <c r="T78" s="88"/>
      <c r="U78" s="89" t="str">
        <f t="shared" si="36"/>
        <v/>
      </c>
      <c r="V78" s="57" t="str">
        <f t="shared" si="37"/>
        <v/>
      </c>
      <c r="W78" s="90" t="str">
        <f t="shared" si="38"/>
        <v/>
      </c>
      <c r="X78" s="91" t="str">
        <f t="shared" si="39"/>
        <v/>
      </c>
      <c r="Y78" s="92" t="str">
        <f t="shared" si="40"/>
        <v/>
      </c>
      <c r="Z78" s="93" t="str">
        <f t="shared" si="41"/>
        <v/>
      </c>
      <c r="AB78" s="2"/>
      <c r="AC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6"/>
      <c r="AT78" s="41" t="e">
        <f t="shared" si="42"/>
        <v>#DIV/0!</v>
      </c>
      <c r="AU78" s="41" t="e">
        <f t="shared" si="43"/>
        <v>#DIV/0!</v>
      </c>
      <c r="AV78" s="41" t="e">
        <f t="shared" si="44"/>
        <v>#DIV/0!</v>
      </c>
      <c r="AX78" s="6"/>
    </row>
    <row r="79" spans="1:50" ht="18" customHeight="1">
      <c r="A79" s="35">
        <f>INPUT!A77</f>
        <v>14</v>
      </c>
      <c r="B79" s="35" t="str">
        <f>INPUT!B77</f>
        <v>2022-00030</v>
      </c>
      <c r="C79" s="35" t="str">
        <f>INPUT!C77</f>
        <v>Logronio, Cherry Pearl</v>
      </c>
      <c r="D79" s="87"/>
      <c r="E79" s="88"/>
      <c r="F79" s="88"/>
      <c r="G79" s="88"/>
      <c r="H79" s="88"/>
      <c r="I79" s="89" t="str">
        <f t="shared" si="30"/>
        <v/>
      </c>
      <c r="J79" s="57" t="str">
        <f t="shared" si="31"/>
        <v/>
      </c>
      <c r="K79" s="90" t="str">
        <f t="shared" si="32"/>
        <v/>
      </c>
      <c r="L79" s="87"/>
      <c r="M79" s="88"/>
      <c r="N79" s="88"/>
      <c r="O79" s="89" t="str">
        <f t="shared" si="33"/>
        <v/>
      </c>
      <c r="P79" s="57" t="str">
        <f t="shared" si="34"/>
        <v/>
      </c>
      <c r="Q79" s="90" t="str">
        <f t="shared" si="35"/>
        <v/>
      </c>
      <c r="R79" s="87"/>
      <c r="S79" s="88"/>
      <c r="T79" s="88"/>
      <c r="U79" s="89" t="str">
        <f t="shared" si="36"/>
        <v/>
      </c>
      <c r="V79" s="57" t="str">
        <f t="shared" si="37"/>
        <v/>
      </c>
      <c r="W79" s="90" t="str">
        <f t="shared" si="38"/>
        <v/>
      </c>
      <c r="X79" s="91" t="str">
        <f t="shared" si="39"/>
        <v/>
      </c>
      <c r="Y79" s="92" t="str">
        <f t="shared" si="40"/>
        <v/>
      </c>
      <c r="Z79" s="93" t="str">
        <f t="shared" si="41"/>
        <v/>
      </c>
      <c r="AB79" s="2"/>
      <c r="AC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6"/>
      <c r="AT79" s="41" t="e">
        <f t="shared" si="42"/>
        <v>#DIV/0!</v>
      </c>
      <c r="AU79" s="41" t="e">
        <f t="shared" si="43"/>
        <v>#DIV/0!</v>
      </c>
      <c r="AV79" s="41" t="e">
        <f t="shared" si="44"/>
        <v>#DIV/0!</v>
      </c>
      <c r="AX79" s="6"/>
    </row>
    <row r="80" spans="1:50" ht="18" customHeight="1">
      <c r="A80" s="35">
        <f>INPUT!A78</f>
        <v>15</v>
      </c>
      <c r="B80" s="35" t="str">
        <f>INPUT!B78</f>
        <v>2022-00031</v>
      </c>
      <c r="C80" s="35" t="str">
        <f>INPUT!C78</f>
        <v>Mayo, Hershey Lhe</v>
      </c>
      <c r="D80" s="87"/>
      <c r="E80" s="88"/>
      <c r="F80" s="88"/>
      <c r="G80" s="88"/>
      <c r="H80" s="88"/>
      <c r="I80" s="89" t="str">
        <f t="shared" si="30"/>
        <v/>
      </c>
      <c r="J80" s="57" t="str">
        <f t="shared" si="31"/>
        <v/>
      </c>
      <c r="K80" s="90" t="str">
        <f t="shared" si="32"/>
        <v/>
      </c>
      <c r="L80" s="87"/>
      <c r="M80" s="88"/>
      <c r="N80" s="88"/>
      <c r="O80" s="89" t="str">
        <f t="shared" si="33"/>
        <v/>
      </c>
      <c r="P80" s="57" t="str">
        <f t="shared" si="34"/>
        <v/>
      </c>
      <c r="Q80" s="90" t="str">
        <f t="shared" si="35"/>
        <v/>
      </c>
      <c r="R80" s="87"/>
      <c r="S80" s="88"/>
      <c r="T80" s="88"/>
      <c r="U80" s="89" t="str">
        <f t="shared" si="36"/>
        <v/>
      </c>
      <c r="V80" s="57" t="str">
        <f t="shared" si="37"/>
        <v/>
      </c>
      <c r="W80" s="90" t="str">
        <f t="shared" si="38"/>
        <v/>
      </c>
      <c r="X80" s="91" t="str">
        <f t="shared" si="39"/>
        <v/>
      </c>
      <c r="Y80" s="92" t="str">
        <f t="shared" si="40"/>
        <v/>
      </c>
      <c r="Z80" s="93" t="str">
        <f t="shared" si="41"/>
        <v/>
      </c>
      <c r="AB80" s="2"/>
      <c r="AC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6"/>
      <c r="AT80" s="41" t="e">
        <f t="shared" si="42"/>
        <v>#DIV/0!</v>
      </c>
      <c r="AU80" s="41" t="e">
        <f t="shared" si="43"/>
        <v>#DIV/0!</v>
      </c>
      <c r="AV80" s="41" t="e">
        <f t="shared" si="44"/>
        <v>#DIV/0!</v>
      </c>
      <c r="AX80" s="6"/>
    </row>
    <row r="81" spans="1:50" ht="18" customHeight="1">
      <c r="A81" s="35">
        <f>INPUT!A79</f>
        <v>16</v>
      </c>
      <c r="B81" s="35" t="str">
        <f>INPUT!B79</f>
        <v>2023-00591</v>
      </c>
      <c r="C81" s="35" t="str">
        <f>INPUT!C79</f>
        <v>Minguito, Vibriel</v>
      </c>
      <c r="D81" s="87"/>
      <c r="E81" s="88"/>
      <c r="F81" s="88"/>
      <c r="G81" s="88"/>
      <c r="H81" s="88"/>
      <c r="I81" s="89" t="str">
        <f t="shared" si="30"/>
        <v/>
      </c>
      <c r="J81" s="57" t="str">
        <f t="shared" si="31"/>
        <v/>
      </c>
      <c r="K81" s="90" t="str">
        <f t="shared" si="32"/>
        <v/>
      </c>
      <c r="L81" s="87"/>
      <c r="M81" s="88"/>
      <c r="N81" s="88"/>
      <c r="O81" s="89" t="str">
        <f t="shared" si="33"/>
        <v/>
      </c>
      <c r="P81" s="57" t="str">
        <f t="shared" si="34"/>
        <v/>
      </c>
      <c r="Q81" s="90" t="str">
        <f t="shared" si="35"/>
        <v/>
      </c>
      <c r="R81" s="87"/>
      <c r="S81" s="88"/>
      <c r="T81" s="88"/>
      <c r="U81" s="89" t="str">
        <f t="shared" si="36"/>
        <v/>
      </c>
      <c r="V81" s="57" t="str">
        <f t="shared" si="37"/>
        <v/>
      </c>
      <c r="W81" s="90" t="str">
        <f t="shared" si="38"/>
        <v/>
      </c>
      <c r="X81" s="91" t="str">
        <f t="shared" si="39"/>
        <v/>
      </c>
      <c r="Y81" s="92" t="str">
        <f t="shared" si="40"/>
        <v/>
      </c>
      <c r="Z81" s="93" t="str">
        <f t="shared" si="41"/>
        <v/>
      </c>
      <c r="AB81" s="2"/>
      <c r="AC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6"/>
      <c r="AT81" s="41" t="e">
        <f t="shared" si="42"/>
        <v>#DIV/0!</v>
      </c>
      <c r="AU81" s="41" t="e">
        <f t="shared" si="43"/>
        <v>#DIV/0!</v>
      </c>
      <c r="AV81" s="41" t="e">
        <f t="shared" si="44"/>
        <v>#DIV/0!</v>
      </c>
      <c r="AX81" s="6"/>
    </row>
    <row r="82" spans="1:50" ht="18" customHeight="1">
      <c r="A82" s="35">
        <f>INPUT!A80</f>
        <v>17</v>
      </c>
      <c r="B82" s="35" t="str">
        <f>INPUT!B80</f>
        <v>2023-00513</v>
      </c>
      <c r="C82" s="35" t="str">
        <f>INPUT!C80</f>
        <v>OCASION, ELISHA MAE</v>
      </c>
      <c r="D82" s="87"/>
      <c r="E82" s="88"/>
      <c r="F82" s="88"/>
      <c r="G82" s="88"/>
      <c r="H82" s="88"/>
      <c r="I82" s="89" t="str">
        <f t="shared" si="30"/>
        <v/>
      </c>
      <c r="J82" s="57" t="str">
        <f t="shared" si="31"/>
        <v/>
      </c>
      <c r="K82" s="90" t="str">
        <f t="shared" si="32"/>
        <v/>
      </c>
      <c r="L82" s="87"/>
      <c r="M82" s="88"/>
      <c r="N82" s="88"/>
      <c r="O82" s="89" t="str">
        <f t="shared" si="33"/>
        <v/>
      </c>
      <c r="P82" s="57" t="str">
        <f t="shared" si="34"/>
        <v/>
      </c>
      <c r="Q82" s="90" t="str">
        <f t="shared" si="35"/>
        <v/>
      </c>
      <c r="R82" s="87"/>
      <c r="S82" s="88"/>
      <c r="T82" s="88"/>
      <c r="U82" s="89" t="str">
        <f t="shared" si="36"/>
        <v/>
      </c>
      <c r="V82" s="57" t="str">
        <f t="shared" si="37"/>
        <v/>
      </c>
      <c r="W82" s="90" t="str">
        <f t="shared" si="38"/>
        <v/>
      </c>
      <c r="X82" s="91" t="str">
        <f t="shared" si="39"/>
        <v/>
      </c>
      <c r="Y82" s="92" t="str">
        <f t="shared" si="40"/>
        <v/>
      </c>
      <c r="Z82" s="93" t="str">
        <f t="shared" si="41"/>
        <v/>
      </c>
      <c r="AB82" s="2"/>
      <c r="AC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6"/>
      <c r="AT82" s="41" t="e">
        <f t="shared" si="42"/>
        <v>#DIV/0!</v>
      </c>
      <c r="AU82" s="41" t="e">
        <f t="shared" si="43"/>
        <v>#DIV/0!</v>
      </c>
      <c r="AV82" s="41" t="e">
        <f t="shared" si="44"/>
        <v>#DIV/0!</v>
      </c>
      <c r="AX82" s="6"/>
    </row>
    <row r="83" spans="1:50" ht="18" customHeight="1">
      <c r="A83" s="35">
        <f>INPUT!A81</f>
        <v>18</v>
      </c>
      <c r="B83" s="35" t="str">
        <f>INPUT!B81</f>
        <v>2022-00032</v>
      </c>
      <c r="C83" s="35" t="str">
        <f>INPUT!C81</f>
        <v>Omega, Jabeah Kharla</v>
      </c>
      <c r="D83" s="87"/>
      <c r="E83" s="88"/>
      <c r="F83" s="88"/>
      <c r="G83" s="88"/>
      <c r="H83" s="88"/>
      <c r="I83" s="89" t="str">
        <f t="shared" si="30"/>
        <v/>
      </c>
      <c r="J83" s="57" t="str">
        <f t="shared" si="31"/>
        <v/>
      </c>
      <c r="K83" s="90" t="str">
        <f t="shared" si="32"/>
        <v/>
      </c>
      <c r="L83" s="87"/>
      <c r="M83" s="88"/>
      <c r="N83" s="88"/>
      <c r="O83" s="89" t="str">
        <f t="shared" si="33"/>
        <v/>
      </c>
      <c r="P83" s="57" t="str">
        <f t="shared" si="34"/>
        <v/>
      </c>
      <c r="Q83" s="90" t="str">
        <f t="shared" si="35"/>
        <v/>
      </c>
      <c r="R83" s="87"/>
      <c r="S83" s="88"/>
      <c r="T83" s="88"/>
      <c r="U83" s="89" t="str">
        <f t="shared" si="36"/>
        <v/>
      </c>
      <c r="V83" s="57" t="str">
        <f t="shared" si="37"/>
        <v/>
      </c>
      <c r="W83" s="90" t="str">
        <f t="shared" si="38"/>
        <v/>
      </c>
      <c r="X83" s="91" t="str">
        <f t="shared" si="39"/>
        <v/>
      </c>
      <c r="Y83" s="92" t="str">
        <f t="shared" si="40"/>
        <v/>
      </c>
      <c r="Z83" s="93" t="str">
        <f t="shared" si="41"/>
        <v/>
      </c>
      <c r="AB83" s="2"/>
      <c r="AC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6"/>
      <c r="AT83" s="41" t="e">
        <f t="shared" si="42"/>
        <v>#DIV/0!</v>
      </c>
      <c r="AU83" s="41" t="e">
        <f t="shared" si="43"/>
        <v>#DIV/0!</v>
      </c>
      <c r="AV83" s="41" t="e">
        <f t="shared" si="44"/>
        <v>#DIV/0!</v>
      </c>
      <c r="AX83" s="6"/>
    </row>
    <row r="84" spans="1:50" ht="18" customHeight="1">
      <c r="A84" s="35">
        <f>INPUT!A82</f>
        <v>19</v>
      </c>
      <c r="B84" s="35" t="str">
        <f>INPUT!B82</f>
        <v>2022-00077</v>
      </c>
      <c r="C84" s="35" t="str">
        <f>INPUT!C82</f>
        <v>Pacli-an, Quennie Joy</v>
      </c>
      <c r="D84" s="87"/>
      <c r="E84" s="88"/>
      <c r="F84" s="88"/>
      <c r="G84" s="88"/>
      <c r="H84" s="88"/>
      <c r="I84" s="89" t="str">
        <f t="shared" si="30"/>
        <v/>
      </c>
      <c r="J84" s="57" t="str">
        <f t="shared" si="31"/>
        <v/>
      </c>
      <c r="K84" s="90" t="str">
        <f t="shared" si="32"/>
        <v/>
      </c>
      <c r="L84" s="87"/>
      <c r="M84" s="88"/>
      <c r="N84" s="88"/>
      <c r="O84" s="89" t="str">
        <f t="shared" si="33"/>
        <v/>
      </c>
      <c r="P84" s="57" t="str">
        <f t="shared" si="34"/>
        <v/>
      </c>
      <c r="Q84" s="90" t="str">
        <f t="shared" si="35"/>
        <v/>
      </c>
      <c r="R84" s="87"/>
      <c r="S84" s="88"/>
      <c r="T84" s="88"/>
      <c r="U84" s="89" t="str">
        <f t="shared" si="36"/>
        <v/>
      </c>
      <c r="V84" s="57" t="str">
        <f t="shared" si="37"/>
        <v/>
      </c>
      <c r="W84" s="90" t="str">
        <f t="shared" si="38"/>
        <v/>
      </c>
      <c r="X84" s="91" t="str">
        <f t="shared" si="39"/>
        <v/>
      </c>
      <c r="Y84" s="92" t="str">
        <f t="shared" si="40"/>
        <v/>
      </c>
      <c r="Z84" s="93" t="str">
        <f t="shared" si="41"/>
        <v/>
      </c>
      <c r="AB84" s="2"/>
      <c r="AC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6"/>
      <c r="AT84" s="41" t="e">
        <f t="shared" si="42"/>
        <v>#DIV/0!</v>
      </c>
      <c r="AU84" s="41" t="e">
        <f t="shared" si="43"/>
        <v>#DIV/0!</v>
      </c>
      <c r="AV84" s="41" t="e">
        <f t="shared" si="44"/>
        <v>#DIV/0!</v>
      </c>
      <c r="AX84" s="6"/>
    </row>
    <row r="85" spans="1:50" ht="18" customHeight="1">
      <c r="A85" s="35">
        <f>INPUT!A83</f>
        <v>20</v>
      </c>
      <c r="B85" s="35" t="str">
        <f>INPUT!B83</f>
        <v>2022-00033</v>
      </c>
      <c r="C85" s="35" t="str">
        <f>INPUT!C83</f>
        <v>Pasco, Raechelle Vyene</v>
      </c>
      <c r="D85" s="87"/>
      <c r="E85" s="88"/>
      <c r="F85" s="88"/>
      <c r="G85" s="88"/>
      <c r="H85" s="88"/>
      <c r="I85" s="89" t="str">
        <f t="shared" si="30"/>
        <v/>
      </c>
      <c r="J85" s="57" t="str">
        <f t="shared" si="31"/>
        <v/>
      </c>
      <c r="K85" s="90" t="str">
        <f t="shared" si="32"/>
        <v/>
      </c>
      <c r="L85" s="87"/>
      <c r="M85" s="88"/>
      <c r="N85" s="88"/>
      <c r="O85" s="89" t="str">
        <f t="shared" si="33"/>
        <v/>
      </c>
      <c r="P85" s="57" t="str">
        <f t="shared" si="34"/>
        <v/>
      </c>
      <c r="Q85" s="90" t="str">
        <f t="shared" si="35"/>
        <v/>
      </c>
      <c r="R85" s="87"/>
      <c r="S85" s="88"/>
      <c r="T85" s="88"/>
      <c r="U85" s="89" t="str">
        <f t="shared" si="36"/>
        <v/>
      </c>
      <c r="V85" s="57" t="str">
        <f t="shared" si="37"/>
        <v/>
      </c>
      <c r="W85" s="90" t="str">
        <f t="shared" si="38"/>
        <v/>
      </c>
      <c r="X85" s="91" t="str">
        <f t="shared" si="39"/>
        <v/>
      </c>
      <c r="Y85" s="92" t="str">
        <f t="shared" si="40"/>
        <v/>
      </c>
      <c r="Z85" s="93" t="str">
        <f t="shared" si="41"/>
        <v/>
      </c>
      <c r="AB85" s="2"/>
      <c r="AC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6"/>
      <c r="AT85" s="41" t="e">
        <f t="shared" si="42"/>
        <v>#DIV/0!</v>
      </c>
      <c r="AU85" s="41" t="e">
        <f t="shared" si="43"/>
        <v>#DIV/0!</v>
      </c>
      <c r="AV85" s="41" t="e">
        <f t="shared" si="44"/>
        <v>#DIV/0!</v>
      </c>
      <c r="AX85" s="6"/>
    </row>
    <row r="86" spans="1:50" ht="18" customHeight="1">
      <c r="A86" s="35">
        <f>INPUT!A84</f>
        <v>21</v>
      </c>
      <c r="B86" s="35" t="str">
        <f>INPUT!B84</f>
        <v>2022-00036</v>
      </c>
      <c r="C86" s="35" t="str">
        <f>INPUT!C84</f>
        <v>Sagadsad, Daphney</v>
      </c>
      <c r="D86" s="87"/>
      <c r="E86" s="88"/>
      <c r="F86" s="88"/>
      <c r="G86" s="88"/>
      <c r="H86" s="88"/>
      <c r="I86" s="89" t="str">
        <f t="shared" si="30"/>
        <v/>
      </c>
      <c r="J86" s="57" t="str">
        <f t="shared" si="31"/>
        <v/>
      </c>
      <c r="K86" s="90" t="str">
        <f t="shared" si="32"/>
        <v/>
      </c>
      <c r="L86" s="87"/>
      <c r="M86" s="88"/>
      <c r="N86" s="88"/>
      <c r="O86" s="89" t="str">
        <f t="shared" si="33"/>
        <v/>
      </c>
      <c r="P86" s="57" t="str">
        <f t="shared" si="34"/>
        <v/>
      </c>
      <c r="Q86" s="90" t="str">
        <f t="shared" si="35"/>
        <v/>
      </c>
      <c r="R86" s="87"/>
      <c r="S86" s="88"/>
      <c r="T86" s="88"/>
      <c r="U86" s="89" t="str">
        <f t="shared" si="36"/>
        <v/>
      </c>
      <c r="V86" s="57" t="str">
        <f t="shared" si="37"/>
        <v/>
      </c>
      <c r="W86" s="90" t="str">
        <f t="shared" si="38"/>
        <v/>
      </c>
      <c r="X86" s="91" t="str">
        <f t="shared" si="39"/>
        <v/>
      </c>
      <c r="Y86" s="92" t="str">
        <f t="shared" si="40"/>
        <v/>
      </c>
      <c r="Z86" s="93" t="str">
        <f t="shared" si="41"/>
        <v/>
      </c>
      <c r="AB86" s="2"/>
      <c r="AC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6"/>
      <c r="AT86" s="41" t="e">
        <f t="shared" si="42"/>
        <v>#DIV/0!</v>
      </c>
      <c r="AU86" s="41" t="e">
        <f t="shared" si="43"/>
        <v>#DIV/0!</v>
      </c>
      <c r="AV86" s="41" t="e">
        <f t="shared" si="44"/>
        <v>#DIV/0!</v>
      </c>
      <c r="AX86" s="6"/>
    </row>
    <row r="87" spans="1:50" ht="18" customHeight="1">
      <c r="A87" s="35">
        <f>INPUT!A85</f>
        <v>22</v>
      </c>
      <c r="B87" s="35" t="str">
        <f>INPUT!B85</f>
        <v>2022-00037</v>
      </c>
      <c r="C87" s="35" t="str">
        <f>INPUT!C85</f>
        <v>Sendrijas, Zeleen</v>
      </c>
      <c r="D87" s="87"/>
      <c r="E87" s="88"/>
      <c r="F87" s="88"/>
      <c r="G87" s="88"/>
      <c r="H87" s="88"/>
      <c r="I87" s="89" t="str">
        <f t="shared" si="30"/>
        <v/>
      </c>
      <c r="J87" s="57" t="str">
        <f t="shared" si="31"/>
        <v/>
      </c>
      <c r="K87" s="90" t="str">
        <f t="shared" si="32"/>
        <v/>
      </c>
      <c r="L87" s="87"/>
      <c r="M87" s="88"/>
      <c r="N87" s="88"/>
      <c r="O87" s="89" t="str">
        <f t="shared" si="33"/>
        <v/>
      </c>
      <c r="P87" s="57" t="str">
        <f t="shared" si="34"/>
        <v/>
      </c>
      <c r="Q87" s="90" t="str">
        <f t="shared" si="35"/>
        <v/>
      </c>
      <c r="R87" s="87"/>
      <c r="S87" s="88"/>
      <c r="T87" s="88"/>
      <c r="U87" s="89" t="str">
        <f t="shared" si="36"/>
        <v/>
      </c>
      <c r="V87" s="57" t="str">
        <f t="shared" si="37"/>
        <v/>
      </c>
      <c r="W87" s="90" t="str">
        <f t="shared" si="38"/>
        <v/>
      </c>
      <c r="X87" s="91" t="str">
        <f t="shared" si="39"/>
        <v/>
      </c>
      <c r="Y87" s="92" t="str">
        <f t="shared" si="40"/>
        <v/>
      </c>
      <c r="Z87" s="93" t="str">
        <f t="shared" si="41"/>
        <v/>
      </c>
      <c r="AB87" s="2"/>
      <c r="AC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6"/>
      <c r="AT87" s="41" t="e">
        <f t="shared" si="42"/>
        <v>#DIV/0!</v>
      </c>
      <c r="AU87" s="41" t="e">
        <f t="shared" si="43"/>
        <v>#DIV/0!</v>
      </c>
      <c r="AV87" s="41" t="e">
        <f t="shared" si="44"/>
        <v>#DIV/0!</v>
      </c>
      <c r="AX87" s="6"/>
    </row>
    <row r="88" spans="1:50" ht="18" customHeight="1">
      <c r="A88" s="35">
        <f>INPUT!A86</f>
        <v>23</v>
      </c>
      <c r="B88" s="35" t="str">
        <f>INPUT!B86</f>
        <v>2023-00429</v>
      </c>
      <c r="C88" s="35" t="str">
        <f>INPUT!C86</f>
        <v>Tero, Samantha Nichole</v>
      </c>
      <c r="D88" s="87"/>
      <c r="E88" s="88"/>
      <c r="F88" s="88"/>
      <c r="G88" s="88"/>
      <c r="H88" s="88"/>
      <c r="I88" s="89" t="str">
        <f t="shared" si="30"/>
        <v/>
      </c>
      <c r="J88" s="57" t="str">
        <f t="shared" si="31"/>
        <v/>
      </c>
      <c r="K88" s="90" t="str">
        <f t="shared" si="32"/>
        <v/>
      </c>
      <c r="L88" s="87"/>
      <c r="M88" s="88"/>
      <c r="N88" s="88"/>
      <c r="O88" s="89" t="str">
        <f t="shared" si="33"/>
        <v/>
      </c>
      <c r="P88" s="57" t="str">
        <f t="shared" si="34"/>
        <v/>
      </c>
      <c r="Q88" s="90" t="str">
        <f t="shared" si="35"/>
        <v/>
      </c>
      <c r="R88" s="87"/>
      <c r="S88" s="88"/>
      <c r="T88" s="88"/>
      <c r="U88" s="89" t="str">
        <f t="shared" si="36"/>
        <v/>
      </c>
      <c r="V88" s="57" t="str">
        <f t="shared" si="37"/>
        <v/>
      </c>
      <c r="W88" s="90" t="str">
        <f t="shared" si="38"/>
        <v/>
      </c>
      <c r="X88" s="91" t="str">
        <f t="shared" si="39"/>
        <v/>
      </c>
      <c r="Y88" s="92" t="str">
        <f t="shared" si="40"/>
        <v/>
      </c>
      <c r="Z88" s="93" t="str">
        <f t="shared" si="41"/>
        <v/>
      </c>
      <c r="AB88" s="2"/>
      <c r="AC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6"/>
      <c r="AT88" s="41" t="e">
        <f t="shared" si="42"/>
        <v>#DIV/0!</v>
      </c>
      <c r="AU88" s="41" t="e">
        <f t="shared" si="43"/>
        <v>#DIV/0!</v>
      </c>
      <c r="AV88" s="41" t="e">
        <f t="shared" si="44"/>
        <v>#DIV/0!</v>
      </c>
      <c r="AX88" s="6"/>
    </row>
    <row r="89" spans="1:50" ht="18" customHeight="1">
      <c r="A89" s="35">
        <f>INPUT!A87</f>
        <v>24</v>
      </c>
      <c r="B89" s="35" t="str">
        <f>INPUT!B87</f>
        <v>2022-00039</v>
      </c>
      <c r="C89" s="35" t="str">
        <f>INPUT!C87</f>
        <v>Toledo, Sarah Mae</v>
      </c>
      <c r="D89" s="87"/>
      <c r="E89" s="88"/>
      <c r="F89" s="88"/>
      <c r="G89" s="88"/>
      <c r="H89" s="88"/>
      <c r="I89" s="89" t="str">
        <f t="shared" si="30"/>
        <v/>
      </c>
      <c r="J89" s="57" t="str">
        <f t="shared" si="31"/>
        <v/>
      </c>
      <c r="K89" s="90" t="str">
        <f t="shared" si="32"/>
        <v/>
      </c>
      <c r="L89" s="87"/>
      <c r="M89" s="88"/>
      <c r="N89" s="88"/>
      <c r="O89" s="89" t="str">
        <f t="shared" si="33"/>
        <v/>
      </c>
      <c r="P89" s="57" t="str">
        <f t="shared" si="34"/>
        <v/>
      </c>
      <c r="Q89" s="90" t="str">
        <f t="shared" si="35"/>
        <v/>
      </c>
      <c r="R89" s="87"/>
      <c r="S89" s="88"/>
      <c r="T89" s="88"/>
      <c r="U89" s="89" t="str">
        <f t="shared" si="36"/>
        <v/>
      </c>
      <c r="V89" s="57" t="str">
        <f t="shared" si="37"/>
        <v/>
      </c>
      <c r="W89" s="90" t="str">
        <f t="shared" si="38"/>
        <v/>
      </c>
      <c r="X89" s="91" t="str">
        <f t="shared" si="39"/>
        <v/>
      </c>
      <c r="Y89" s="92" t="str">
        <f t="shared" si="40"/>
        <v/>
      </c>
      <c r="Z89" s="93" t="str">
        <f t="shared" si="41"/>
        <v/>
      </c>
      <c r="AB89" s="2"/>
      <c r="AC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6"/>
      <c r="AT89" s="41" t="e">
        <f t="shared" si="42"/>
        <v>#DIV/0!</v>
      </c>
      <c r="AU89" s="41" t="e">
        <f t="shared" si="43"/>
        <v>#DIV/0!</v>
      </c>
      <c r="AV89" s="41" t="e">
        <f t="shared" si="44"/>
        <v>#DIV/0!</v>
      </c>
      <c r="AX89" s="6"/>
    </row>
    <row r="90" spans="1:50" ht="18" customHeight="1">
      <c r="A90" s="35">
        <f>INPUT!A88</f>
        <v>25</v>
      </c>
      <c r="B90" s="35" t="str">
        <f>INPUT!B88</f>
        <v>2022-00040</v>
      </c>
      <c r="C90" s="35" t="str">
        <f>INPUT!C88</f>
        <v>Urdaneta, Khloue Aysel</v>
      </c>
      <c r="D90" s="87"/>
      <c r="E90" s="88"/>
      <c r="F90" s="88"/>
      <c r="G90" s="88"/>
      <c r="H90" s="88"/>
      <c r="I90" s="89" t="str">
        <f t="shared" si="30"/>
        <v/>
      </c>
      <c r="J90" s="57" t="str">
        <f t="shared" si="31"/>
        <v/>
      </c>
      <c r="K90" s="90" t="str">
        <f t="shared" si="32"/>
        <v/>
      </c>
      <c r="L90" s="87"/>
      <c r="M90" s="88"/>
      <c r="N90" s="88"/>
      <c r="O90" s="89" t="str">
        <f t="shared" si="33"/>
        <v/>
      </c>
      <c r="P90" s="57" t="str">
        <f t="shared" si="34"/>
        <v/>
      </c>
      <c r="Q90" s="90" t="str">
        <f t="shared" si="35"/>
        <v/>
      </c>
      <c r="R90" s="87"/>
      <c r="S90" s="88"/>
      <c r="T90" s="88"/>
      <c r="U90" s="89" t="str">
        <f t="shared" si="36"/>
        <v/>
      </c>
      <c r="V90" s="57" t="str">
        <f t="shared" si="37"/>
        <v/>
      </c>
      <c r="W90" s="90" t="str">
        <f t="shared" si="38"/>
        <v/>
      </c>
      <c r="X90" s="91" t="str">
        <f t="shared" si="39"/>
        <v/>
      </c>
      <c r="Y90" s="92" t="str">
        <f t="shared" si="40"/>
        <v/>
      </c>
      <c r="Z90" s="93" t="str">
        <f t="shared" si="41"/>
        <v/>
      </c>
      <c r="AB90" s="2"/>
      <c r="AC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6"/>
      <c r="AT90" s="41" t="e">
        <f t="shared" si="42"/>
        <v>#DIV/0!</v>
      </c>
      <c r="AU90" s="41" t="e">
        <f t="shared" si="43"/>
        <v>#DIV/0!</v>
      </c>
      <c r="AV90" s="41" t="e">
        <f t="shared" si="44"/>
        <v>#DIV/0!</v>
      </c>
      <c r="AX90" s="6"/>
    </row>
    <row r="91" spans="1:50" ht="18" customHeight="1">
      <c r="A91" s="35">
        <f>INPUT!A89</f>
        <v>26</v>
      </c>
      <c r="B91" s="35" t="str">
        <f>INPUT!B89</f>
        <v>2022-00042</v>
      </c>
      <c r="C91" s="35" t="str">
        <f>INPUT!C89</f>
        <v>Villacencio, Kharla</v>
      </c>
      <c r="D91" s="87"/>
      <c r="E91" s="88"/>
      <c r="F91" s="88"/>
      <c r="G91" s="88"/>
      <c r="H91" s="88"/>
      <c r="I91" s="89" t="str">
        <f t="shared" si="30"/>
        <v/>
      </c>
      <c r="J91" s="57" t="str">
        <f t="shared" si="31"/>
        <v/>
      </c>
      <c r="K91" s="90" t="str">
        <f t="shared" si="32"/>
        <v/>
      </c>
      <c r="L91" s="87"/>
      <c r="M91" s="88"/>
      <c r="N91" s="88"/>
      <c r="O91" s="89" t="str">
        <f t="shared" si="33"/>
        <v/>
      </c>
      <c r="P91" s="57" t="str">
        <f t="shared" si="34"/>
        <v/>
      </c>
      <c r="Q91" s="90" t="str">
        <f t="shared" si="35"/>
        <v/>
      </c>
      <c r="R91" s="87"/>
      <c r="S91" s="88"/>
      <c r="T91" s="88"/>
      <c r="U91" s="89" t="str">
        <f t="shared" si="36"/>
        <v/>
      </c>
      <c r="V91" s="57" t="str">
        <f t="shared" si="37"/>
        <v/>
      </c>
      <c r="W91" s="90" t="str">
        <f t="shared" si="38"/>
        <v/>
      </c>
      <c r="X91" s="91" t="str">
        <f t="shared" si="39"/>
        <v/>
      </c>
      <c r="Y91" s="92" t="str">
        <f t="shared" si="40"/>
        <v/>
      </c>
      <c r="Z91" s="93" t="str">
        <f t="shared" si="41"/>
        <v/>
      </c>
      <c r="AB91" s="2"/>
      <c r="AC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6"/>
      <c r="AT91" s="41" t="e">
        <f t="shared" si="42"/>
        <v>#DIV/0!</v>
      </c>
      <c r="AU91" s="41" t="e">
        <f t="shared" si="43"/>
        <v>#DIV/0!</v>
      </c>
      <c r="AV91" s="41" t="e">
        <f t="shared" si="44"/>
        <v>#DIV/0!</v>
      </c>
      <c r="AX91" s="6"/>
    </row>
    <row r="92" spans="1:50" ht="18" customHeight="1">
      <c r="A92" s="35">
        <f>INPUT!A90</f>
        <v>0</v>
      </c>
      <c r="B92" s="35">
        <f>INPUT!B90</f>
        <v>0</v>
      </c>
      <c r="C92" s="35">
        <f>INPUT!C90</f>
        <v>0</v>
      </c>
      <c r="D92" s="87"/>
      <c r="E92" s="88"/>
      <c r="F92" s="88"/>
      <c r="G92" s="88"/>
      <c r="H92" s="88"/>
      <c r="I92" s="89" t="str">
        <f t="shared" si="30"/>
        <v/>
      </c>
      <c r="J92" s="57" t="str">
        <f t="shared" si="31"/>
        <v/>
      </c>
      <c r="K92" s="90" t="str">
        <f t="shared" si="32"/>
        <v/>
      </c>
      <c r="L92" s="87"/>
      <c r="M92" s="88"/>
      <c r="N92" s="88"/>
      <c r="O92" s="89" t="str">
        <f t="shared" si="33"/>
        <v/>
      </c>
      <c r="P92" s="57" t="str">
        <f t="shared" si="34"/>
        <v/>
      </c>
      <c r="Q92" s="90" t="str">
        <f t="shared" si="35"/>
        <v/>
      </c>
      <c r="R92" s="87"/>
      <c r="S92" s="88"/>
      <c r="T92" s="88"/>
      <c r="U92" s="89" t="str">
        <f t="shared" si="36"/>
        <v/>
      </c>
      <c r="V92" s="57" t="str">
        <f t="shared" si="37"/>
        <v/>
      </c>
      <c r="W92" s="90" t="str">
        <f t="shared" si="38"/>
        <v/>
      </c>
      <c r="X92" s="91" t="str">
        <f t="shared" si="39"/>
        <v/>
      </c>
      <c r="Y92" s="92" t="str">
        <f t="shared" si="40"/>
        <v/>
      </c>
      <c r="Z92" s="93" t="str">
        <f t="shared" si="41"/>
        <v/>
      </c>
      <c r="AB92" s="2"/>
      <c r="AC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6"/>
      <c r="AT92" s="41" t="e">
        <f t="shared" si="42"/>
        <v>#DIV/0!</v>
      </c>
      <c r="AU92" s="41" t="e">
        <f t="shared" si="43"/>
        <v>#DIV/0!</v>
      </c>
      <c r="AV92" s="41" t="e">
        <f t="shared" si="44"/>
        <v>#DIV/0!</v>
      </c>
      <c r="AX92" s="6"/>
    </row>
    <row r="93" spans="1:50" ht="18" customHeight="1">
      <c r="A93" s="35">
        <f>INPUT!A91</f>
        <v>0</v>
      </c>
      <c r="B93" s="35">
        <f>INPUT!B91</f>
        <v>0</v>
      </c>
      <c r="C93" s="35">
        <f>INPUT!C91</f>
        <v>0</v>
      </c>
      <c r="D93" s="87"/>
      <c r="E93" s="88"/>
      <c r="F93" s="88"/>
      <c r="G93" s="88"/>
      <c r="H93" s="88"/>
      <c r="I93" s="89" t="str">
        <f t="shared" si="30"/>
        <v/>
      </c>
      <c r="J93" s="57" t="str">
        <f t="shared" si="31"/>
        <v/>
      </c>
      <c r="K93" s="90" t="str">
        <f t="shared" si="32"/>
        <v/>
      </c>
      <c r="L93" s="87"/>
      <c r="M93" s="88"/>
      <c r="N93" s="88"/>
      <c r="O93" s="89" t="str">
        <f t="shared" si="33"/>
        <v/>
      </c>
      <c r="P93" s="57" t="str">
        <f t="shared" si="34"/>
        <v/>
      </c>
      <c r="Q93" s="90" t="str">
        <f t="shared" si="35"/>
        <v/>
      </c>
      <c r="R93" s="87"/>
      <c r="S93" s="88"/>
      <c r="T93" s="88"/>
      <c r="U93" s="89" t="str">
        <f t="shared" si="36"/>
        <v/>
      </c>
      <c r="V93" s="57" t="str">
        <f t="shared" si="37"/>
        <v/>
      </c>
      <c r="W93" s="90" t="str">
        <f t="shared" si="38"/>
        <v/>
      </c>
      <c r="X93" s="91" t="str">
        <f t="shared" si="39"/>
        <v/>
      </c>
      <c r="Y93" s="92" t="str">
        <f t="shared" si="40"/>
        <v/>
      </c>
      <c r="Z93" s="93" t="str">
        <f t="shared" si="41"/>
        <v/>
      </c>
      <c r="AB93" s="2"/>
      <c r="AC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6"/>
      <c r="AT93" s="41" t="e">
        <f t="shared" si="42"/>
        <v>#DIV/0!</v>
      </c>
      <c r="AU93" s="41" t="e">
        <f t="shared" si="43"/>
        <v>#DIV/0!</v>
      </c>
      <c r="AV93" s="41" t="e">
        <f t="shared" si="44"/>
        <v>#DIV/0!</v>
      </c>
      <c r="AX93" s="6"/>
    </row>
    <row r="94" spans="1:50" ht="18" customHeight="1">
      <c r="A94" s="35">
        <f>INPUT!A92</f>
        <v>0</v>
      </c>
      <c r="B94" s="35">
        <f>INPUT!B92</f>
        <v>0</v>
      </c>
      <c r="C94" s="35">
        <f>INPUT!C92</f>
        <v>0</v>
      </c>
      <c r="D94" s="87"/>
      <c r="E94" s="88"/>
      <c r="F94" s="88"/>
      <c r="G94" s="88"/>
      <c r="H94" s="88"/>
      <c r="I94" s="89" t="str">
        <f t="shared" si="30"/>
        <v/>
      </c>
      <c r="J94" s="57" t="str">
        <f t="shared" si="31"/>
        <v/>
      </c>
      <c r="K94" s="90" t="str">
        <f t="shared" si="32"/>
        <v/>
      </c>
      <c r="L94" s="87"/>
      <c r="M94" s="88"/>
      <c r="N94" s="88"/>
      <c r="O94" s="89" t="str">
        <f t="shared" si="33"/>
        <v/>
      </c>
      <c r="P94" s="57" t="str">
        <f t="shared" si="34"/>
        <v/>
      </c>
      <c r="Q94" s="90" t="str">
        <f t="shared" si="35"/>
        <v/>
      </c>
      <c r="R94" s="87"/>
      <c r="S94" s="88"/>
      <c r="T94" s="88"/>
      <c r="U94" s="89" t="str">
        <f t="shared" si="36"/>
        <v/>
      </c>
      <c r="V94" s="57" t="str">
        <f t="shared" si="37"/>
        <v/>
      </c>
      <c r="W94" s="90" t="str">
        <f t="shared" si="38"/>
        <v/>
      </c>
      <c r="X94" s="91" t="str">
        <f t="shared" si="39"/>
        <v/>
      </c>
      <c r="Y94" s="92" t="str">
        <f t="shared" si="40"/>
        <v/>
      </c>
      <c r="Z94" s="93" t="str">
        <f t="shared" si="41"/>
        <v/>
      </c>
      <c r="AB94" s="2"/>
      <c r="AC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6"/>
      <c r="AT94" s="41" t="e">
        <f t="shared" si="42"/>
        <v>#DIV/0!</v>
      </c>
      <c r="AU94" s="41" t="e">
        <f t="shared" si="43"/>
        <v>#DIV/0!</v>
      </c>
      <c r="AV94" s="41" t="e">
        <f t="shared" si="44"/>
        <v>#DIV/0!</v>
      </c>
      <c r="AX94" s="6"/>
    </row>
    <row r="95" spans="1:50" ht="18" customHeight="1">
      <c r="A95" s="35">
        <f>INPUT!A93</f>
        <v>0</v>
      </c>
      <c r="B95" s="35">
        <f>INPUT!B93</f>
        <v>0</v>
      </c>
      <c r="C95" s="35">
        <f>INPUT!C93</f>
        <v>0</v>
      </c>
      <c r="D95" s="87"/>
      <c r="E95" s="88"/>
      <c r="F95" s="88"/>
      <c r="G95" s="88"/>
      <c r="H95" s="88"/>
      <c r="I95" s="89" t="str">
        <f t="shared" si="30"/>
        <v/>
      </c>
      <c r="J95" s="57" t="str">
        <f t="shared" si="31"/>
        <v/>
      </c>
      <c r="K95" s="90" t="str">
        <f t="shared" si="32"/>
        <v/>
      </c>
      <c r="L95" s="87"/>
      <c r="M95" s="88"/>
      <c r="N95" s="88"/>
      <c r="O95" s="89" t="str">
        <f t="shared" si="33"/>
        <v/>
      </c>
      <c r="P95" s="57" t="str">
        <f t="shared" si="34"/>
        <v/>
      </c>
      <c r="Q95" s="90" t="str">
        <f t="shared" si="35"/>
        <v/>
      </c>
      <c r="R95" s="87"/>
      <c r="S95" s="88"/>
      <c r="T95" s="88"/>
      <c r="U95" s="89" t="str">
        <f t="shared" si="36"/>
        <v/>
      </c>
      <c r="V95" s="57" t="str">
        <f t="shared" si="37"/>
        <v/>
      </c>
      <c r="W95" s="90" t="str">
        <f t="shared" si="38"/>
        <v/>
      </c>
      <c r="X95" s="91" t="str">
        <f t="shared" si="39"/>
        <v/>
      </c>
      <c r="Y95" s="92" t="str">
        <f t="shared" si="40"/>
        <v/>
      </c>
      <c r="Z95" s="93" t="str">
        <f t="shared" si="41"/>
        <v/>
      </c>
      <c r="AB95" s="2"/>
      <c r="AC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6"/>
      <c r="AT95" s="41" t="e">
        <f t="shared" si="42"/>
        <v>#DIV/0!</v>
      </c>
      <c r="AU95" s="41" t="e">
        <f t="shared" si="43"/>
        <v>#DIV/0!</v>
      </c>
      <c r="AV95" s="41" t="e">
        <f t="shared" si="44"/>
        <v>#DIV/0!</v>
      </c>
      <c r="AX95" s="6"/>
    </row>
    <row r="96" spans="1:50" ht="18" customHeight="1">
      <c r="A96" s="35">
        <f>INPUT!A94</f>
        <v>0</v>
      </c>
      <c r="B96" s="35">
        <f>INPUT!B94</f>
        <v>0</v>
      </c>
      <c r="C96" s="35">
        <f>INPUT!C94</f>
        <v>0</v>
      </c>
      <c r="D96" s="87"/>
      <c r="E96" s="88"/>
      <c r="F96" s="88"/>
      <c r="G96" s="88"/>
      <c r="H96" s="88"/>
      <c r="I96" s="89" t="str">
        <f t="shared" si="30"/>
        <v/>
      </c>
      <c r="J96" s="57" t="str">
        <f t="shared" si="31"/>
        <v/>
      </c>
      <c r="K96" s="90" t="str">
        <f t="shared" si="32"/>
        <v/>
      </c>
      <c r="L96" s="87"/>
      <c r="M96" s="88"/>
      <c r="N96" s="88"/>
      <c r="O96" s="89" t="str">
        <f t="shared" si="33"/>
        <v/>
      </c>
      <c r="P96" s="57" t="str">
        <f t="shared" si="34"/>
        <v/>
      </c>
      <c r="Q96" s="90" t="str">
        <f t="shared" si="35"/>
        <v/>
      </c>
      <c r="R96" s="87"/>
      <c r="S96" s="88"/>
      <c r="T96" s="88"/>
      <c r="U96" s="89" t="str">
        <f t="shared" si="36"/>
        <v/>
      </c>
      <c r="V96" s="57" t="str">
        <f t="shared" si="37"/>
        <v/>
      </c>
      <c r="W96" s="90" t="str">
        <f t="shared" si="38"/>
        <v/>
      </c>
      <c r="X96" s="91" t="str">
        <f t="shared" si="39"/>
        <v/>
      </c>
      <c r="Y96" s="92" t="str">
        <f t="shared" si="40"/>
        <v/>
      </c>
      <c r="Z96" s="93" t="str">
        <f t="shared" si="41"/>
        <v/>
      </c>
      <c r="AB96" s="2"/>
      <c r="AC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6"/>
      <c r="AT96" s="41" t="e">
        <f t="shared" si="42"/>
        <v>#DIV/0!</v>
      </c>
      <c r="AU96" s="41" t="e">
        <f t="shared" si="43"/>
        <v>#DIV/0!</v>
      </c>
      <c r="AV96" s="41" t="e">
        <f t="shared" si="44"/>
        <v>#DIV/0!</v>
      </c>
      <c r="AX96" s="6"/>
    </row>
    <row r="97" spans="1:50" ht="18" customHeight="1">
      <c r="A97" s="35">
        <f>INPUT!A95</f>
        <v>0</v>
      </c>
      <c r="B97" s="35">
        <f>INPUT!B95</f>
        <v>0</v>
      </c>
      <c r="C97" s="35">
        <f>INPUT!C95</f>
        <v>0</v>
      </c>
      <c r="D97" s="87"/>
      <c r="E97" s="88"/>
      <c r="F97" s="88"/>
      <c r="G97" s="88"/>
      <c r="H97" s="88"/>
      <c r="I97" s="89" t="str">
        <f t="shared" si="30"/>
        <v/>
      </c>
      <c r="J97" s="57" t="str">
        <f t="shared" si="31"/>
        <v/>
      </c>
      <c r="K97" s="90" t="str">
        <f t="shared" si="32"/>
        <v/>
      </c>
      <c r="L97" s="87"/>
      <c r="M97" s="88"/>
      <c r="N97" s="88"/>
      <c r="O97" s="89" t="str">
        <f t="shared" si="33"/>
        <v/>
      </c>
      <c r="P97" s="57" t="str">
        <f t="shared" si="34"/>
        <v/>
      </c>
      <c r="Q97" s="90" t="str">
        <f t="shared" si="35"/>
        <v/>
      </c>
      <c r="R97" s="87"/>
      <c r="S97" s="88"/>
      <c r="T97" s="88"/>
      <c r="U97" s="89" t="str">
        <f t="shared" si="36"/>
        <v/>
      </c>
      <c r="V97" s="57" t="str">
        <f t="shared" si="37"/>
        <v/>
      </c>
      <c r="W97" s="90" t="str">
        <f t="shared" si="38"/>
        <v/>
      </c>
      <c r="X97" s="91" t="str">
        <f t="shared" si="39"/>
        <v/>
      </c>
      <c r="Y97" s="92" t="str">
        <f t="shared" si="40"/>
        <v/>
      </c>
      <c r="Z97" s="93" t="str">
        <f t="shared" si="41"/>
        <v/>
      </c>
      <c r="AB97" s="2"/>
      <c r="AC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6"/>
      <c r="AT97" s="41" t="e">
        <f t="shared" si="42"/>
        <v>#DIV/0!</v>
      </c>
      <c r="AU97" s="41" t="e">
        <f t="shared" si="43"/>
        <v>#DIV/0!</v>
      </c>
      <c r="AV97" s="41" t="e">
        <f t="shared" si="44"/>
        <v>#DIV/0!</v>
      </c>
      <c r="AX97" s="6"/>
    </row>
    <row r="98" spans="1:50" ht="18" customHeight="1">
      <c r="A98" s="35">
        <f>INPUT!A96</f>
        <v>0</v>
      </c>
      <c r="B98" s="35">
        <f>INPUT!B96</f>
        <v>0</v>
      </c>
      <c r="C98" s="35">
        <f>INPUT!C96</f>
        <v>0</v>
      </c>
      <c r="D98" s="87"/>
      <c r="E98" s="88"/>
      <c r="F98" s="88"/>
      <c r="G98" s="88"/>
      <c r="H98" s="88"/>
      <c r="I98" s="89" t="str">
        <f t="shared" ref="I98:I116" si="45">IF(COUNT($D98:$H98)=0,"",SUM($D98:$H98))</f>
        <v/>
      </c>
      <c r="J98" s="57" t="str">
        <f t="shared" ref="J98:J116" si="46">IF(ISERROR(IF($I98="","",ROUND(($I98/$I$10)*$J$10,2))),"",IF($I98="","",ROUND(($I98/$I$10)*$J$10,2)))</f>
        <v/>
      </c>
      <c r="K98" s="90" t="str">
        <f t="shared" ref="K98:K116" si="47">IF($J98="","",ROUND($J98*$K$10,2))</f>
        <v/>
      </c>
      <c r="L98" s="87"/>
      <c r="M98" s="88"/>
      <c r="N98" s="88"/>
      <c r="O98" s="89" t="str">
        <f t="shared" ref="O98:O116" si="48">IF(COUNT($L98:$N98)=0,"",SUM($L98:$N98))</f>
        <v/>
      </c>
      <c r="P98" s="57" t="str">
        <f t="shared" ref="P98:P116" si="49">IF(ISERROR(IF($O98="","",ROUND(($O98/$O$10)*$P$10,2))),"",IF($O98="","",ROUND(($O98/$O$10)*$P$10,2)))</f>
        <v/>
      </c>
      <c r="Q98" s="90" t="str">
        <f t="shared" ref="Q98:Q116" si="50">IF($P98="","",ROUND($P98*$Q$10,2))</f>
        <v/>
      </c>
      <c r="R98" s="87"/>
      <c r="S98" s="88"/>
      <c r="T98" s="88"/>
      <c r="U98" s="89" t="str">
        <f t="shared" ref="U98:U116" si="51">IF(COUNT($R98:$T98)=0,"",SUM($R98:$T98))</f>
        <v/>
      </c>
      <c r="V98" s="57" t="str">
        <f t="shared" ref="V98:V116" si="52">IF(ISERROR(IF($U98="","",ROUND(($U98/$U$10)*$V$10,2))),"",IF($U98="","",ROUND(($U98/$U$10)*$V$10,2)))</f>
        <v/>
      </c>
      <c r="W98" s="90" t="str">
        <f t="shared" ref="W98:W116" si="53">IF($V98="","",ROUND($V98*$W$10,2))</f>
        <v/>
      </c>
      <c r="X98" s="91" t="str">
        <f t="shared" ref="X98:X116" si="54">IF(ISERROR(IF($T98="","",ROUND(SUM($K98,$Q98,$W98),2))),"",IF($T98="","",ROUND(SUM($K98,$Q98,$W98),2)))</f>
        <v/>
      </c>
      <c r="Y98" s="92" t="str">
        <f t="shared" ref="Y98:Y129" si="55">IF(ISERROR(IF($T98="","",VLOOKUP(X98,NewTransmu,4,TRUE))),"",IF($T98="","",VLOOKUP(X98,NewTransmu,4,TRUE)))</f>
        <v/>
      </c>
      <c r="Z98" s="93" t="str">
        <f t="shared" ref="Z98:Z129" si="56">IF(ISERROR(IF(Y98="","",VLOOKUP(Y98,DESCRIPTORS,4,TRUE))),"",IF(Y98="","",VLOOKUP(Y98,DESCRIPTORS,4,TRUE)))</f>
        <v/>
      </c>
      <c r="AB98" s="2"/>
      <c r="AC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6"/>
      <c r="AT98" s="41" t="e">
        <f t="shared" ref="AT98:AT116" si="57">(R98/$R$10)*100</f>
        <v>#DIV/0!</v>
      </c>
      <c r="AU98" s="41" t="e">
        <f t="shared" ref="AU98:AU116" si="58">(S98/$S$10)*100</f>
        <v>#DIV/0!</v>
      </c>
      <c r="AV98" s="41" t="e">
        <f t="shared" ref="AV98:AV116" si="59">(T98/$T$10)*100</f>
        <v>#DIV/0!</v>
      </c>
      <c r="AX98" s="6"/>
    </row>
    <row r="99" spans="1:50" ht="18" customHeight="1">
      <c r="A99" s="35">
        <f>INPUT!A97</f>
        <v>0</v>
      </c>
      <c r="B99" s="35">
        <f>INPUT!B97</f>
        <v>0</v>
      </c>
      <c r="C99" s="35">
        <f>INPUT!C97</f>
        <v>0</v>
      </c>
      <c r="D99" s="87"/>
      <c r="E99" s="88"/>
      <c r="F99" s="88"/>
      <c r="G99" s="88"/>
      <c r="H99" s="88"/>
      <c r="I99" s="89" t="str">
        <f t="shared" si="45"/>
        <v/>
      </c>
      <c r="J99" s="57" t="str">
        <f t="shared" si="46"/>
        <v/>
      </c>
      <c r="K99" s="90" t="str">
        <f t="shared" si="47"/>
        <v/>
      </c>
      <c r="L99" s="87"/>
      <c r="M99" s="88"/>
      <c r="N99" s="88"/>
      <c r="O99" s="89" t="str">
        <f t="shared" si="48"/>
        <v/>
      </c>
      <c r="P99" s="57" t="str">
        <f t="shared" si="49"/>
        <v/>
      </c>
      <c r="Q99" s="90" t="str">
        <f t="shared" si="50"/>
        <v/>
      </c>
      <c r="R99" s="87"/>
      <c r="S99" s="88"/>
      <c r="T99" s="88"/>
      <c r="U99" s="89" t="str">
        <f t="shared" si="51"/>
        <v/>
      </c>
      <c r="V99" s="57" t="str">
        <f t="shared" si="52"/>
        <v/>
      </c>
      <c r="W99" s="90" t="str">
        <f t="shared" si="53"/>
        <v/>
      </c>
      <c r="X99" s="91" t="str">
        <f t="shared" si="54"/>
        <v/>
      </c>
      <c r="Y99" s="92" t="str">
        <f t="shared" si="55"/>
        <v/>
      </c>
      <c r="Z99" s="93" t="str">
        <f t="shared" si="56"/>
        <v/>
      </c>
      <c r="AB99" s="2"/>
      <c r="AC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6"/>
      <c r="AT99" s="41" t="e">
        <f t="shared" si="57"/>
        <v>#DIV/0!</v>
      </c>
      <c r="AU99" s="41" t="e">
        <f t="shared" si="58"/>
        <v>#DIV/0!</v>
      </c>
      <c r="AV99" s="41" t="e">
        <f t="shared" si="59"/>
        <v>#DIV/0!</v>
      </c>
      <c r="AX99" s="6"/>
    </row>
    <row r="100" spans="1:50" ht="18" customHeight="1">
      <c r="A100" s="35">
        <f>INPUT!A98</f>
        <v>0</v>
      </c>
      <c r="B100" s="35">
        <f>INPUT!B98</f>
        <v>0</v>
      </c>
      <c r="C100" s="35">
        <f>INPUT!C98</f>
        <v>0</v>
      </c>
      <c r="D100" s="87"/>
      <c r="E100" s="88"/>
      <c r="F100" s="88"/>
      <c r="G100" s="88"/>
      <c r="H100" s="88"/>
      <c r="I100" s="89" t="str">
        <f t="shared" si="45"/>
        <v/>
      </c>
      <c r="J100" s="57" t="str">
        <f t="shared" si="46"/>
        <v/>
      </c>
      <c r="K100" s="90" t="str">
        <f t="shared" si="47"/>
        <v/>
      </c>
      <c r="L100" s="87"/>
      <c r="M100" s="88"/>
      <c r="N100" s="88"/>
      <c r="O100" s="89" t="str">
        <f t="shared" si="48"/>
        <v/>
      </c>
      <c r="P100" s="57" t="str">
        <f t="shared" si="49"/>
        <v/>
      </c>
      <c r="Q100" s="90" t="str">
        <f t="shared" si="50"/>
        <v/>
      </c>
      <c r="R100" s="87"/>
      <c r="S100" s="88"/>
      <c r="T100" s="88"/>
      <c r="U100" s="89" t="str">
        <f t="shared" si="51"/>
        <v/>
      </c>
      <c r="V100" s="57" t="str">
        <f t="shared" si="52"/>
        <v/>
      </c>
      <c r="W100" s="90" t="str">
        <f t="shared" si="53"/>
        <v/>
      </c>
      <c r="X100" s="91" t="str">
        <f t="shared" si="54"/>
        <v/>
      </c>
      <c r="Y100" s="92" t="str">
        <f t="shared" si="55"/>
        <v/>
      </c>
      <c r="Z100" s="93" t="str">
        <f t="shared" si="56"/>
        <v/>
      </c>
      <c r="AB100" s="2"/>
      <c r="AC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6"/>
      <c r="AT100" s="41" t="e">
        <f t="shared" si="57"/>
        <v>#DIV/0!</v>
      </c>
      <c r="AU100" s="41" t="e">
        <f t="shared" si="58"/>
        <v>#DIV/0!</v>
      </c>
      <c r="AV100" s="41" t="e">
        <f t="shared" si="59"/>
        <v>#DIV/0!</v>
      </c>
      <c r="AX100" s="6"/>
    </row>
    <row r="101" spans="1:50" ht="18" customHeight="1">
      <c r="A101" s="35">
        <f>INPUT!A99</f>
        <v>0</v>
      </c>
      <c r="B101" s="35">
        <f>INPUT!B99</f>
        <v>0</v>
      </c>
      <c r="C101" s="35">
        <f>INPUT!C99</f>
        <v>0</v>
      </c>
      <c r="D101" s="87"/>
      <c r="E101" s="88"/>
      <c r="F101" s="88"/>
      <c r="G101" s="88"/>
      <c r="H101" s="88"/>
      <c r="I101" s="89" t="str">
        <f t="shared" si="45"/>
        <v/>
      </c>
      <c r="J101" s="57" t="str">
        <f t="shared" si="46"/>
        <v/>
      </c>
      <c r="K101" s="90" t="str">
        <f t="shared" si="47"/>
        <v/>
      </c>
      <c r="L101" s="87"/>
      <c r="M101" s="88"/>
      <c r="N101" s="88"/>
      <c r="O101" s="89" t="str">
        <f t="shared" si="48"/>
        <v/>
      </c>
      <c r="P101" s="57" t="str">
        <f t="shared" si="49"/>
        <v/>
      </c>
      <c r="Q101" s="90" t="str">
        <f t="shared" si="50"/>
        <v/>
      </c>
      <c r="R101" s="87"/>
      <c r="S101" s="88"/>
      <c r="T101" s="88"/>
      <c r="U101" s="89" t="str">
        <f t="shared" si="51"/>
        <v/>
      </c>
      <c r="V101" s="57" t="str">
        <f t="shared" si="52"/>
        <v/>
      </c>
      <c r="W101" s="90" t="str">
        <f t="shared" si="53"/>
        <v/>
      </c>
      <c r="X101" s="91" t="str">
        <f t="shared" si="54"/>
        <v/>
      </c>
      <c r="Y101" s="92" t="str">
        <f t="shared" si="55"/>
        <v/>
      </c>
      <c r="Z101" s="93" t="str">
        <f t="shared" si="56"/>
        <v/>
      </c>
      <c r="AB101" s="2"/>
      <c r="AC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6"/>
      <c r="AT101" s="41" t="e">
        <f t="shared" si="57"/>
        <v>#DIV/0!</v>
      </c>
      <c r="AU101" s="41" t="e">
        <f t="shared" si="58"/>
        <v>#DIV/0!</v>
      </c>
      <c r="AV101" s="41" t="e">
        <f t="shared" si="59"/>
        <v>#DIV/0!</v>
      </c>
      <c r="AX101" s="6"/>
    </row>
    <row r="102" spans="1:50" ht="18" customHeight="1">
      <c r="A102" s="35">
        <f>INPUT!A100</f>
        <v>0</v>
      </c>
      <c r="B102" s="35">
        <f>INPUT!B100</f>
        <v>0</v>
      </c>
      <c r="C102" s="35">
        <f>INPUT!C100</f>
        <v>0</v>
      </c>
      <c r="D102" s="87"/>
      <c r="E102" s="88"/>
      <c r="F102" s="88"/>
      <c r="G102" s="88"/>
      <c r="H102" s="88"/>
      <c r="I102" s="89" t="str">
        <f t="shared" si="45"/>
        <v/>
      </c>
      <c r="J102" s="57" t="str">
        <f t="shared" si="46"/>
        <v/>
      </c>
      <c r="K102" s="90" t="str">
        <f t="shared" si="47"/>
        <v/>
      </c>
      <c r="L102" s="87"/>
      <c r="M102" s="88"/>
      <c r="N102" s="88"/>
      <c r="O102" s="89" t="str">
        <f t="shared" si="48"/>
        <v/>
      </c>
      <c r="P102" s="57" t="str">
        <f t="shared" si="49"/>
        <v/>
      </c>
      <c r="Q102" s="90" t="str">
        <f t="shared" si="50"/>
        <v/>
      </c>
      <c r="R102" s="87"/>
      <c r="S102" s="88"/>
      <c r="T102" s="88"/>
      <c r="U102" s="89" t="str">
        <f t="shared" si="51"/>
        <v/>
      </c>
      <c r="V102" s="57" t="str">
        <f t="shared" si="52"/>
        <v/>
      </c>
      <c r="W102" s="90" t="str">
        <f t="shared" si="53"/>
        <v/>
      </c>
      <c r="X102" s="91" t="str">
        <f t="shared" si="54"/>
        <v/>
      </c>
      <c r="Y102" s="92" t="str">
        <f t="shared" si="55"/>
        <v/>
      </c>
      <c r="Z102" s="93" t="str">
        <f t="shared" si="56"/>
        <v/>
      </c>
      <c r="AB102" s="2"/>
      <c r="AC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6"/>
      <c r="AT102" s="41" t="e">
        <f t="shared" si="57"/>
        <v>#DIV/0!</v>
      </c>
      <c r="AU102" s="41" t="e">
        <f t="shared" si="58"/>
        <v>#DIV/0!</v>
      </c>
      <c r="AV102" s="41" t="e">
        <f t="shared" si="59"/>
        <v>#DIV/0!</v>
      </c>
      <c r="AX102" s="6"/>
    </row>
    <row r="103" spans="1:50" ht="18" customHeight="1">
      <c r="A103" s="35">
        <f>INPUT!A101</f>
        <v>0</v>
      </c>
      <c r="B103" s="35">
        <f>INPUT!B101</f>
        <v>0</v>
      </c>
      <c r="C103" s="35">
        <f>INPUT!C101</f>
        <v>0</v>
      </c>
      <c r="D103" s="87"/>
      <c r="E103" s="88"/>
      <c r="F103" s="88"/>
      <c r="G103" s="88"/>
      <c r="H103" s="88"/>
      <c r="I103" s="89" t="str">
        <f t="shared" si="45"/>
        <v/>
      </c>
      <c r="J103" s="57" t="str">
        <f t="shared" si="46"/>
        <v/>
      </c>
      <c r="K103" s="90" t="str">
        <f t="shared" si="47"/>
        <v/>
      </c>
      <c r="L103" s="87"/>
      <c r="M103" s="88"/>
      <c r="N103" s="88"/>
      <c r="O103" s="89" t="str">
        <f t="shared" si="48"/>
        <v/>
      </c>
      <c r="P103" s="57" t="str">
        <f t="shared" si="49"/>
        <v/>
      </c>
      <c r="Q103" s="90" t="str">
        <f t="shared" si="50"/>
        <v/>
      </c>
      <c r="R103" s="87"/>
      <c r="S103" s="88"/>
      <c r="T103" s="88"/>
      <c r="U103" s="89" t="str">
        <f t="shared" si="51"/>
        <v/>
      </c>
      <c r="V103" s="57" t="str">
        <f t="shared" si="52"/>
        <v/>
      </c>
      <c r="W103" s="90" t="str">
        <f t="shared" si="53"/>
        <v/>
      </c>
      <c r="X103" s="91" t="str">
        <f t="shared" si="54"/>
        <v/>
      </c>
      <c r="Y103" s="92" t="str">
        <f t="shared" si="55"/>
        <v/>
      </c>
      <c r="Z103" s="93" t="str">
        <f t="shared" si="56"/>
        <v/>
      </c>
      <c r="AB103" s="2"/>
      <c r="AC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6"/>
      <c r="AT103" s="41" t="e">
        <f t="shared" si="57"/>
        <v>#DIV/0!</v>
      </c>
      <c r="AU103" s="41" t="e">
        <f t="shared" si="58"/>
        <v>#DIV/0!</v>
      </c>
      <c r="AV103" s="41" t="e">
        <f t="shared" si="59"/>
        <v>#DIV/0!</v>
      </c>
      <c r="AX103" s="6"/>
    </row>
    <row r="104" spans="1:50" ht="18" customHeight="1">
      <c r="A104" s="35">
        <f>INPUT!A102</f>
        <v>0</v>
      </c>
      <c r="B104" s="35">
        <f>INPUT!B102</f>
        <v>0</v>
      </c>
      <c r="C104" s="35">
        <f>INPUT!C102</f>
        <v>0</v>
      </c>
      <c r="D104" s="87"/>
      <c r="E104" s="88"/>
      <c r="F104" s="88"/>
      <c r="G104" s="88"/>
      <c r="H104" s="88"/>
      <c r="I104" s="89" t="str">
        <f t="shared" si="45"/>
        <v/>
      </c>
      <c r="J104" s="57" t="str">
        <f t="shared" si="46"/>
        <v/>
      </c>
      <c r="K104" s="90" t="str">
        <f t="shared" si="47"/>
        <v/>
      </c>
      <c r="L104" s="87"/>
      <c r="M104" s="88"/>
      <c r="N104" s="88"/>
      <c r="O104" s="89" t="str">
        <f t="shared" si="48"/>
        <v/>
      </c>
      <c r="P104" s="57" t="str">
        <f t="shared" si="49"/>
        <v/>
      </c>
      <c r="Q104" s="90" t="str">
        <f t="shared" si="50"/>
        <v/>
      </c>
      <c r="R104" s="87"/>
      <c r="S104" s="88"/>
      <c r="T104" s="88"/>
      <c r="U104" s="89" t="str">
        <f t="shared" si="51"/>
        <v/>
      </c>
      <c r="V104" s="57" t="str">
        <f t="shared" si="52"/>
        <v/>
      </c>
      <c r="W104" s="90" t="str">
        <f t="shared" si="53"/>
        <v/>
      </c>
      <c r="X104" s="91" t="str">
        <f t="shared" si="54"/>
        <v/>
      </c>
      <c r="Y104" s="92" t="str">
        <f t="shared" si="55"/>
        <v/>
      </c>
      <c r="Z104" s="93" t="str">
        <f t="shared" si="56"/>
        <v/>
      </c>
      <c r="AB104" s="2"/>
      <c r="AC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6"/>
      <c r="AT104" s="41" t="e">
        <f t="shared" si="57"/>
        <v>#DIV/0!</v>
      </c>
      <c r="AU104" s="41" t="e">
        <f t="shared" si="58"/>
        <v>#DIV/0!</v>
      </c>
      <c r="AV104" s="41" t="e">
        <f t="shared" si="59"/>
        <v>#DIV/0!</v>
      </c>
      <c r="AX104" s="6"/>
    </row>
    <row r="105" spans="1:50" ht="18" customHeight="1">
      <c r="A105" s="35">
        <f>INPUT!A103</f>
        <v>0</v>
      </c>
      <c r="B105" s="35">
        <f>INPUT!B103</f>
        <v>0</v>
      </c>
      <c r="C105" s="35">
        <f>INPUT!C103</f>
        <v>0</v>
      </c>
      <c r="D105" s="87"/>
      <c r="E105" s="88"/>
      <c r="F105" s="88"/>
      <c r="G105" s="88"/>
      <c r="H105" s="88"/>
      <c r="I105" s="89" t="str">
        <f t="shared" si="45"/>
        <v/>
      </c>
      <c r="J105" s="57" t="str">
        <f t="shared" si="46"/>
        <v/>
      </c>
      <c r="K105" s="90" t="str">
        <f t="shared" si="47"/>
        <v/>
      </c>
      <c r="L105" s="87"/>
      <c r="M105" s="88"/>
      <c r="N105" s="88"/>
      <c r="O105" s="89" t="str">
        <f t="shared" si="48"/>
        <v/>
      </c>
      <c r="P105" s="57" t="str">
        <f t="shared" si="49"/>
        <v/>
      </c>
      <c r="Q105" s="90" t="str">
        <f t="shared" si="50"/>
        <v/>
      </c>
      <c r="R105" s="87"/>
      <c r="S105" s="88"/>
      <c r="T105" s="88"/>
      <c r="U105" s="89" t="str">
        <f t="shared" si="51"/>
        <v/>
      </c>
      <c r="V105" s="57" t="str">
        <f t="shared" si="52"/>
        <v/>
      </c>
      <c r="W105" s="90" t="str">
        <f t="shared" si="53"/>
        <v/>
      </c>
      <c r="X105" s="91" t="str">
        <f t="shared" si="54"/>
        <v/>
      </c>
      <c r="Y105" s="92" t="str">
        <f t="shared" si="55"/>
        <v/>
      </c>
      <c r="Z105" s="93" t="str">
        <f t="shared" si="56"/>
        <v/>
      </c>
      <c r="AB105" s="2"/>
      <c r="AC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6"/>
      <c r="AT105" s="41" t="e">
        <f t="shared" si="57"/>
        <v>#DIV/0!</v>
      </c>
      <c r="AU105" s="41" t="e">
        <f t="shared" si="58"/>
        <v>#DIV/0!</v>
      </c>
      <c r="AV105" s="41" t="e">
        <f t="shared" si="59"/>
        <v>#DIV/0!</v>
      </c>
      <c r="AX105" s="6"/>
    </row>
    <row r="106" spans="1:50" ht="18" customHeight="1">
      <c r="A106" s="35">
        <f>INPUT!A104</f>
        <v>0</v>
      </c>
      <c r="B106" s="35">
        <f>INPUT!B104</f>
        <v>0</v>
      </c>
      <c r="C106" s="35">
        <f>INPUT!C104</f>
        <v>0</v>
      </c>
      <c r="D106" s="87"/>
      <c r="E106" s="88"/>
      <c r="F106" s="88"/>
      <c r="G106" s="88"/>
      <c r="H106" s="88"/>
      <c r="I106" s="89" t="str">
        <f t="shared" si="45"/>
        <v/>
      </c>
      <c r="J106" s="57" t="str">
        <f t="shared" si="46"/>
        <v/>
      </c>
      <c r="K106" s="90" t="str">
        <f t="shared" si="47"/>
        <v/>
      </c>
      <c r="L106" s="87"/>
      <c r="M106" s="88"/>
      <c r="N106" s="88"/>
      <c r="O106" s="89" t="str">
        <f t="shared" si="48"/>
        <v/>
      </c>
      <c r="P106" s="57" t="str">
        <f t="shared" si="49"/>
        <v/>
      </c>
      <c r="Q106" s="90" t="str">
        <f t="shared" si="50"/>
        <v/>
      </c>
      <c r="R106" s="87"/>
      <c r="S106" s="88"/>
      <c r="T106" s="88"/>
      <c r="U106" s="89" t="str">
        <f t="shared" si="51"/>
        <v/>
      </c>
      <c r="V106" s="57" t="str">
        <f t="shared" si="52"/>
        <v/>
      </c>
      <c r="W106" s="90" t="str">
        <f t="shared" si="53"/>
        <v/>
      </c>
      <c r="X106" s="91" t="str">
        <f t="shared" si="54"/>
        <v/>
      </c>
      <c r="Y106" s="92" t="str">
        <f t="shared" si="55"/>
        <v/>
      </c>
      <c r="Z106" s="93" t="str">
        <f t="shared" si="56"/>
        <v/>
      </c>
      <c r="AB106" s="2"/>
      <c r="AC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6"/>
      <c r="AT106" s="41" t="e">
        <f t="shared" si="57"/>
        <v>#DIV/0!</v>
      </c>
      <c r="AU106" s="41" t="e">
        <f t="shared" si="58"/>
        <v>#DIV/0!</v>
      </c>
      <c r="AV106" s="41" t="e">
        <f t="shared" si="59"/>
        <v>#DIV/0!</v>
      </c>
      <c r="AX106" s="6"/>
    </row>
    <row r="107" spans="1:50" ht="18" customHeight="1">
      <c r="A107" s="35">
        <f>INPUT!A105</f>
        <v>0</v>
      </c>
      <c r="B107" s="35">
        <f>INPUT!B105</f>
        <v>0</v>
      </c>
      <c r="C107" s="35">
        <f>INPUT!C105</f>
        <v>0</v>
      </c>
      <c r="D107" s="87"/>
      <c r="E107" s="88"/>
      <c r="F107" s="88"/>
      <c r="G107" s="88"/>
      <c r="H107" s="88"/>
      <c r="I107" s="89" t="str">
        <f t="shared" si="45"/>
        <v/>
      </c>
      <c r="J107" s="57" t="str">
        <f t="shared" si="46"/>
        <v/>
      </c>
      <c r="K107" s="90" t="str">
        <f t="shared" si="47"/>
        <v/>
      </c>
      <c r="L107" s="87"/>
      <c r="M107" s="88"/>
      <c r="N107" s="88"/>
      <c r="O107" s="89" t="str">
        <f t="shared" si="48"/>
        <v/>
      </c>
      <c r="P107" s="57" t="str">
        <f t="shared" si="49"/>
        <v/>
      </c>
      <c r="Q107" s="90" t="str">
        <f t="shared" si="50"/>
        <v/>
      </c>
      <c r="R107" s="87"/>
      <c r="S107" s="88"/>
      <c r="T107" s="88"/>
      <c r="U107" s="89" t="str">
        <f t="shared" si="51"/>
        <v/>
      </c>
      <c r="V107" s="57" t="str">
        <f t="shared" si="52"/>
        <v/>
      </c>
      <c r="W107" s="90" t="str">
        <f t="shared" si="53"/>
        <v/>
      </c>
      <c r="X107" s="91" t="str">
        <f t="shared" si="54"/>
        <v/>
      </c>
      <c r="Y107" s="92" t="str">
        <f t="shared" si="55"/>
        <v/>
      </c>
      <c r="Z107" s="93" t="str">
        <f t="shared" si="56"/>
        <v/>
      </c>
      <c r="AB107" s="2"/>
      <c r="AC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6"/>
      <c r="AT107" s="41" t="e">
        <f t="shared" si="57"/>
        <v>#DIV/0!</v>
      </c>
      <c r="AU107" s="41" t="e">
        <f t="shared" si="58"/>
        <v>#DIV/0!</v>
      </c>
      <c r="AV107" s="41" t="e">
        <f t="shared" si="59"/>
        <v>#DIV/0!</v>
      </c>
      <c r="AX107" s="6"/>
    </row>
    <row r="108" spans="1:50" ht="18" customHeight="1">
      <c r="A108" s="35">
        <f>INPUT!A106</f>
        <v>0</v>
      </c>
      <c r="B108" s="35">
        <f>INPUT!B106</f>
        <v>0</v>
      </c>
      <c r="C108" s="35">
        <f>INPUT!C106</f>
        <v>0</v>
      </c>
      <c r="D108" s="87"/>
      <c r="E108" s="88"/>
      <c r="F108" s="88"/>
      <c r="G108" s="88"/>
      <c r="H108" s="88"/>
      <c r="I108" s="89" t="str">
        <f t="shared" si="45"/>
        <v/>
      </c>
      <c r="J108" s="57" t="str">
        <f t="shared" si="46"/>
        <v/>
      </c>
      <c r="K108" s="90" t="str">
        <f t="shared" si="47"/>
        <v/>
      </c>
      <c r="L108" s="87"/>
      <c r="M108" s="88"/>
      <c r="N108" s="88"/>
      <c r="O108" s="89" t="str">
        <f t="shared" si="48"/>
        <v/>
      </c>
      <c r="P108" s="57" t="str">
        <f t="shared" si="49"/>
        <v/>
      </c>
      <c r="Q108" s="90" t="str">
        <f t="shared" si="50"/>
        <v/>
      </c>
      <c r="R108" s="87"/>
      <c r="S108" s="88"/>
      <c r="T108" s="88"/>
      <c r="U108" s="89" t="str">
        <f t="shared" si="51"/>
        <v/>
      </c>
      <c r="V108" s="57" t="str">
        <f t="shared" si="52"/>
        <v/>
      </c>
      <c r="W108" s="90" t="str">
        <f t="shared" si="53"/>
        <v/>
      </c>
      <c r="X108" s="91" t="str">
        <f t="shared" si="54"/>
        <v/>
      </c>
      <c r="Y108" s="92" t="str">
        <f t="shared" si="55"/>
        <v/>
      </c>
      <c r="Z108" s="93" t="str">
        <f t="shared" si="56"/>
        <v/>
      </c>
      <c r="AB108" s="2"/>
      <c r="AC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6"/>
      <c r="AT108" s="41" t="e">
        <f t="shared" si="57"/>
        <v>#DIV/0!</v>
      </c>
      <c r="AU108" s="41" t="e">
        <f t="shared" si="58"/>
        <v>#DIV/0!</v>
      </c>
      <c r="AV108" s="41" t="e">
        <f t="shared" si="59"/>
        <v>#DIV/0!</v>
      </c>
      <c r="AX108" s="6"/>
    </row>
    <row r="109" spans="1:50" ht="18" customHeight="1">
      <c r="A109" s="35">
        <f>INPUT!A107</f>
        <v>0</v>
      </c>
      <c r="B109" s="35">
        <f>INPUT!B107</f>
        <v>0</v>
      </c>
      <c r="C109" s="35">
        <f>INPUT!C107</f>
        <v>0</v>
      </c>
      <c r="D109" s="87"/>
      <c r="E109" s="88"/>
      <c r="F109" s="88"/>
      <c r="G109" s="88"/>
      <c r="H109" s="88"/>
      <c r="I109" s="89" t="str">
        <f t="shared" si="45"/>
        <v/>
      </c>
      <c r="J109" s="57" t="str">
        <f t="shared" si="46"/>
        <v/>
      </c>
      <c r="K109" s="90" t="str">
        <f t="shared" si="47"/>
        <v/>
      </c>
      <c r="L109" s="87"/>
      <c r="M109" s="88"/>
      <c r="N109" s="88"/>
      <c r="O109" s="89" t="str">
        <f t="shared" si="48"/>
        <v/>
      </c>
      <c r="P109" s="57" t="str">
        <f t="shared" si="49"/>
        <v/>
      </c>
      <c r="Q109" s="90" t="str">
        <f t="shared" si="50"/>
        <v/>
      </c>
      <c r="R109" s="87"/>
      <c r="S109" s="88"/>
      <c r="T109" s="88"/>
      <c r="U109" s="89" t="str">
        <f t="shared" si="51"/>
        <v/>
      </c>
      <c r="V109" s="57" t="str">
        <f t="shared" si="52"/>
        <v/>
      </c>
      <c r="W109" s="90" t="str">
        <f t="shared" si="53"/>
        <v/>
      </c>
      <c r="X109" s="91" t="str">
        <f t="shared" si="54"/>
        <v/>
      </c>
      <c r="Y109" s="92" t="str">
        <f t="shared" si="55"/>
        <v/>
      </c>
      <c r="Z109" s="93" t="str">
        <f t="shared" si="56"/>
        <v/>
      </c>
      <c r="AB109" s="2"/>
      <c r="AC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6"/>
      <c r="AT109" s="41" t="e">
        <f t="shared" si="57"/>
        <v>#DIV/0!</v>
      </c>
      <c r="AU109" s="41" t="e">
        <f t="shared" si="58"/>
        <v>#DIV/0!</v>
      </c>
      <c r="AV109" s="41" t="e">
        <f t="shared" si="59"/>
        <v>#DIV/0!</v>
      </c>
      <c r="AX109" s="6"/>
    </row>
    <row r="110" spans="1:50" ht="18" customHeight="1">
      <c r="A110" s="35">
        <f>INPUT!A108</f>
        <v>0</v>
      </c>
      <c r="B110" s="35">
        <f>INPUT!B108</f>
        <v>0</v>
      </c>
      <c r="C110" s="35">
        <f>INPUT!C108</f>
        <v>0</v>
      </c>
      <c r="D110" s="87"/>
      <c r="E110" s="88"/>
      <c r="F110" s="88"/>
      <c r="G110" s="88"/>
      <c r="H110" s="88"/>
      <c r="I110" s="89" t="str">
        <f t="shared" si="45"/>
        <v/>
      </c>
      <c r="J110" s="57" t="str">
        <f t="shared" si="46"/>
        <v/>
      </c>
      <c r="K110" s="90" t="str">
        <f t="shared" si="47"/>
        <v/>
      </c>
      <c r="L110" s="87"/>
      <c r="M110" s="88"/>
      <c r="N110" s="88"/>
      <c r="O110" s="89" t="str">
        <f t="shared" si="48"/>
        <v/>
      </c>
      <c r="P110" s="57" t="str">
        <f t="shared" si="49"/>
        <v/>
      </c>
      <c r="Q110" s="90" t="str">
        <f t="shared" si="50"/>
        <v/>
      </c>
      <c r="R110" s="87"/>
      <c r="S110" s="88"/>
      <c r="T110" s="88"/>
      <c r="U110" s="89" t="str">
        <f t="shared" si="51"/>
        <v/>
      </c>
      <c r="V110" s="57" t="str">
        <f t="shared" si="52"/>
        <v/>
      </c>
      <c r="W110" s="90" t="str">
        <f t="shared" si="53"/>
        <v/>
      </c>
      <c r="X110" s="91" t="str">
        <f t="shared" si="54"/>
        <v/>
      </c>
      <c r="Y110" s="92" t="str">
        <f t="shared" si="55"/>
        <v/>
      </c>
      <c r="Z110" s="93" t="str">
        <f t="shared" si="56"/>
        <v/>
      </c>
      <c r="AB110" s="2"/>
      <c r="AC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6"/>
      <c r="AT110" s="41" t="e">
        <f t="shared" si="57"/>
        <v>#DIV/0!</v>
      </c>
      <c r="AU110" s="41" t="e">
        <f t="shared" si="58"/>
        <v>#DIV/0!</v>
      </c>
      <c r="AV110" s="41" t="e">
        <f t="shared" si="59"/>
        <v>#DIV/0!</v>
      </c>
      <c r="AX110" s="6"/>
    </row>
    <row r="111" spans="1:50" ht="18" customHeight="1">
      <c r="A111" s="35">
        <f>INPUT!A109</f>
        <v>0</v>
      </c>
      <c r="B111" s="35">
        <f>INPUT!B109</f>
        <v>0</v>
      </c>
      <c r="C111" s="35">
        <f>INPUT!C109</f>
        <v>0</v>
      </c>
      <c r="D111" s="87"/>
      <c r="E111" s="88"/>
      <c r="F111" s="88"/>
      <c r="G111" s="88"/>
      <c r="H111" s="88"/>
      <c r="I111" s="89" t="str">
        <f t="shared" si="45"/>
        <v/>
      </c>
      <c r="J111" s="57" t="str">
        <f t="shared" si="46"/>
        <v/>
      </c>
      <c r="K111" s="90" t="str">
        <f t="shared" si="47"/>
        <v/>
      </c>
      <c r="L111" s="87"/>
      <c r="M111" s="88"/>
      <c r="N111" s="88"/>
      <c r="O111" s="89" t="str">
        <f t="shared" si="48"/>
        <v/>
      </c>
      <c r="P111" s="57" t="str">
        <f t="shared" si="49"/>
        <v/>
      </c>
      <c r="Q111" s="90" t="str">
        <f t="shared" si="50"/>
        <v/>
      </c>
      <c r="R111" s="87"/>
      <c r="S111" s="88"/>
      <c r="T111" s="88"/>
      <c r="U111" s="89" t="str">
        <f t="shared" si="51"/>
        <v/>
      </c>
      <c r="V111" s="57" t="str">
        <f t="shared" si="52"/>
        <v/>
      </c>
      <c r="W111" s="90" t="str">
        <f t="shared" si="53"/>
        <v/>
      </c>
      <c r="X111" s="91" t="str">
        <f t="shared" si="54"/>
        <v/>
      </c>
      <c r="Y111" s="92" t="str">
        <f t="shared" si="55"/>
        <v/>
      </c>
      <c r="Z111" s="93" t="str">
        <f t="shared" si="56"/>
        <v/>
      </c>
      <c r="AB111" s="2"/>
      <c r="AC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6"/>
      <c r="AT111" s="41" t="e">
        <f t="shared" si="57"/>
        <v>#DIV/0!</v>
      </c>
      <c r="AU111" s="41" t="e">
        <f t="shared" si="58"/>
        <v>#DIV/0!</v>
      </c>
      <c r="AV111" s="41" t="e">
        <f t="shared" si="59"/>
        <v>#DIV/0!</v>
      </c>
      <c r="AX111" s="6"/>
    </row>
    <row r="112" spans="1:50" ht="18" customHeight="1">
      <c r="A112" s="35">
        <f>INPUT!A110</f>
        <v>0</v>
      </c>
      <c r="B112" s="35">
        <f>INPUT!B110</f>
        <v>0</v>
      </c>
      <c r="C112" s="35">
        <f>INPUT!C110</f>
        <v>0</v>
      </c>
      <c r="D112" s="87"/>
      <c r="E112" s="88"/>
      <c r="F112" s="88"/>
      <c r="G112" s="88"/>
      <c r="H112" s="88"/>
      <c r="I112" s="89" t="str">
        <f t="shared" si="45"/>
        <v/>
      </c>
      <c r="J112" s="57" t="str">
        <f t="shared" si="46"/>
        <v/>
      </c>
      <c r="K112" s="90" t="str">
        <f t="shared" si="47"/>
        <v/>
      </c>
      <c r="L112" s="87"/>
      <c r="M112" s="88"/>
      <c r="N112" s="88"/>
      <c r="O112" s="89" t="str">
        <f t="shared" si="48"/>
        <v/>
      </c>
      <c r="P112" s="57" t="str">
        <f t="shared" si="49"/>
        <v/>
      </c>
      <c r="Q112" s="90" t="str">
        <f t="shared" si="50"/>
        <v/>
      </c>
      <c r="R112" s="87"/>
      <c r="S112" s="88"/>
      <c r="T112" s="88"/>
      <c r="U112" s="89" t="str">
        <f t="shared" si="51"/>
        <v/>
      </c>
      <c r="V112" s="57" t="str">
        <f t="shared" si="52"/>
        <v/>
      </c>
      <c r="W112" s="90" t="str">
        <f t="shared" si="53"/>
        <v/>
      </c>
      <c r="X112" s="91" t="str">
        <f t="shared" si="54"/>
        <v/>
      </c>
      <c r="Y112" s="92" t="str">
        <f t="shared" si="55"/>
        <v/>
      </c>
      <c r="Z112" s="93" t="str">
        <f t="shared" si="56"/>
        <v/>
      </c>
      <c r="AB112" s="2"/>
      <c r="AC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6"/>
      <c r="AT112" s="41" t="e">
        <f t="shared" si="57"/>
        <v>#DIV/0!</v>
      </c>
      <c r="AU112" s="41" t="e">
        <f t="shared" si="58"/>
        <v>#DIV/0!</v>
      </c>
      <c r="AV112" s="41" t="e">
        <f t="shared" si="59"/>
        <v>#DIV/0!</v>
      </c>
      <c r="AX112" s="6"/>
    </row>
    <row r="113" spans="1:50" ht="18" customHeight="1">
      <c r="A113" s="35">
        <f>INPUT!A111</f>
        <v>0</v>
      </c>
      <c r="B113" s="35">
        <f>INPUT!B111</f>
        <v>0</v>
      </c>
      <c r="C113" s="35">
        <f>INPUT!C111</f>
        <v>0</v>
      </c>
      <c r="D113" s="87"/>
      <c r="E113" s="88"/>
      <c r="F113" s="88"/>
      <c r="G113" s="88"/>
      <c r="H113" s="88"/>
      <c r="I113" s="89" t="str">
        <f t="shared" si="45"/>
        <v/>
      </c>
      <c r="J113" s="57" t="str">
        <f t="shared" si="46"/>
        <v/>
      </c>
      <c r="K113" s="90" t="str">
        <f t="shared" si="47"/>
        <v/>
      </c>
      <c r="L113" s="87"/>
      <c r="M113" s="88"/>
      <c r="N113" s="88"/>
      <c r="O113" s="89" t="str">
        <f t="shared" si="48"/>
        <v/>
      </c>
      <c r="P113" s="57" t="str">
        <f t="shared" si="49"/>
        <v/>
      </c>
      <c r="Q113" s="90" t="str">
        <f t="shared" si="50"/>
        <v/>
      </c>
      <c r="R113" s="87"/>
      <c r="S113" s="88"/>
      <c r="T113" s="88"/>
      <c r="U113" s="89" t="str">
        <f t="shared" si="51"/>
        <v/>
      </c>
      <c r="V113" s="57" t="str">
        <f t="shared" si="52"/>
        <v/>
      </c>
      <c r="W113" s="90" t="str">
        <f t="shared" si="53"/>
        <v/>
      </c>
      <c r="X113" s="91" t="str">
        <f t="shared" si="54"/>
        <v/>
      </c>
      <c r="Y113" s="92" t="str">
        <f t="shared" si="55"/>
        <v/>
      </c>
      <c r="Z113" s="93" t="str">
        <f t="shared" si="56"/>
        <v/>
      </c>
      <c r="AB113" s="2"/>
      <c r="AC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6"/>
      <c r="AT113" s="41" t="e">
        <f t="shared" si="57"/>
        <v>#DIV/0!</v>
      </c>
      <c r="AU113" s="41" t="e">
        <f t="shared" si="58"/>
        <v>#DIV/0!</v>
      </c>
      <c r="AV113" s="41" t="e">
        <f t="shared" si="59"/>
        <v>#DIV/0!</v>
      </c>
      <c r="AX113" s="6"/>
    </row>
    <row r="114" spans="1:50" ht="18" customHeight="1">
      <c r="A114" s="86"/>
      <c r="B114" s="35"/>
      <c r="C114" s="35"/>
      <c r="D114" s="87"/>
      <c r="E114" s="88"/>
      <c r="F114" s="88"/>
      <c r="G114" s="88"/>
      <c r="H114" s="88"/>
      <c r="I114" s="89" t="str">
        <f t="shared" si="45"/>
        <v/>
      </c>
      <c r="J114" s="57" t="str">
        <f t="shared" si="46"/>
        <v/>
      </c>
      <c r="K114" s="90" t="str">
        <f t="shared" si="47"/>
        <v/>
      </c>
      <c r="L114" s="87"/>
      <c r="M114" s="88"/>
      <c r="N114" s="88"/>
      <c r="O114" s="89" t="str">
        <f t="shared" si="48"/>
        <v/>
      </c>
      <c r="P114" s="57" t="str">
        <f t="shared" si="49"/>
        <v/>
      </c>
      <c r="Q114" s="90" t="str">
        <f t="shared" si="50"/>
        <v/>
      </c>
      <c r="R114" s="87"/>
      <c r="S114" s="88"/>
      <c r="T114" s="88"/>
      <c r="U114" s="89" t="str">
        <f t="shared" si="51"/>
        <v/>
      </c>
      <c r="V114" s="57" t="str">
        <f t="shared" si="52"/>
        <v/>
      </c>
      <c r="W114" s="90" t="str">
        <f t="shared" si="53"/>
        <v/>
      </c>
      <c r="X114" s="91" t="str">
        <f t="shared" si="54"/>
        <v/>
      </c>
      <c r="Y114" s="92" t="str">
        <f t="shared" si="55"/>
        <v/>
      </c>
      <c r="Z114" s="93" t="str">
        <f t="shared" si="56"/>
        <v/>
      </c>
      <c r="AC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6"/>
      <c r="AT114" s="41" t="e">
        <f t="shared" si="57"/>
        <v>#DIV/0!</v>
      </c>
      <c r="AU114" s="41" t="e">
        <f t="shared" si="58"/>
        <v>#DIV/0!</v>
      </c>
      <c r="AV114" s="41" t="e">
        <f t="shared" si="59"/>
        <v>#DIV/0!</v>
      </c>
      <c r="AX114" s="6"/>
    </row>
    <row r="115" spans="1:50" ht="18" customHeight="1">
      <c r="A115" s="106"/>
      <c r="B115" s="214"/>
      <c r="C115" s="214"/>
      <c r="D115" s="107"/>
      <c r="E115" s="108"/>
      <c r="F115" s="108"/>
      <c r="G115" s="108"/>
      <c r="H115" s="108"/>
      <c r="I115" s="109" t="str">
        <f t="shared" si="45"/>
        <v/>
      </c>
      <c r="J115" s="110" t="str">
        <f t="shared" si="46"/>
        <v/>
      </c>
      <c r="K115" s="111" t="str">
        <f t="shared" si="47"/>
        <v/>
      </c>
      <c r="L115" s="107"/>
      <c r="M115" s="108"/>
      <c r="N115" s="108"/>
      <c r="O115" s="109" t="str">
        <f t="shared" si="48"/>
        <v/>
      </c>
      <c r="P115" s="110" t="str">
        <f t="shared" si="49"/>
        <v/>
      </c>
      <c r="Q115" s="111" t="str">
        <f t="shared" si="50"/>
        <v/>
      </c>
      <c r="R115" s="107"/>
      <c r="S115" s="108"/>
      <c r="T115" s="108"/>
      <c r="U115" s="109" t="str">
        <f t="shared" si="51"/>
        <v/>
      </c>
      <c r="V115" s="110" t="str">
        <f t="shared" si="52"/>
        <v/>
      </c>
      <c r="W115" s="111" t="str">
        <f t="shared" si="53"/>
        <v/>
      </c>
      <c r="X115" s="112" t="str">
        <f t="shared" si="54"/>
        <v/>
      </c>
      <c r="Y115" s="113" t="str">
        <f t="shared" si="55"/>
        <v/>
      </c>
      <c r="Z115" s="114" t="str">
        <f t="shared" si="56"/>
        <v/>
      </c>
      <c r="AC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6"/>
      <c r="AT115" s="41" t="e">
        <f t="shared" si="57"/>
        <v>#DIV/0!</v>
      </c>
      <c r="AU115" s="41" t="e">
        <f t="shared" si="58"/>
        <v>#DIV/0!</v>
      </c>
      <c r="AV115" s="41" t="e">
        <f t="shared" si="59"/>
        <v>#DIV/0!</v>
      </c>
      <c r="AX115" s="6"/>
    </row>
    <row r="116" spans="1:50" ht="18" hidden="1" customHeight="1">
      <c r="A116" s="226" t="s">
        <v>125</v>
      </c>
      <c r="B116" s="227" t="s">
        <v>126</v>
      </c>
      <c r="C116" s="228" t="s">
        <v>127</v>
      </c>
      <c r="D116" s="221"/>
      <c r="E116" s="222"/>
      <c r="F116" s="222"/>
      <c r="G116" s="222"/>
      <c r="H116" s="222"/>
      <c r="I116" s="229" t="str">
        <f t="shared" si="45"/>
        <v/>
      </c>
      <c r="J116" s="230" t="str">
        <f t="shared" si="46"/>
        <v/>
      </c>
      <c r="K116" s="231" t="str">
        <f t="shared" si="47"/>
        <v/>
      </c>
      <c r="L116" s="221"/>
      <c r="M116" s="222"/>
      <c r="N116" s="222"/>
      <c r="O116" s="229" t="str">
        <f t="shared" si="48"/>
        <v/>
      </c>
      <c r="P116" s="230" t="str">
        <f t="shared" si="49"/>
        <v/>
      </c>
      <c r="Q116" s="231" t="str">
        <f t="shared" si="50"/>
        <v/>
      </c>
      <c r="R116" s="221"/>
      <c r="S116" s="222"/>
      <c r="T116" s="222"/>
      <c r="U116" s="229" t="str">
        <f t="shared" si="51"/>
        <v/>
      </c>
      <c r="V116" s="230" t="str">
        <f t="shared" si="52"/>
        <v/>
      </c>
      <c r="W116" s="231" t="str">
        <f t="shared" si="53"/>
        <v/>
      </c>
      <c r="X116" s="232" t="str">
        <f t="shared" si="54"/>
        <v/>
      </c>
      <c r="Y116" s="233" t="str">
        <f t="shared" si="55"/>
        <v/>
      </c>
      <c r="Z116" s="234" t="str">
        <f t="shared" si="56"/>
        <v/>
      </c>
      <c r="AC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6"/>
      <c r="AT116" s="41" t="e">
        <f t="shared" si="57"/>
        <v>#DIV/0!</v>
      </c>
      <c r="AU116" s="41" t="e">
        <f t="shared" si="58"/>
        <v>#DIV/0!</v>
      </c>
      <c r="AV116" s="41" t="e">
        <f t="shared" si="59"/>
        <v>#DIV/0!</v>
      </c>
      <c r="AX116" s="6"/>
    </row>
    <row r="122" spans="1:50" s="2" customFormat="1">
      <c r="I122" s="3"/>
      <c r="J122" s="3"/>
      <c r="O122" s="3"/>
      <c r="P122" s="3"/>
      <c r="Q122" s="3"/>
      <c r="R122" s="3"/>
      <c r="U122" s="3"/>
      <c r="V122" s="3"/>
      <c r="W122" s="3"/>
      <c r="X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19"/>
      <c r="AS122" s="19"/>
      <c r="AT122" s="47"/>
      <c r="AU122" s="47"/>
      <c r="AV122" s="47"/>
      <c r="AW122" s="47"/>
    </row>
  </sheetData>
  <sheetProtection formatCells="0" formatColumns="0" formatRows="0" insertColumns="0" insertRows="0" insertHyperlinks="0" deleteColumns="0" deleteRows="0" sort="0" autoFilter="0" pivotTables="0"/>
  <autoFilter ref="C12:C115" xr:uid="{00000000-0009-0000-0000-000002000000}"/>
  <mergeCells count="28">
    <mergeCell ref="B64:C64"/>
    <mergeCell ref="B8:B9"/>
    <mergeCell ref="C8:C9"/>
    <mergeCell ref="A8:A9"/>
    <mergeCell ref="A10:C10"/>
    <mergeCell ref="B11:C11"/>
    <mergeCell ref="A1:X2"/>
    <mergeCell ref="I7:K7"/>
    <mergeCell ref="L7:N7"/>
    <mergeCell ref="O7:Q7"/>
    <mergeCell ref="R7:T7"/>
    <mergeCell ref="U7:W7"/>
    <mergeCell ref="A7:C7"/>
    <mergeCell ref="D4:E4"/>
    <mergeCell ref="W5:X5"/>
    <mergeCell ref="P5:R5"/>
    <mergeCell ref="A3:X3"/>
    <mergeCell ref="I4:L4"/>
    <mergeCell ref="N5:O5"/>
    <mergeCell ref="Z8:Z10"/>
    <mergeCell ref="Y8:Y10"/>
    <mergeCell ref="R8:W8"/>
    <mergeCell ref="F4:H4"/>
    <mergeCell ref="X8:X10"/>
    <mergeCell ref="L8:Q8"/>
    <mergeCell ref="D5:L5"/>
    <mergeCell ref="D8:K8"/>
    <mergeCell ref="S5:V5"/>
  </mergeCells>
  <conditionalFormatting sqref="Y13:Y63">
    <cfRule type="cellIs" dxfId="18" priority="1" operator="lessThan">
      <formula>75</formula>
    </cfRule>
  </conditionalFormatting>
  <conditionalFormatting sqref="Y66:Y116">
    <cfRule type="cellIs" dxfId="17" priority="2" operator="lessThan">
      <formula>75</formula>
    </cfRule>
  </conditionalFormatting>
  <conditionalFormatting sqref="Z13:Z116">
    <cfRule type="containsText" dxfId="16" priority="3" operator="containsText" text="Emerging">
      <formula>NOT(ISERROR(SEARCH("Emerging",Z13:Z116)))</formula>
    </cfRule>
    <cfRule type="containsText" dxfId="15" priority="4" operator="containsText" text="Developing">
      <formula>NOT(ISERROR(SEARCH("Developing",Z13:Z116)))</formula>
    </cfRule>
  </conditionalFormatting>
  <printOptions horizontalCentere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933"/>
  </sheetPr>
  <dimension ref="A1:BH123"/>
  <sheetViews>
    <sheetView showGridLines="0" zoomScale="85" zoomScaleNormal="85" workbookViewId="0">
      <selection activeCell="Z13" sqref="Z13"/>
    </sheetView>
  </sheetViews>
  <sheetFormatPr defaultColWidth="4.7109375" defaultRowHeight="15"/>
  <cols>
    <col min="1" max="1" width="4.140625" style="2" customWidth="1"/>
    <col min="2" max="2" width="17.28515625" style="2" customWidth="1"/>
    <col min="3" max="3" width="33.42578125" style="2" customWidth="1"/>
    <col min="4" max="7" width="4.7109375" style="2"/>
    <col min="8" max="8" width="5.140625" style="2" customWidth="1"/>
    <col min="9" max="10" width="7.140625" style="3" customWidth="1"/>
    <col min="11" max="11" width="5.85546875" style="2" customWidth="1"/>
    <col min="12" max="13" width="4.7109375" style="2"/>
    <col min="14" max="14" width="6.28515625" style="2" customWidth="1"/>
    <col min="15" max="17" width="7.140625" style="3" customWidth="1"/>
    <col min="18" max="18" width="4.7109375" style="3"/>
    <col min="19" max="19" width="4.7109375" style="2"/>
    <col min="20" max="20" width="7.140625" style="2" customWidth="1"/>
    <col min="21" max="22" width="7.140625" style="3" customWidth="1"/>
    <col min="23" max="23" width="11.28515625" style="3" customWidth="1"/>
    <col min="24" max="24" width="11.28515625" style="4" customWidth="1"/>
    <col min="25" max="25" width="15.28515625" style="1" customWidth="1"/>
    <col min="26" max="26" width="18.85546875" style="1" customWidth="1"/>
    <col min="27" max="27" width="2.7109375" style="1" customWidth="1"/>
    <col min="28" max="28" width="26" style="1" customWidth="1"/>
    <col min="29" max="29" width="8.28515625" style="48" customWidth="1"/>
    <col min="30" max="30" width="8.7109375" style="48" customWidth="1"/>
    <col min="31" max="31" width="9" style="48" customWidth="1"/>
    <col min="32" max="43" width="4.7109375" style="48"/>
    <col min="44" max="45" width="4.7109375" style="5"/>
    <col min="46" max="46" width="4.7109375" style="6"/>
    <col min="47" max="47" width="4.7109375" style="6" hidden="1"/>
    <col min="48" max="49" width="4.7109375" style="6"/>
    <col min="50" max="60" width="4.7109375" style="1"/>
  </cols>
  <sheetData>
    <row r="1" spans="1:50" ht="15" customHeight="1">
      <c r="A1" s="341" t="s">
        <v>0</v>
      </c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1"/>
      <c r="T1" s="341"/>
      <c r="U1" s="341"/>
      <c r="V1" s="341"/>
      <c r="W1" s="341"/>
      <c r="X1" s="341"/>
      <c r="Y1" s="6"/>
    </row>
    <row r="2" spans="1:50" ht="15" customHeight="1">
      <c r="A2" s="341"/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  <c r="P2" s="341"/>
      <c r="Q2" s="341"/>
      <c r="R2" s="341"/>
      <c r="S2" s="341"/>
      <c r="T2" s="341"/>
      <c r="U2" s="341"/>
      <c r="V2" s="341"/>
      <c r="W2" s="341"/>
      <c r="X2" s="341"/>
      <c r="Y2" s="6"/>
    </row>
    <row r="3" spans="1:50" ht="15" customHeight="1">
      <c r="A3" s="342"/>
      <c r="B3" s="342"/>
      <c r="C3" s="342"/>
      <c r="D3" s="342"/>
      <c r="E3" s="342"/>
      <c r="F3" s="342"/>
      <c r="G3" s="342"/>
      <c r="H3" s="342"/>
      <c r="I3" s="342"/>
      <c r="J3" s="342"/>
      <c r="K3" s="342"/>
      <c r="L3" s="342"/>
      <c r="M3" s="342"/>
      <c r="N3" s="342"/>
      <c r="O3" s="342"/>
      <c r="P3" s="342"/>
      <c r="Q3" s="342"/>
      <c r="R3" s="342"/>
      <c r="S3" s="342"/>
      <c r="T3" s="342"/>
      <c r="U3" s="342"/>
      <c r="V3" s="342"/>
      <c r="W3" s="342"/>
      <c r="X3" s="342"/>
      <c r="Y3" s="6"/>
    </row>
    <row r="4" spans="1:50" ht="21" customHeight="1">
      <c r="A4" s="47"/>
      <c r="C4" s="172" t="s">
        <v>2</v>
      </c>
      <c r="D4" s="324">
        <f>INPUT!H4</f>
        <v>10</v>
      </c>
      <c r="E4" s="326"/>
      <c r="F4" s="343" t="s">
        <v>3</v>
      </c>
      <c r="G4" s="344"/>
      <c r="H4" s="345"/>
      <c r="I4" s="324" t="str">
        <f>INPUT!M4</f>
        <v>CDO</v>
      </c>
      <c r="J4" s="325"/>
      <c r="K4" s="325"/>
      <c r="L4" s="326"/>
      <c r="M4" s="50"/>
      <c r="N4" s="8"/>
      <c r="O4" s="51"/>
      <c r="P4" s="52"/>
      <c r="Q4" s="52"/>
      <c r="R4" s="52"/>
      <c r="S4" s="53"/>
      <c r="T4" s="53"/>
      <c r="U4" s="124"/>
      <c r="V4" s="53"/>
      <c r="W4" s="53"/>
      <c r="X4" s="13"/>
      <c r="Y4" s="13"/>
      <c r="Z4" s="12"/>
      <c r="AA4" s="12"/>
      <c r="AB4" s="12"/>
      <c r="AC4" s="12"/>
    </row>
    <row r="5" spans="1:50" ht="21" customHeight="1">
      <c r="A5" s="47"/>
      <c r="C5" s="172" t="s">
        <v>5</v>
      </c>
      <c r="D5" s="324" t="str">
        <f>INPUT!H5</f>
        <v>Bridgette School Management System</v>
      </c>
      <c r="E5" s="325"/>
      <c r="F5" s="325"/>
      <c r="G5" s="325"/>
      <c r="H5" s="325"/>
      <c r="I5" s="325"/>
      <c r="J5" s="325"/>
      <c r="K5" s="325"/>
      <c r="L5" s="326"/>
      <c r="M5" s="50"/>
      <c r="N5" s="267" t="s">
        <v>7</v>
      </c>
      <c r="O5" s="327"/>
      <c r="P5" s="328">
        <f>INPUT!T5</f>
        <v>405198</v>
      </c>
      <c r="Q5" s="329"/>
      <c r="R5" s="330"/>
      <c r="S5" s="331" t="s">
        <v>8</v>
      </c>
      <c r="T5" s="307"/>
      <c r="U5" s="307"/>
      <c r="V5" s="332"/>
      <c r="W5" s="328" t="str">
        <f>INPUT!Z5</f>
        <v>{school_year}</v>
      </c>
      <c r="X5" s="330"/>
      <c r="Y5" s="13"/>
      <c r="Z5" s="12"/>
      <c r="AA5" s="12"/>
      <c r="AB5" s="12"/>
      <c r="AC5" s="12"/>
    </row>
    <row r="6" spans="1:50" ht="14.65" customHeight="1"/>
    <row r="7" spans="1:50" ht="23.25" customHeight="1">
      <c r="A7" s="348" t="s">
        <v>171</v>
      </c>
      <c r="B7" s="349"/>
      <c r="C7" s="350"/>
      <c r="D7" s="183" t="s">
        <v>10</v>
      </c>
      <c r="E7" s="184"/>
      <c r="F7" s="183"/>
      <c r="G7" s="182"/>
      <c r="H7" s="182"/>
      <c r="I7" s="333" t="str">
        <f>INPUT!K7</f>
        <v>Grade 8 Diamond</v>
      </c>
      <c r="J7" s="333"/>
      <c r="K7" s="334"/>
      <c r="L7" s="335" t="s">
        <v>12</v>
      </c>
      <c r="M7" s="275"/>
      <c r="N7" s="275"/>
      <c r="O7" s="336" t="str">
        <f>INPUT!R7</f>
        <v>Abueva, Apple Joy Middle Name</v>
      </c>
      <c r="P7" s="336"/>
      <c r="Q7" s="337"/>
      <c r="R7" s="335" t="s">
        <v>14</v>
      </c>
      <c r="S7" s="275"/>
      <c r="T7" s="275"/>
      <c r="U7" s="336" t="str">
        <f>INPUT!Z7</f>
        <v>Science 8</v>
      </c>
      <c r="V7" s="336"/>
      <c r="W7" s="337"/>
      <c r="X7" s="185"/>
      <c r="Y7" s="6"/>
    </row>
    <row r="8" spans="1:50" s="4" customFormat="1" ht="46.9" customHeight="1">
      <c r="A8" s="356"/>
      <c r="B8" s="358" t="s">
        <v>17</v>
      </c>
      <c r="C8" s="360" t="s">
        <v>18</v>
      </c>
      <c r="D8" s="362" t="str">
        <f>INPUT!AD7 &amp; " (" &amp; TEXT(INPUT!AL7, "0%") &amp; ")"</f>
        <v>WRITTEN / ORAL WORKS (20%)</v>
      </c>
      <c r="E8" s="363"/>
      <c r="F8" s="363"/>
      <c r="G8" s="363"/>
      <c r="H8" s="363"/>
      <c r="I8" s="363"/>
      <c r="J8" s="363"/>
      <c r="K8" s="364"/>
      <c r="L8" s="338" t="str">
        <f>INPUT!AD8 &amp; " (" &amp; TEXT(INPUT!AL8, "0%") &amp; ")"</f>
        <v>PRODUCT / PERFORMANCE TASKS (80%)</v>
      </c>
      <c r="M8" s="339"/>
      <c r="N8" s="339"/>
      <c r="O8" s="339"/>
      <c r="P8" s="339"/>
      <c r="Q8" s="340"/>
      <c r="R8" s="338" t="str">
        <f>INPUT!AD9 &amp; " (" &amp; TEXT(INPUT!AL9, "0%") &amp; ")"</f>
        <v>PLACEHOLDER (20%)</v>
      </c>
      <c r="S8" s="339"/>
      <c r="T8" s="339"/>
      <c r="U8" s="339"/>
      <c r="V8" s="339"/>
      <c r="W8" s="340"/>
      <c r="X8" s="321" t="s">
        <v>129</v>
      </c>
      <c r="Y8" s="321" t="s">
        <v>130</v>
      </c>
      <c r="Z8" s="321" t="s">
        <v>131</v>
      </c>
      <c r="AA8" s="18"/>
      <c r="AS8" s="19"/>
      <c r="AT8" s="19"/>
      <c r="AU8" s="19"/>
      <c r="AV8" s="19"/>
      <c r="AW8" s="19"/>
      <c r="AX8" s="19"/>
    </row>
    <row r="9" spans="1:50" s="20" customFormat="1" ht="18" customHeight="1">
      <c r="A9" s="357"/>
      <c r="B9" s="359"/>
      <c r="C9" s="361"/>
      <c r="D9" s="55">
        <v>1</v>
      </c>
      <c r="E9" s="54">
        <v>2</v>
      </c>
      <c r="F9" s="54">
        <v>3</v>
      </c>
      <c r="G9" s="54">
        <v>4</v>
      </c>
      <c r="H9" s="54">
        <v>5</v>
      </c>
      <c r="I9" s="56" t="s">
        <v>132</v>
      </c>
      <c r="J9" s="57" t="s">
        <v>133</v>
      </c>
      <c r="K9" s="58" t="s">
        <v>134</v>
      </c>
      <c r="L9" s="55">
        <v>1</v>
      </c>
      <c r="M9" s="54">
        <v>2</v>
      </c>
      <c r="N9" s="54">
        <v>3</v>
      </c>
      <c r="O9" s="56" t="s">
        <v>132</v>
      </c>
      <c r="P9" s="57" t="s">
        <v>133</v>
      </c>
      <c r="Q9" s="58" t="s">
        <v>134</v>
      </c>
      <c r="R9" s="59" t="s">
        <v>135</v>
      </c>
      <c r="S9" s="60" t="s">
        <v>136</v>
      </c>
      <c r="T9" s="54" t="s">
        <v>137</v>
      </c>
      <c r="U9" s="56" t="s">
        <v>132</v>
      </c>
      <c r="V9" s="57" t="s">
        <v>133</v>
      </c>
      <c r="W9" s="58" t="s">
        <v>134</v>
      </c>
      <c r="X9" s="322"/>
      <c r="Y9" s="322"/>
      <c r="Z9" s="322"/>
      <c r="AA9" s="18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22"/>
      <c r="AT9" s="22"/>
      <c r="AU9" s="22"/>
      <c r="AV9" s="22"/>
      <c r="AW9" s="27"/>
      <c r="AX9" s="27"/>
    </row>
    <row r="10" spans="1:50" s="23" customFormat="1" ht="18" customHeight="1">
      <c r="A10" s="351" t="s">
        <v>20</v>
      </c>
      <c r="B10" s="352"/>
      <c r="C10" s="353"/>
      <c r="D10" s="62"/>
      <c r="E10" s="63"/>
      <c r="F10" s="63"/>
      <c r="G10" s="63"/>
      <c r="H10" s="63"/>
      <c r="I10" s="56" t="str">
        <f>IF(COUNT($D10:$H10)=0,"",SUM($D10:$H10))</f>
        <v/>
      </c>
      <c r="J10" s="57">
        <v>100</v>
      </c>
      <c r="K10" s="58">
        <f>INPUT!AL7</f>
        <v>0.2</v>
      </c>
      <c r="L10" s="62"/>
      <c r="M10" s="63"/>
      <c r="N10" s="63"/>
      <c r="O10" s="56" t="str">
        <f>IF(COUNT($L10:$N10)=0,"",SUM($L10:$N10))</f>
        <v/>
      </c>
      <c r="P10" s="57">
        <v>100</v>
      </c>
      <c r="Q10" s="58">
        <f>INPUT!AL8</f>
        <v>0.8</v>
      </c>
      <c r="R10" s="64"/>
      <c r="S10" s="65"/>
      <c r="T10" s="63"/>
      <c r="U10" s="66">
        <f>IF(COUNT($R10:$T10=0),"",SUM($R10:$T10))</f>
        <v>0</v>
      </c>
      <c r="V10" s="57">
        <v>100</v>
      </c>
      <c r="W10" s="58">
        <f>INPUT!AL9</f>
        <v>0.2</v>
      </c>
      <c r="X10" s="323"/>
      <c r="Y10" s="323"/>
      <c r="Z10" s="323"/>
      <c r="AA10" s="18"/>
      <c r="AB10" s="67"/>
      <c r="AC10" s="6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5"/>
      <c r="AT10" s="5"/>
      <c r="AU10" s="5"/>
      <c r="AV10" s="5"/>
      <c r="AW10" s="41"/>
      <c r="AX10" s="41"/>
    </row>
    <row r="11" spans="1:50" s="23" customFormat="1" ht="18" customHeight="1">
      <c r="A11" s="251"/>
      <c r="B11" s="354" t="s">
        <v>22</v>
      </c>
      <c r="C11" s="355"/>
      <c r="D11" s="69"/>
      <c r="E11" s="70"/>
      <c r="F11" s="70"/>
      <c r="G11" s="70"/>
      <c r="H11" s="70"/>
      <c r="I11" s="71"/>
      <c r="J11" s="72"/>
      <c r="K11" s="73"/>
      <c r="L11" s="69"/>
      <c r="M11" s="70"/>
      <c r="N11" s="70"/>
      <c r="O11" s="71"/>
      <c r="P11" s="72"/>
      <c r="Q11" s="73"/>
      <c r="R11" s="74"/>
      <c r="S11" s="71"/>
      <c r="T11" s="70"/>
      <c r="U11" s="70"/>
      <c r="V11" s="72"/>
      <c r="W11" s="73"/>
      <c r="X11" s="75"/>
      <c r="Y11" s="76"/>
      <c r="Z11" s="77"/>
      <c r="AA11" s="18"/>
      <c r="AB11" s="67"/>
      <c r="AC11" s="6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5"/>
      <c r="AT11" s="5"/>
      <c r="AU11" s="5"/>
      <c r="AV11" s="5"/>
      <c r="AW11" s="41"/>
      <c r="AX11" s="41"/>
    </row>
    <row r="12" spans="1:50" s="23" customFormat="1" ht="18" hidden="1" customHeight="1">
      <c r="A12" s="226" t="s">
        <v>23</v>
      </c>
      <c r="B12" s="180" t="s">
        <v>24</v>
      </c>
      <c r="C12" s="186" t="s">
        <v>25</v>
      </c>
      <c r="D12" s="188" t="s">
        <v>138</v>
      </c>
      <c r="E12" s="188" t="s">
        <v>138</v>
      </c>
      <c r="F12" s="188" t="s">
        <v>138</v>
      </c>
      <c r="G12" s="188" t="s">
        <v>138</v>
      </c>
      <c r="H12" s="188" t="s">
        <v>138</v>
      </c>
      <c r="I12" s="189" t="s">
        <v>139</v>
      </c>
      <c r="J12" s="190" t="s">
        <v>140</v>
      </c>
      <c r="K12" s="190" t="s">
        <v>141</v>
      </c>
      <c r="L12" s="188" t="s">
        <v>142</v>
      </c>
      <c r="M12" s="188" t="s">
        <v>142</v>
      </c>
      <c r="N12" s="188" t="s">
        <v>142</v>
      </c>
      <c r="O12" s="189" t="s">
        <v>143</v>
      </c>
      <c r="P12" s="190" t="s">
        <v>144</v>
      </c>
      <c r="Q12" s="190" t="s">
        <v>145</v>
      </c>
      <c r="R12" s="192" t="s">
        <v>146</v>
      </c>
      <c r="S12" s="193" t="s">
        <v>147</v>
      </c>
      <c r="T12" s="194" t="s">
        <v>148</v>
      </c>
      <c r="U12" s="188" t="s">
        <v>149</v>
      </c>
      <c r="V12" s="190" t="s">
        <v>150</v>
      </c>
      <c r="W12" s="190" t="s">
        <v>151</v>
      </c>
      <c r="X12" s="195" t="s">
        <v>152</v>
      </c>
      <c r="Y12" s="196" t="s">
        <v>153</v>
      </c>
      <c r="Z12" s="191" t="s">
        <v>154</v>
      </c>
      <c r="AA12" s="18"/>
      <c r="AB12" s="67"/>
      <c r="AC12" s="6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5"/>
      <c r="AT12" s="5"/>
      <c r="AU12" s="5"/>
      <c r="AV12" s="5"/>
      <c r="AW12" s="41"/>
      <c r="AX12" s="41"/>
    </row>
    <row r="13" spans="1:50" ht="18" customHeight="1">
      <c r="A13" s="179">
        <f>INPUT!A12</f>
        <v>1</v>
      </c>
      <c r="B13" s="179" t="str">
        <f>INPUT!B12</f>
        <v>2022-00001</v>
      </c>
      <c r="C13" s="179" t="str">
        <f>INPUT!C12</f>
        <v>Ando, Ryanjel</v>
      </c>
      <c r="D13" s="78"/>
      <c r="E13" s="79"/>
      <c r="F13" s="79"/>
      <c r="G13" s="79"/>
      <c r="H13" s="79"/>
      <c r="I13" s="80" t="str">
        <f t="shared" ref="I13:I44" si="0">IF(COUNT($D13:$H13)=0,"",SUM($D13:$H13))</f>
        <v/>
      </c>
      <c r="J13" s="81" t="str">
        <f t="shared" ref="J13:J44" si="1">IF(ISERROR(IF($I13="","",ROUND(($I13/$I$10)*$J$10,2))),"",IF($I13="","",ROUND(($I13/$I$10)*$J$10,2)))</f>
        <v/>
      </c>
      <c r="K13" s="82" t="str">
        <f t="shared" ref="K13:K44" si="2">IF($J13="","",ROUND($J13*$K$10,2))</f>
        <v/>
      </c>
      <c r="L13" s="78"/>
      <c r="M13" s="79"/>
      <c r="N13" s="79"/>
      <c r="O13" s="80" t="str">
        <f t="shared" ref="O13:O44" si="3">IF(COUNT($L13:$N13)=0,"",SUM($L13:$N13))</f>
        <v/>
      </c>
      <c r="P13" s="81" t="str">
        <f t="shared" ref="P13:P44" si="4">IF(ISERROR(IF($O13="","",ROUND(($O13/$O$10)*$P$10,2))),"",IF($O13="","",ROUND(($O13/$O$10)*$P$10,2)))</f>
        <v/>
      </c>
      <c r="Q13" s="82" t="str">
        <f t="shared" ref="Q13:Q44" si="5">IF($P13="","",ROUND($P13*$Q$10,2))</f>
        <v/>
      </c>
      <c r="R13" s="78"/>
      <c r="S13" s="79"/>
      <c r="T13" s="79"/>
      <c r="U13" s="80" t="str">
        <f t="shared" ref="U13:U44" si="6">IF(COUNT($R13:$T13)=0,"",SUM($R13:$T13))</f>
        <v/>
      </c>
      <c r="V13" s="81" t="str">
        <f t="shared" ref="V13:V44" si="7">IF(ISERROR(IF($U13="","",ROUND(($U13/$U$10)*$V$10,2))),"",IF($U13="","",ROUND(($U13/$U$10)*$V$10,2)))</f>
        <v/>
      </c>
      <c r="W13" s="82" t="str">
        <f t="shared" ref="W13:W44" si="8">IF($V13="","",ROUND($V13*$W$10,2))</f>
        <v/>
      </c>
      <c r="X13" s="83" t="str">
        <f>IF(ISERROR(IF($U13="","",ROUND(SUM($K13,$Q13,$W13),2))),"",IF($U13="","",ROUND(SUM($K13,$Q13,$W13),2)))</f>
        <v/>
      </c>
      <c r="Y13" s="84" t="str">
        <f>IF(ISERROR(IF($U13="","",VLOOKUP(X13,NewTransmu,4,TRUE))),"",IF($U13="","",VLOOKUP(X13,NewTransmu,4,TRUE)))</f>
        <v/>
      </c>
      <c r="Z13" s="85" t="str">
        <f t="shared" ref="Z13:Z44" si="9">IF(ISERROR(IF(Y13="","",VLOOKUP(Y13,DESCRIPTORS,4,TRUE))),"",IF(Y13="","",VLOOKUP(Y13,DESCRIPTORS,4,TRUE)))</f>
        <v/>
      </c>
      <c r="AB13" s="47"/>
      <c r="AC13" s="6"/>
      <c r="AD13" s="41"/>
      <c r="AE13" s="41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41"/>
      <c r="AT13" s="41" t="e">
        <f t="shared" ref="AT13:AT44" si="10">(R13/$R$10)*100</f>
        <v>#DIV/0!</v>
      </c>
      <c r="AU13" s="41" t="e">
        <f t="shared" ref="AU13:AU44" si="11">(S13/$S$10)*100</f>
        <v>#DIV/0!</v>
      </c>
      <c r="AV13" s="41" t="e">
        <f t="shared" ref="AV13:AV44" si="12">(T13/$T$10)*100</f>
        <v>#DIV/0!</v>
      </c>
      <c r="AX13" s="6"/>
    </row>
    <row r="14" spans="1:50" ht="18" customHeight="1">
      <c r="A14" s="179">
        <f>INPUT!A13</f>
        <v>2</v>
      </c>
      <c r="B14" s="179" t="str">
        <f>INPUT!B13</f>
        <v>2022-00044</v>
      </c>
      <c r="C14" s="179" t="str">
        <f>INPUT!C13</f>
        <v>Arante, Cobe Mc Daniel</v>
      </c>
      <c r="D14" s="87"/>
      <c r="E14" s="88"/>
      <c r="F14" s="88"/>
      <c r="G14" s="88"/>
      <c r="H14" s="88"/>
      <c r="I14" s="89" t="str">
        <f t="shared" si="0"/>
        <v/>
      </c>
      <c r="J14" s="57" t="str">
        <f t="shared" si="1"/>
        <v/>
      </c>
      <c r="K14" s="90" t="str">
        <f t="shared" si="2"/>
        <v/>
      </c>
      <c r="L14" s="87"/>
      <c r="M14" s="88"/>
      <c r="N14" s="88"/>
      <c r="O14" s="89" t="str">
        <f t="shared" si="3"/>
        <v/>
      </c>
      <c r="P14" s="57" t="str">
        <f t="shared" si="4"/>
        <v/>
      </c>
      <c r="Q14" s="90" t="str">
        <f t="shared" si="5"/>
        <v/>
      </c>
      <c r="R14" s="87"/>
      <c r="S14" s="88"/>
      <c r="T14" s="88"/>
      <c r="U14" s="89" t="str">
        <f t="shared" si="6"/>
        <v/>
      </c>
      <c r="V14" s="57" t="str">
        <f t="shared" si="7"/>
        <v/>
      </c>
      <c r="W14" s="90" t="str">
        <f t="shared" si="8"/>
        <v/>
      </c>
      <c r="X14" s="91" t="str">
        <f t="shared" ref="X14:X45" si="13">IF(ISERROR(IF($T14="","",ROUND(SUM($K14,$Q14,$W14),2))),"",IF($T14="","",ROUND(SUM($K14,$Q14,$W14),2)))</f>
        <v/>
      </c>
      <c r="Y14" s="92" t="str">
        <f t="shared" ref="Y14:Y45" si="14">IF(ISERROR(IF($T14="","",VLOOKUP(X14,NewTransmu,4,TRUE))),"",IF($T14="","",VLOOKUP(X14,NewTransmu,4,TRUE)))</f>
        <v/>
      </c>
      <c r="Z14" s="93" t="str">
        <f t="shared" si="9"/>
        <v/>
      </c>
      <c r="AB14" s="94"/>
      <c r="AC14" s="94" t="s">
        <v>135</v>
      </c>
      <c r="AD14" s="94" t="s">
        <v>136</v>
      </c>
      <c r="AE14" s="94" t="s">
        <v>137</v>
      </c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41"/>
      <c r="AT14" s="41" t="e">
        <f t="shared" si="10"/>
        <v>#DIV/0!</v>
      </c>
      <c r="AU14" s="41" t="e">
        <f t="shared" si="11"/>
        <v>#DIV/0!</v>
      </c>
      <c r="AV14" s="41" t="e">
        <f t="shared" si="12"/>
        <v>#DIV/0!</v>
      </c>
      <c r="AX14" s="6"/>
    </row>
    <row r="15" spans="1:50" ht="18" customHeight="1">
      <c r="A15" s="179">
        <f>INPUT!A14</f>
        <v>3</v>
      </c>
      <c r="B15" s="179" t="str">
        <f>INPUT!B14</f>
        <v>2022-00418</v>
      </c>
      <c r="C15" s="179" t="str">
        <f>INPUT!C14</f>
        <v>Barnido, Charllys Moore</v>
      </c>
      <c r="D15" s="87"/>
      <c r="E15" s="88"/>
      <c r="F15" s="88"/>
      <c r="G15" s="88"/>
      <c r="H15" s="88"/>
      <c r="I15" s="89" t="str">
        <f t="shared" si="0"/>
        <v/>
      </c>
      <c r="J15" s="57" t="str">
        <f t="shared" si="1"/>
        <v/>
      </c>
      <c r="K15" s="90" t="str">
        <f t="shared" si="2"/>
        <v/>
      </c>
      <c r="L15" s="87"/>
      <c r="M15" s="88"/>
      <c r="N15" s="88"/>
      <c r="O15" s="89" t="str">
        <f t="shared" si="3"/>
        <v/>
      </c>
      <c r="P15" s="57" t="str">
        <f t="shared" si="4"/>
        <v/>
      </c>
      <c r="Q15" s="90" t="str">
        <f t="shared" si="5"/>
        <v/>
      </c>
      <c r="R15" s="173"/>
      <c r="S15" s="88"/>
      <c r="T15" s="174"/>
      <c r="U15" s="89" t="str">
        <f t="shared" si="6"/>
        <v/>
      </c>
      <c r="V15" s="57" t="str">
        <f t="shared" si="7"/>
        <v/>
      </c>
      <c r="W15" s="90" t="str">
        <f t="shared" si="8"/>
        <v/>
      </c>
      <c r="X15" s="91" t="str">
        <f t="shared" si="13"/>
        <v/>
      </c>
      <c r="Y15" s="92" t="str">
        <f t="shared" si="14"/>
        <v/>
      </c>
      <c r="Z15" s="93" t="str">
        <f t="shared" si="9"/>
        <v/>
      </c>
      <c r="AB15" s="95" t="s">
        <v>155</v>
      </c>
      <c r="AC15" s="96">
        <f>COUNTA(R13:R116)</f>
        <v>0</v>
      </c>
      <c r="AD15" s="96">
        <f>COUNTA(S13:S116)</f>
        <v>0</v>
      </c>
      <c r="AE15" s="96">
        <f>COUNTA(T13:T116)</f>
        <v>0</v>
      </c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41"/>
      <c r="AT15" s="41" t="e">
        <f t="shared" si="10"/>
        <v>#DIV/0!</v>
      </c>
      <c r="AU15" s="41" t="e">
        <f t="shared" si="11"/>
        <v>#DIV/0!</v>
      </c>
      <c r="AV15" s="41" t="e">
        <f t="shared" si="12"/>
        <v>#DIV/0!</v>
      </c>
      <c r="AX15" s="6"/>
    </row>
    <row r="16" spans="1:50" ht="18" customHeight="1">
      <c r="A16" s="179">
        <f>INPUT!A15</f>
        <v>4</v>
      </c>
      <c r="B16" s="179" t="str">
        <f>INPUT!B15</f>
        <v>2023-00532</v>
      </c>
      <c r="C16" s="179" t="str">
        <f>INPUT!C15</f>
        <v>CAPILI, SCHAN MARC STEVEN</v>
      </c>
      <c r="D16" s="87"/>
      <c r="E16" s="88"/>
      <c r="F16" s="88"/>
      <c r="G16" s="88"/>
      <c r="H16" s="88"/>
      <c r="I16" s="89" t="str">
        <f t="shared" si="0"/>
        <v/>
      </c>
      <c r="J16" s="57" t="str">
        <f t="shared" si="1"/>
        <v/>
      </c>
      <c r="K16" s="90" t="str">
        <f t="shared" si="2"/>
        <v/>
      </c>
      <c r="L16" s="87"/>
      <c r="M16" s="88"/>
      <c r="N16" s="88"/>
      <c r="O16" s="89" t="str">
        <f t="shared" si="3"/>
        <v/>
      </c>
      <c r="P16" s="57" t="str">
        <f t="shared" si="4"/>
        <v/>
      </c>
      <c r="Q16" s="90" t="str">
        <f t="shared" si="5"/>
        <v/>
      </c>
      <c r="R16" s="87"/>
      <c r="S16" s="88"/>
      <c r="T16" s="88"/>
      <c r="U16" s="89" t="str">
        <f t="shared" si="6"/>
        <v/>
      </c>
      <c r="V16" s="57" t="str">
        <f t="shared" si="7"/>
        <v/>
      </c>
      <c r="W16" s="90" t="str">
        <f t="shared" si="8"/>
        <v/>
      </c>
      <c r="X16" s="91" t="str">
        <f t="shared" si="13"/>
        <v/>
      </c>
      <c r="Y16" s="92" t="str">
        <f t="shared" si="14"/>
        <v/>
      </c>
      <c r="Z16" s="93" t="str">
        <f t="shared" si="9"/>
        <v/>
      </c>
      <c r="AB16" s="97" t="s">
        <v>156</v>
      </c>
      <c r="AC16" s="96">
        <f>R10</f>
        <v>0</v>
      </c>
      <c r="AD16" s="96">
        <f>S10</f>
        <v>0</v>
      </c>
      <c r="AE16" s="96">
        <f>T10</f>
        <v>0</v>
      </c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41"/>
      <c r="AT16" s="41" t="e">
        <f t="shared" si="10"/>
        <v>#DIV/0!</v>
      </c>
      <c r="AU16" s="41" t="e">
        <f t="shared" si="11"/>
        <v>#DIV/0!</v>
      </c>
      <c r="AV16" s="41" t="e">
        <f t="shared" si="12"/>
        <v>#DIV/0!</v>
      </c>
      <c r="AX16" s="6"/>
    </row>
    <row r="17" spans="1:50" ht="18" customHeight="1">
      <c r="A17" s="179">
        <f>INPUT!A16</f>
        <v>5</v>
      </c>
      <c r="B17" s="179" t="str">
        <f>INPUT!B16</f>
        <v>2022-00002</v>
      </c>
      <c r="C17" s="179" t="str">
        <f>INPUT!C16</f>
        <v>Cuizon, Cyril</v>
      </c>
      <c r="D17" s="87"/>
      <c r="E17" s="88"/>
      <c r="F17" s="88"/>
      <c r="G17" s="88"/>
      <c r="H17" s="88"/>
      <c r="I17" s="89" t="str">
        <f t="shared" si="0"/>
        <v/>
      </c>
      <c r="J17" s="57" t="str">
        <f t="shared" si="1"/>
        <v/>
      </c>
      <c r="K17" s="90" t="str">
        <f t="shared" si="2"/>
        <v/>
      </c>
      <c r="L17" s="87"/>
      <c r="M17" s="88"/>
      <c r="N17" s="88"/>
      <c r="O17" s="89" t="str">
        <f t="shared" si="3"/>
        <v/>
      </c>
      <c r="P17" s="57" t="str">
        <f t="shared" si="4"/>
        <v/>
      </c>
      <c r="Q17" s="90" t="str">
        <f t="shared" si="5"/>
        <v/>
      </c>
      <c r="R17" s="87"/>
      <c r="S17" s="88"/>
      <c r="T17" s="88"/>
      <c r="U17" s="89" t="str">
        <f t="shared" si="6"/>
        <v/>
      </c>
      <c r="V17" s="57" t="str">
        <f t="shared" si="7"/>
        <v/>
      </c>
      <c r="W17" s="90" t="str">
        <f t="shared" si="8"/>
        <v/>
      </c>
      <c r="X17" s="91" t="str">
        <f t="shared" si="13"/>
        <v/>
      </c>
      <c r="Y17" s="92" t="str">
        <f t="shared" si="14"/>
        <v/>
      </c>
      <c r="Z17" s="93" t="str">
        <f t="shared" si="9"/>
        <v/>
      </c>
      <c r="AB17" s="98"/>
      <c r="AC17" s="98"/>
      <c r="AD17" s="98"/>
      <c r="AE17" s="98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41"/>
      <c r="AT17" s="41" t="e">
        <f t="shared" si="10"/>
        <v>#DIV/0!</v>
      </c>
      <c r="AU17" s="41" t="e">
        <f t="shared" si="11"/>
        <v>#DIV/0!</v>
      </c>
      <c r="AV17" s="41" t="e">
        <f t="shared" si="12"/>
        <v>#DIV/0!</v>
      </c>
      <c r="AX17" s="6"/>
    </row>
    <row r="18" spans="1:50" ht="18" customHeight="1">
      <c r="A18" s="179">
        <f>INPUT!A17</f>
        <v>6</v>
      </c>
      <c r="B18" s="179" t="str">
        <f>INPUT!B17</f>
        <v>2022-00003</v>
      </c>
      <c r="C18" s="179" t="str">
        <f>INPUT!C17</f>
        <v>Deguiñon, Paul Jhon</v>
      </c>
      <c r="D18" s="87"/>
      <c r="E18" s="88"/>
      <c r="F18" s="88"/>
      <c r="G18" s="88"/>
      <c r="H18" s="88"/>
      <c r="I18" s="89" t="str">
        <f t="shared" si="0"/>
        <v/>
      </c>
      <c r="J18" s="57" t="str">
        <f t="shared" si="1"/>
        <v/>
      </c>
      <c r="K18" s="90" t="str">
        <f t="shared" si="2"/>
        <v/>
      </c>
      <c r="L18" s="87"/>
      <c r="M18" s="88"/>
      <c r="N18" s="88"/>
      <c r="O18" s="89" t="str">
        <f t="shared" si="3"/>
        <v/>
      </c>
      <c r="P18" s="57" t="str">
        <f t="shared" si="4"/>
        <v/>
      </c>
      <c r="Q18" s="90" t="str">
        <f t="shared" si="5"/>
        <v/>
      </c>
      <c r="R18" s="87"/>
      <c r="S18" s="88"/>
      <c r="T18" s="88"/>
      <c r="U18" s="89" t="str">
        <f t="shared" si="6"/>
        <v/>
      </c>
      <c r="V18" s="57" t="str">
        <f t="shared" si="7"/>
        <v/>
      </c>
      <c r="W18" s="90" t="str">
        <f t="shared" si="8"/>
        <v/>
      </c>
      <c r="X18" s="91" t="str">
        <f t="shared" si="13"/>
        <v/>
      </c>
      <c r="Y18" s="92" t="str">
        <f t="shared" si="14"/>
        <v/>
      </c>
      <c r="Z18" s="93" t="str">
        <f t="shared" si="9"/>
        <v/>
      </c>
      <c r="AB18" s="99" t="s">
        <v>157</v>
      </c>
      <c r="AC18" s="94" t="s">
        <v>135</v>
      </c>
      <c r="AD18" s="94" t="s">
        <v>136</v>
      </c>
      <c r="AE18" s="94" t="s">
        <v>137</v>
      </c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41"/>
      <c r="AT18" s="41" t="e">
        <f t="shared" si="10"/>
        <v>#DIV/0!</v>
      </c>
      <c r="AU18" s="41" t="e">
        <f t="shared" si="11"/>
        <v>#DIV/0!</v>
      </c>
      <c r="AV18" s="41" t="e">
        <f t="shared" si="12"/>
        <v>#DIV/0!</v>
      </c>
      <c r="AX18" s="6"/>
    </row>
    <row r="19" spans="1:50" ht="18" customHeight="1">
      <c r="A19" s="179">
        <f>INPUT!A18</f>
        <v>7</v>
      </c>
      <c r="B19" s="179" t="str">
        <f>INPUT!B18</f>
        <v>002026-000193</v>
      </c>
      <c r="C19" s="179" t="str">
        <f>INPUT!C18</f>
        <v>Dela Cruz, Juan</v>
      </c>
      <c r="D19" s="87"/>
      <c r="E19" s="88"/>
      <c r="F19" s="88"/>
      <c r="G19" s="88"/>
      <c r="H19" s="88"/>
      <c r="I19" s="89" t="str">
        <f t="shared" si="0"/>
        <v/>
      </c>
      <c r="J19" s="57" t="str">
        <f t="shared" si="1"/>
        <v/>
      </c>
      <c r="K19" s="90" t="str">
        <f t="shared" si="2"/>
        <v/>
      </c>
      <c r="L19" s="87"/>
      <c r="M19" s="88"/>
      <c r="N19" s="88"/>
      <c r="O19" s="89" t="str">
        <f t="shared" si="3"/>
        <v/>
      </c>
      <c r="P19" s="57" t="str">
        <f t="shared" si="4"/>
        <v/>
      </c>
      <c r="Q19" s="90" t="str">
        <f t="shared" si="5"/>
        <v/>
      </c>
      <c r="R19" s="87"/>
      <c r="S19" s="88"/>
      <c r="T19" s="88"/>
      <c r="U19" s="89" t="str">
        <f t="shared" si="6"/>
        <v/>
      </c>
      <c r="V19" s="57" t="str">
        <f t="shared" si="7"/>
        <v/>
      </c>
      <c r="W19" s="90" t="str">
        <f t="shared" si="8"/>
        <v/>
      </c>
      <c r="X19" s="91" t="str">
        <f t="shared" si="13"/>
        <v/>
      </c>
      <c r="Y19" s="92" t="str">
        <f t="shared" si="14"/>
        <v/>
      </c>
      <c r="Z19" s="93" t="str">
        <f t="shared" si="9"/>
        <v/>
      </c>
      <c r="AB19" s="100" t="s">
        <v>158</v>
      </c>
      <c r="AC19" s="101">
        <f>COUNTIF(AT13:AT116,"&gt;=75")</f>
        <v>0</v>
      </c>
      <c r="AD19" s="101">
        <f>COUNTIF(AU13:AU116,"&gt;=75")</f>
        <v>0</v>
      </c>
      <c r="AE19" s="101">
        <f>COUNTIF(AV13:AV116,"&gt;=75")</f>
        <v>0</v>
      </c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41"/>
      <c r="AT19" s="41" t="e">
        <f t="shared" si="10"/>
        <v>#DIV/0!</v>
      </c>
      <c r="AU19" s="41" t="e">
        <f t="shared" si="11"/>
        <v>#DIV/0!</v>
      </c>
      <c r="AV19" s="41" t="e">
        <f t="shared" si="12"/>
        <v>#DIV/0!</v>
      </c>
      <c r="AX19" s="6"/>
    </row>
    <row r="20" spans="1:50" ht="18" customHeight="1">
      <c r="A20" s="179">
        <f>INPUT!A19</f>
        <v>8</v>
      </c>
      <c r="B20" s="179" t="str">
        <f>INPUT!B19</f>
        <v>2022-00047</v>
      </c>
      <c r="C20" s="179" t="str">
        <f>INPUT!C19</f>
        <v>Dela Cruz, Stacey Samson</v>
      </c>
      <c r="D20" s="87"/>
      <c r="E20" s="88"/>
      <c r="F20" s="88"/>
      <c r="G20" s="88"/>
      <c r="H20" s="88"/>
      <c r="I20" s="89" t="str">
        <f t="shared" si="0"/>
        <v/>
      </c>
      <c r="J20" s="57" t="str">
        <f t="shared" si="1"/>
        <v/>
      </c>
      <c r="K20" s="90" t="str">
        <f t="shared" si="2"/>
        <v/>
      </c>
      <c r="L20" s="87"/>
      <c r="M20" s="88"/>
      <c r="N20" s="88"/>
      <c r="O20" s="89" t="str">
        <f t="shared" si="3"/>
        <v/>
      </c>
      <c r="P20" s="57" t="str">
        <f t="shared" si="4"/>
        <v/>
      </c>
      <c r="Q20" s="90" t="str">
        <f t="shared" si="5"/>
        <v/>
      </c>
      <c r="R20" s="87"/>
      <c r="S20" s="88"/>
      <c r="T20" s="88"/>
      <c r="U20" s="89" t="str">
        <f t="shared" si="6"/>
        <v/>
      </c>
      <c r="V20" s="57" t="str">
        <f t="shared" si="7"/>
        <v/>
      </c>
      <c r="W20" s="90" t="str">
        <f t="shared" si="8"/>
        <v/>
      </c>
      <c r="X20" s="91" t="str">
        <f t="shared" si="13"/>
        <v/>
      </c>
      <c r="Y20" s="92" t="str">
        <f t="shared" si="14"/>
        <v/>
      </c>
      <c r="Z20" s="93" t="str">
        <f t="shared" si="9"/>
        <v/>
      </c>
      <c r="AB20" s="100" t="s">
        <v>159</v>
      </c>
      <c r="AC20" s="102" t="str">
        <f>IFERROR(AC19/AC15,"")</f>
        <v/>
      </c>
      <c r="AD20" s="102" t="str">
        <f>IFERROR(AD19/AD15,"")</f>
        <v/>
      </c>
      <c r="AE20" s="102" t="str">
        <f>IFERROR(AE19/AE15,"")</f>
        <v/>
      </c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41"/>
      <c r="AT20" s="41" t="e">
        <f t="shared" si="10"/>
        <v>#DIV/0!</v>
      </c>
      <c r="AU20" s="41" t="e">
        <f t="shared" si="11"/>
        <v>#DIV/0!</v>
      </c>
      <c r="AV20" s="41" t="e">
        <f t="shared" si="12"/>
        <v>#DIV/0!</v>
      </c>
      <c r="AX20" s="6"/>
    </row>
    <row r="21" spans="1:50" ht="18" customHeight="1">
      <c r="A21" s="179">
        <f>INPUT!A20</f>
        <v>9</v>
      </c>
      <c r="B21" s="179" t="str">
        <f>INPUT!B20</f>
        <v>2023-00510</v>
      </c>
      <c r="C21" s="179" t="str">
        <f>INPUT!C20</f>
        <v>DURIAS, KIRK ADRIANE</v>
      </c>
      <c r="D21" s="87"/>
      <c r="E21" s="88"/>
      <c r="F21" s="88"/>
      <c r="G21" s="88"/>
      <c r="H21" s="88"/>
      <c r="I21" s="89" t="str">
        <f t="shared" si="0"/>
        <v/>
      </c>
      <c r="J21" s="57" t="str">
        <f t="shared" si="1"/>
        <v/>
      </c>
      <c r="K21" s="90" t="str">
        <f t="shared" si="2"/>
        <v/>
      </c>
      <c r="L21" s="87"/>
      <c r="M21" s="88"/>
      <c r="N21" s="88"/>
      <c r="O21" s="89" t="str">
        <f t="shared" si="3"/>
        <v/>
      </c>
      <c r="P21" s="57" t="str">
        <f t="shared" si="4"/>
        <v/>
      </c>
      <c r="Q21" s="90" t="str">
        <f t="shared" si="5"/>
        <v/>
      </c>
      <c r="R21" s="87"/>
      <c r="S21" s="88"/>
      <c r="T21" s="88"/>
      <c r="U21" s="89" t="str">
        <f t="shared" si="6"/>
        <v/>
      </c>
      <c r="V21" s="57" t="str">
        <f t="shared" si="7"/>
        <v/>
      </c>
      <c r="W21" s="90" t="str">
        <f t="shared" si="8"/>
        <v/>
      </c>
      <c r="X21" s="91" t="str">
        <f t="shared" si="13"/>
        <v/>
      </c>
      <c r="Y21" s="92" t="str">
        <f t="shared" si="14"/>
        <v/>
      </c>
      <c r="Z21" s="93" t="str">
        <f t="shared" si="9"/>
        <v/>
      </c>
      <c r="AB21" s="100" t="s">
        <v>160</v>
      </c>
      <c r="AC21" s="101">
        <f>AC15-AC19</f>
        <v>0</v>
      </c>
      <c r="AD21" s="101">
        <f>AD15-AD19</f>
        <v>0</v>
      </c>
      <c r="AE21" s="101">
        <f>AE15-AE19</f>
        <v>0</v>
      </c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41"/>
      <c r="AT21" s="41" t="e">
        <f t="shared" si="10"/>
        <v>#DIV/0!</v>
      </c>
      <c r="AU21" s="41" t="e">
        <f t="shared" si="11"/>
        <v>#DIV/0!</v>
      </c>
      <c r="AV21" s="41" t="e">
        <f t="shared" si="12"/>
        <v>#DIV/0!</v>
      </c>
      <c r="AX21" s="6"/>
    </row>
    <row r="22" spans="1:50" ht="18" customHeight="1">
      <c r="A22" s="179">
        <f>INPUT!A21</f>
        <v>10</v>
      </c>
      <c r="B22" s="179" t="str">
        <f>INPUT!B21</f>
        <v>2022-00005</v>
      </c>
      <c r="C22" s="179" t="str">
        <f>INPUT!C21</f>
        <v>Fernandez, Jhon Kenneth</v>
      </c>
      <c r="D22" s="87"/>
      <c r="E22" s="88"/>
      <c r="F22" s="88"/>
      <c r="G22" s="88"/>
      <c r="H22" s="88"/>
      <c r="I22" s="89" t="str">
        <f t="shared" si="0"/>
        <v/>
      </c>
      <c r="J22" s="57" t="str">
        <f t="shared" si="1"/>
        <v/>
      </c>
      <c r="K22" s="90" t="str">
        <f t="shared" si="2"/>
        <v/>
      </c>
      <c r="L22" s="87"/>
      <c r="M22" s="88"/>
      <c r="N22" s="88"/>
      <c r="O22" s="89" t="str">
        <f t="shared" si="3"/>
        <v/>
      </c>
      <c r="P22" s="57" t="str">
        <f t="shared" si="4"/>
        <v/>
      </c>
      <c r="Q22" s="90" t="str">
        <f t="shared" si="5"/>
        <v/>
      </c>
      <c r="R22" s="87"/>
      <c r="S22" s="88"/>
      <c r="T22" s="88"/>
      <c r="U22" s="89" t="str">
        <f t="shared" si="6"/>
        <v/>
      </c>
      <c r="V22" s="57" t="str">
        <f t="shared" si="7"/>
        <v/>
      </c>
      <c r="W22" s="90" t="str">
        <f t="shared" si="8"/>
        <v/>
      </c>
      <c r="X22" s="91" t="str">
        <f t="shared" si="13"/>
        <v/>
      </c>
      <c r="Y22" s="92" t="str">
        <f t="shared" si="14"/>
        <v/>
      </c>
      <c r="Z22" s="93" t="str">
        <f t="shared" si="9"/>
        <v/>
      </c>
      <c r="AB22" s="100" t="s">
        <v>159</v>
      </c>
      <c r="AC22" s="102" t="str">
        <f>IFERROR(1-AC20,"")</f>
        <v/>
      </c>
      <c r="AD22" s="102" t="str">
        <f>IFERROR(1-AD20,"")</f>
        <v/>
      </c>
      <c r="AE22" s="102" t="str">
        <f>IFERROR(1-AE20,"")</f>
        <v/>
      </c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41"/>
      <c r="AT22" s="41" t="e">
        <f t="shared" si="10"/>
        <v>#DIV/0!</v>
      </c>
      <c r="AU22" s="41" t="e">
        <f t="shared" si="11"/>
        <v>#DIV/0!</v>
      </c>
      <c r="AV22" s="41" t="e">
        <f t="shared" si="12"/>
        <v>#DIV/0!</v>
      </c>
      <c r="AX22" s="6"/>
    </row>
    <row r="23" spans="1:50" ht="18" customHeight="1">
      <c r="A23" s="179">
        <f>INPUT!A22</f>
        <v>11</v>
      </c>
      <c r="B23" s="179" t="str">
        <f>INPUT!B22</f>
        <v>2022-00006</v>
      </c>
      <c r="C23" s="179" t="str">
        <f>INPUT!C22</f>
        <v>Figueroa, John Rech</v>
      </c>
      <c r="D23" s="87"/>
      <c r="E23" s="88"/>
      <c r="F23" s="88"/>
      <c r="G23" s="88"/>
      <c r="H23" s="88"/>
      <c r="I23" s="89" t="str">
        <f t="shared" si="0"/>
        <v/>
      </c>
      <c r="J23" s="57" t="str">
        <f t="shared" si="1"/>
        <v/>
      </c>
      <c r="K23" s="90" t="str">
        <f t="shared" si="2"/>
        <v/>
      </c>
      <c r="L23" s="87"/>
      <c r="M23" s="88"/>
      <c r="N23" s="88"/>
      <c r="O23" s="89" t="str">
        <f t="shared" si="3"/>
        <v/>
      </c>
      <c r="P23" s="57" t="str">
        <f t="shared" si="4"/>
        <v/>
      </c>
      <c r="Q23" s="90" t="str">
        <f t="shared" si="5"/>
        <v/>
      </c>
      <c r="R23" s="87"/>
      <c r="S23" s="88"/>
      <c r="T23" s="88"/>
      <c r="U23" s="89" t="str">
        <f t="shared" si="6"/>
        <v/>
      </c>
      <c r="V23" s="57" t="str">
        <f t="shared" si="7"/>
        <v/>
      </c>
      <c r="W23" s="90" t="str">
        <f t="shared" si="8"/>
        <v/>
      </c>
      <c r="X23" s="91" t="str">
        <f t="shared" si="13"/>
        <v/>
      </c>
      <c r="Y23" s="92" t="str">
        <f t="shared" si="14"/>
        <v/>
      </c>
      <c r="Z23" s="93" t="str">
        <f t="shared" si="9"/>
        <v/>
      </c>
      <c r="AB23" s="98"/>
      <c r="AC23" s="98"/>
      <c r="AD23" s="98"/>
      <c r="AE23" s="98"/>
      <c r="AR23" s="48"/>
      <c r="AT23" s="41" t="e">
        <f t="shared" si="10"/>
        <v>#DIV/0!</v>
      </c>
      <c r="AU23" s="41" t="e">
        <f t="shared" si="11"/>
        <v>#DIV/0!</v>
      </c>
      <c r="AV23" s="41" t="e">
        <f t="shared" si="12"/>
        <v>#DIV/0!</v>
      </c>
      <c r="AX23" s="6"/>
    </row>
    <row r="24" spans="1:50" ht="18" customHeight="1">
      <c r="A24" s="179">
        <f>INPUT!A23</f>
        <v>12</v>
      </c>
      <c r="B24" s="179" t="str">
        <f>INPUT!B23</f>
        <v>2022-00007</v>
      </c>
      <c r="C24" s="179" t="str">
        <f>INPUT!C23</f>
        <v>Intes, TJ Philip</v>
      </c>
      <c r="D24" s="87"/>
      <c r="E24" s="88"/>
      <c r="F24" s="88"/>
      <c r="G24" s="88"/>
      <c r="H24" s="88"/>
      <c r="I24" s="89" t="str">
        <f t="shared" si="0"/>
        <v/>
      </c>
      <c r="J24" s="57" t="str">
        <f t="shared" si="1"/>
        <v/>
      </c>
      <c r="K24" s="90" t="str">
        <f t="shared" si="2"/>
        <v/>
      </c>
      <c r="L24" s="87"/>
      <c r="M24" s="88"/>
      <c r="N24" s="88"/>
      <c r="O24" s="89" t="str">
        <f t="shared" si="3"/>
        <v/>
      </c>
      <c r="P24" s="57" t="str">
        <f t="shared" si="4"/>
        <v/>
      </c>
      <c r="Q24" s="90" t="str">
        <f t="shared" si="5"/>
        <v/>
      </c>
      <c r="R24" s="87"/>
      <c r="S24" s="88"/>
      <c r="T24" s="88"/>
      <c r="U24" s="89" t="str">
        <f t="shared" si="6"/>
        <v/>
      </c>
      <c r="V24" s="57" t="str">
        <f t="shared" si="7"/>
        <v/>
      </c>
      <c r="W24" s="90" t="str">
        <f t="shared" si="8"/>
        <v/>
      </c>
      <c r="X24" s="91" t="str">
        <f t="shared" si="13"/>
        <v/>
      </c>
      <c r="Y24" s="92" t="str">
        <f t="shared" si="14"/>
        <v/>
      </c>
      <c r="Z24" s="93" t="str">
        <f t="shared" si="9"/>
        <v/>
      </c>
      <c r="AB24" s="99" t="s">
        <v>161</v>
      </c>
      <c r="AC24" s="94" t="s">
        <v>135</v>
      </c>
      <c r="AD24" s="94" t="s">
        <v>136</v>
      </c>
      <c r="AE24" s="94" t="s">
        <v>137</v>
      </c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3"/>
      <c r="AQ24" s="103"/>
      <c r="AR24" s="103"/>
      <c r="AS24" s="42"/>
      <c r="AT24" s="41" t="e">
        <f t="shared" si="10"/>
        <v>#DIV/0!</v>
      </c>
      <c r="AU24" s="41" t="e">
        <f t="shared" si="11"/>
        <v>#DIV/0!</v>
      </c>
      <c r="AV24" s="41" t="e">
        <f t="shared" si="12"/>
        <v>#DIV/0!</v>
      </c>
      <c r="AX24" s="6"/>
    </row>
    <row r="25" spans="1:50" ht="18" customHeight="1">
      <c r="A25" s="179">
        <f>INPUT!A24</f>
        <v>13</v>
      </c>
      <c r="B25" s="179" t="str">
        <f>INPUT!B24</f>
        <v>2022-00008</v>
      </c>
      <c r="C25" s="179" t="str">
        <f>INPUT!C24</f>
        <v>Jarabe, Andrei Anthony</v>
      </c>
      <c r="D25" s="87"/>
      <c r="E25" s="88"/>
      <c r="F25" s="88"/>
      <c r="G25" s="88"/>
      <c r="H25" s="88"/>
      <c r="I25" s="89" t="str">
        <f t="shared" si="0"/>
        <v/>
      </c>
      <c r="J25" s="57" t="str">
        <f t="shared" si="1"/>
        <v/>
      </c>
      <c r="K25" s="90" t="str">
        <f t="shared" si="2"/>
        <v/>
      </c>
      <c r="L25" s="87"/>
      <c r="M25" s="88"/>
      <c r="N25" s="88"/>
      <c r="O25" s="89" t="str">
        <f t="shared" si="3"/>
        <v/>
      </c>
      <c r="P25" s="57" t="str">
        <f t="shared" si="4"/>
        <v/>
      </c>
      <c r="Q25" s="90" t="str">
        <f t="shared" si="5"/>
        <v/>
      </c>
      <c r="R25" s="87"/>
      <c r="S25" s="88"/>
      <c r="T25" s="88"/>
      <c r="U25" s="89" t="str">
        <f t="shared" si="6"/>
        <v/>
      </c>
      <c r="V25" s="57" t="str">
        <f t="shared" si="7"/>
        <v/>
      </c>
      <c r="W25" s="90" t="str">
        <f t="shared" si="8"/>
        <v/>
      </c>
      <c r="X25" s="91" t="str">
        <f t="shared" si="13"/>
        <v/>
      </c>
      <c r="Y25" s="92" t="str">
        <f t="shared" si="14"/>
        <v/>
      </c>
      <c r="Z25" s="93" t="str">
        <f t="shared" si="9"/>
        <v/>
      </c>
      <c r="AB25" s="100" t="s">
        <v>162</v>
      </c>
      <c r="AC25" s="104" t="str">
        <f>IFERROR(AVERAGE(R13:R116),"")</f>
        <v/>
      </c>
      <c r="AD25" s="104" t="str">
        <f>IFERROR(AVERAGE(S13:S116),"")</f>
        <v/>
      </c>
      <c r="AE25" s="104" t="str">
        <f>IFERROR(AVERAGE(T13:T116),"")</f>
        <v/>
      </c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42"/>
      <c r="AT25" s="41" t="e">
        <f t="shared" si="10"/>
        <v>#DIV/0!</v>
      </c>
      <c r="AU25" s="41" t="e">
        <f t="shared" si="11"/>
        <v>#DIV/0!</v>
      </c>
      <c r="AV25" s="41" t="e">
        <f t="shared" si="12"/>
        <v>#DIV/0!</v>
      </c>
      <c r="AX25" s="6"/>
    </row>
    <row r="26" spans="1:50" ht="18" customHeight="1">
      <c r="A26" s="179">
        <f>INPUT!A25</f>
        <v>14</v>
      </c>
      <c r="B26" s="179" t="str">
        <f>INPUT!B25</f>
        <v>2022-00012</v>
      </c>
      <c r="C26" s="179" t="str">
        <f>INPUT!C25</f>
        <v>Mumar, Terence Hunter</v>
      </c>
      <c r="D26" s="87"/>
      <c r="E26" s="88"/>
      <c r="F26" s="88"/>
      <c r="G26" s="88"/>
      <c r="H26" s="88"/>
      <c r="I26" s="89" t="str">
        <f t="shared" si="0"/>
        <v/>
      </c>
      <c r="J26" s="57" t="str">
        <f t="shared" si="1"/>
        <v/>
      </c>
      <c r="K26" s="90" t="str">
        <f t="shared" si="2"/>
        <v/>
      </c>
      <c r="L26" s="87"/>
      <c r="M26" s="88"/>
      <c r="N26" s="88"/>
      <c r="O26" s="89" t="str">
        <f t="shared" si="3"/>
        <v/>
      </c>
      <c r="P26" s="57" t="str">
        <f t="shared" si="4"/>
        <v/>
      </c>
      <c r="Q26" s="90" t="str">
        <f t="shared" si="5"/>
        <v/>
      </c>
      <c r="R26" s="87"/>
      <c r="S26" s="88"/>
      <c r="T26" s="88"/>
      <c r="U26" s="89" t="str">
        <f t="shared" si="6"/>
        <v/>
      </c>
      <c r="V26" s="57" t="str">
        <f t="shared" si="7"/>
        <v/>
      </c>
      <c r="W26" s="90" t="str">
        <f t="shared" si="8"/>
        <v/>
      </c>
      <c r="X26" s="91" t="str">
        <f t="shared" si="13"/>
        <v/>
      </c>
      <c r="Y26" s="92" t="str">
        <f t="shared" si="14"/>
        <v/>
      </c>
      <c r="Z26" s="93" t="str">
        <f t="shared" si="9"/>
        <v/>
      </c>
      <c r="AB26" s="100" t="s">
        <v>163</v>
      </c>
      <c r="AC26" s="104" t="str">
        <f>IFERROR(MEDIAN(R13:R116),"")</f>
        <v/>
      </c>
      <c r="AD26" s="104" t="str">
        <f>IFERROR(MEDIAN(S13:S116),"")</f>
        <v/>
      </c>
      <c r="AE26" s="104" t="str">
        <f>IFERROR(MEDIAN(T13:T116),"")</f>
        <v/>
      </c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3"/>
      <c r="AQ26" s="103"/>
      <c r="AR26" s="103"/>
      <c r="AS26" s="42"/>
      <c r="AT26" s="41" t="e">
        <f t="shared" si="10"/>
        <v>#DIV/0!</v>
      </c>
      <c r="AU26" s="41" t="e">
        <f t="shared" si="11"/>
        <v>#DIV/0!</v>
      </c>
      <c r="AV26" s="41" t="e">
        <f t="shared" si="12"/>
        <v>#DIV/0!</v>
      </c>
      <c r="AX26" s="6"/>
    </row>
    <row r="27" spans="1:50" ht="18" customHeight="1">
      <c r="A27" s="179">
        <f>INPUT!A26</f>
        <v>15</v>
      </c>
      <c r="B27" s="179" t="str">
        <f>INPUT!B26</f>
        <v>2022-00013</v>
      </c>
      <c r="C27" s="179" t="str">
        <f>INPUT!C26</f>
        <v>Narita, JD Ariel</v>
      </c>
      <c r="D27" s="87"/>
      <c r="E27" s="88"/>
      <c r="F27" s="88"/>
      <c r="G27" s="88"/>
      <c r="H27" s="88"/>
      <c r="I27" s="89" t="str">
        <f t="shared" si="0"/>
        <v/>
      </c>
      <c r="J27" s="57" t="str">
        <f t="shared" si="1"/>
        <v/>
      </c>
      <c r="K27" s="90" t="str">
        <f t="shared" si="2"/>
        <v/>
      </c>
      <c r="L27" s="87"/>
      <c r="M27" s="88"/>
      <c r="N27" s="88"/>
      <c r="O27" s="89" t="str">
        <f t="shared" si="3"/>
        <v/>
      </c>
      <c r="P27" s="57" t="str">
        <f t="shared" si="4"/>
        <v/>
      </c>
      <c r="Q27" s="90" t="str">
        <f t="shared" si="5"/>
        <v/>
      </c>
      <c r="R27" s="87"/>
      <c r="S27" s="88"/>
      <c r="T27" s="88"/>
      <c r="U27" s="89" t="str">
        <f t="shared" si="6"/>
        <v/>
      </c>
      <c r="V27" s="57" t="str">
        <f t="shared" si="7"/>
        <v/>
      </c>
      <c r="W27" s="90" t="str">
        <f t="shared" si="8"/>
        <v/>
      </c>
      <c r="X27" s="91" t="str">
        <f t="shared" si="13"/>
        <v/>
      </c>
      <c r="Y27" s="92" t="str">
        <f t="shared" si="14"/>
        <v/>
      </c>
      <c r="Z27" s="93" t="str">
        <f t="shared" si="9"/>
        <v/>
      </c>
      <c r="AB27" s="100" t="s">
        <v>164</v>
      </c>
      <c r="AC27" s="104" t="str">
        <f>IFERROR(_xlfn.STDEV.S(R13:R116),"")</f>
        <v/>
      </c>
      <c r="AD27" s="104" t="e">
        <f>_xlfn.STDEV.S(S13:S116)</f>
        <v>#DIV/0!</v>
      </c>
      <c r="AE27" s="104" t="e">
        <f>_xlfn.STDEV.S(T13:T116)</f>
        <v>#DIV/0!</v>
      </c>
      <c r="AR27" s="48"/>
      <c r="AT27" s="41" t="e">
        <f t="shared" si="10"/>
        <v>#DIV/0!</v>
      </c>
      <c r="AU27" s="41" t="e">
        <f t="shared" si="11"/>
        <v>#DIV/0!</v>
      </c>
      <c r="AV27" s="41" t="e">
        <f t="shared" si="12"/>
        <v>#DIV/0!</v>
      </c>
      <c r="AX27" s="6"/>
    </row>
    <row r="28" spans="1:50" ht="18" customHeight="1">
      <c r="A28" s="179">
        <f>INPUT!A27</f>
        <v>16</v>
      </c>
      <c r="B28" s="179" t="str">
        <f>INPUT!B27</f>
        <v>2022-00014</v>
      </c>
      <c r="C28" s="179" t="str">
        <f>INPUT!C27</f>
        <v>Ofngol, Prince Ryder</v>
      </c>
      <c r="D28" s="87"/>
      <c r="E28" s="88"/>
      <c r="F28" s="88"/>
      <c r="G28" s="88"/>
      <c r="H28" s="88"/>
      <c r="I28" s="89" t="str">
        <f t="shared" si="0"/>
        <v/>
      </c>
      <c r="J28" s="57" t="str">
        <f t="shared" si="1"/>
        <v/>
      </c>
      <c r="K28" s="90" t="str">
        <f t="shared" si="2"/>
        <v/>
      </c>
      <c r="L28" s="87"/>
      <c r="M28" s="88"/>
      <c r="N28" s="88"/>
      <c r="O28" s="89" t="str">
        <f t="shared" si="3"/>
        <v/>
      </c>
      <c r="P28" s="57" t="str">
        <f t="shared" si="4"/>
        <v/>
      </c>
      <c r="Q28" s="90" t="str">
        <f t="shared" si="5"/>
        <v/>
      </c>
      <c r="R28" s="87"/>
      <c r="S28" s="88"/>
      <c r="T28" s="88"/>
      <c r="U28" s="89" t="str">
        <f t="shared" si="6"/>
        <v/>
      </c>
      <c r="V28" s="57" t="str">
        <f t="shared" si="7"/>
        <v/>
      </c>
      <c r="W28" s="90" t="str">
        <f t="shared" si="8"/>
        <v/>
      </c>
      <c r="X28" s="91" t="str">
        <f t="shared" si="13"/>
        <v/>
      </c>
      <c r="Y28" s="92" t="str">
        <f t="shared" si="14"/>
        <v/>
      </c>
      <c r="Z28" s="93" t="str">
        <f t="shared" si="9"/>
        <v/>
      </c>
      <c r="AB28" s="100" t="s">
        <v>165</v>
      </c>
      <c r="AC28" s="102" t="str">
        <f>IFERROR(AC25/AC16,"")</f>
        <v/>
      </c>
      <c r="AD28" s="102" t="str">
        <f>IFERROR(AD25/AD16,"")</f>
        <v/>
      </c>
      <c r="AE28" s="102" t="str">
        <f>IFERROR(AE25/AE16,"")</f>
        <v/>
      </c>
      <c r="AR28" s="48"/>
      <c r="AT28" s="41" t="e">
        <f t="shared" si="10"/>
        <v>#DIV/0!</v>
      </c>
      <c r="AU28" s="41" t="e">
        <f t="shared" si="11"/>
        <v>#DIV/0!</v>
      </c>
      <c r="AV28" s="41" t="e">
        <f t="shared" si="12"/>
        <v>#DIV/0!</v>
      </c>
      <c r="AX28" s="6"/>
    </row>
    <row r="29" spans="1:50" ht="18" customHeight="1">
      <c r="A29" s="179">
        <f>INPUT!A28</f>
        <v>17</v>
      </c>
      <c r="B29" s="179" t="str">
        <f>INPUT!B28</f>
        <v>2022-00015</v>
      </c>
      <c r="C29" s="179" t="str">
        <f>INPUT!C28</f>
        <v>Pañega, Roland Josh</v>
      </c>
      <c r="D29" s="87"/>
      <c r="E29" s="88"/>
      <c r="F29" s="88"/>
      <c r="G29" s="88"/>
      <c r="H29" s="88"/>
      <c r="I29" s="89" t="str">
        <f t="shared" si="0"/>
        <v/>
      </c>
      <c r="J29" s="57" t="str">
        <f t="shared" si="1"/>
        <v/>
      </c>
      <c r="K29" s="90" t="str">
        <f t="shared" si="2"/>
        <v/>
      </c>
      <c r="L29" s="87"/>
      <c r="M29" s="88"/>
      <c r="N29" s="88"/>
      <c r="O29" s="89" t="str">
        <f t="shared" si="3"/>
        <v/>
      </c>
      <c r="P29" s="57" t="str">
        <f t="shared" si="4"/>
        <v/>
      </c>
      <c r="Q29" s="90" t="str">
        <f t="shared" si="5"/>
        <v/>
      </c>
      <c r="R29" s="87"/>
      <c r="S29" s="88"/>
      <c r="T29" s="88"/>
      <c r="U29" s="89" t="str">
        <f t="shared" si="6"/>
        <v/>
      </c>
      <c r="V29" s="57" t="str">
        <f t="shared" si="7"/>
        <v/>
      </c>
      <c r="W29" s="90" t="str">
        <f t="shared" si="8"/>
        <v/>
      </c>
      <c r="X29" s="91" t="str">
        <f t="shared" si="13"/>
        <v/>
      </c>
      <c r="Y29" s="92" t="str">
        <f t="shared" si="14"/>
        <v/>
      </c>
      <c r="Z29" s="93" t="str">
        <f t="shared" si="9"/>
        <v/>
      </c>
      <c r="AB29" s="6"/>
      <c r="AC29" s="6"/>
      <c r="AD29" s="6"/>
      <c r="AE29" s="6"/>
      <c r="AR29" s="48"/>
      <c r="AT29" s="41" t="e">
        <f t="shared" si="10"/>
        <v>#DIV/0!</v>
      </c>
      <c r="AU29" s="41" t="e">
        <f t="shared" si="11"/>
        <v>#DIV/0!</v>
      </c>
      <c r="AV29" s="41" t="e">
        <f t="shared" si="12"/>
        <v>#DIV/0!</v>
      </c>
      <c r="AX29" s="6"/>
    </row>
    <row r="30" spans="1:50" ht="18" customHeight="1">
      <c r="A30" s="179">
        <f>INPUT!A29</f>
        <v>18</v>
      </c>
      <c r="B30" s="179" t="str">
        <f>INPUT!B29</f>
        <v>2022-00018</v>
      </c>
      <c r="C30" s="179" t="str">
        <f>INPUT!C29</f>
        <v>Sayson, Aianne Anthony</v>
      </c>
      <c r="D30" s="87"/>
      <c r="E30" s="88"/>
      <c r="F30" s="88"/>
      <c r="G30" s="88"/>
      <c r="H30" s="88"/>
      <c r="I30" s="89" t="str">
        <f t="shared" si="0"/>
        <v/>
      </c>
      <c r="J30" s="57" t="str">
        <f t="shared" si="1"/>
        <v/>
      </c>
      <c r="K30" s="90" t="str">
        <f t="shared" si="2"/>
        <v/>
      </c>
      <c r="L30" s="87"/>
      <c r="M30" s="88"/>
      <c r="N30" s="88"/>
      <c r="O30" s="89" t="str">
        <f t="shared" si="3"/>
        <v/>
      </c>
      <c r="P30" s="57" t="str">
        <f t="shared" si="4"/>
        <v/>
      </c>
      <c r="Q30" s="90" t="str">
        <f t="shared" si="5"/>
        <v/>
      </c>
      <c r="R30" s="87"/>
      <c r="S30" s="88"/>
      <c r="T30" s="88"/>
      <c r="U30" s="89" t="str">
        <f t="shared" si="6"/>
        <v/>
      </c>
      <c r="V30" s="57" t="str">
        <f t="shared" si="7"/>
        <v/>
      </c>
      <c r="W30" s="90" t="str">
        <f t="shared" si="8"/>
        <v/>
      </c>
      <c r="X30" s="91" t="str">
        <f t="shared" si="13"/>
        <v/>
      </c>
      <c r="Y30" s="92" t="str">
        <f t="shared" si="14"/>
        <v/>
      </c>
      <c r="Z30" s="93" t="str">
        <f t="shared" si="9"/>
        <v/>
      </c>
      <c r="AB30" s="99" t="s">
        <v>166</v>
      </c>
      <c r="AC30" s="94" t="s">
        <v>135</v>
      </c>
      <c r="AD30" s="94" t="s">
        <v>136</v>
      </c>
      <c r="AE30" s="94" t="s">
        <v>137</v>
      </c>
      <c r="AR30" s="48"/>
      <c r="AT30" s="41" t="e">
        <f t="shared" si="10"/>
        <v>#DIV/0!</v>
      </c>
      <c r="AU30" s="41" t="e">
        <f t="shared" si="11"/>
        <v>#DIV/0!</v>
      </c>
      <c r="AV30" s="41" t="e">
        <f t="shared" si="12"/>
        <v>#DIV/0!</v>
      </c>
      <c r="AX30" s="6"/>
    </row>
    <row r="31" spans="1:50" ht="18" customHeight="1">
      <c r="A31" s="179">
        <f>INPUT!A30</f>
        <v>19</v>
      </c>
      <c r="B31" s="179" t="str">
        <f>INPUT!B30</f>
        <v>2022-00019</v>
      </c>
      <c r="C31" s="179" t="str">
        <f>INPUT!C30</f>
        <v>Vestidas, Rique Mart</v>
      </c>
      <c r="D31" s="87"/>
      <c r="E31" s="88"/>
      <c r="F31" s="88"/>
      <c r="G31" s="88"/>
      <c r="H31" s="88"/>
      <c r="I31" s="89" t="str">
        <f t="shared" si="0"/>
        <v/>
      </c>
      <c r="J31" s="57" t="str">
        <f t="shared" si="1"/>
        <v/>
      </c>
      <c r="K31" s="90" t="str">
        <f t="shared" si="2"/>
        <v/>
      </c>
      <c r="L31" s="87"/>
      <c r="M31" s="88"/>
      <c r="N31" s="88"/>
      <c r="O31" s="89" t="str">
        <f t="shared" si="3"/>
        <v/>
      </c>
      <c r="P31" s="57" t="str">
        <f t="shared" si="4"/>
        <v/>
      </c>
      <c r="Q31" s="90" t="str">
        <f t="shared" si="5"/>
        <v/>
      </c>
      <c r="R31" s="87"/>
      <c r="S31" s="88"/>
      <c r="T31" s="88"/>
      <c r="U31" s="89" t="str">
        <f t="shared" si="6"/>
        <v/>
      </c>
      <c r="V31" s="57" t="str">
        <f t="shared" si="7"/>
        <v/>
      </c>
      <c r="W31" s="90" t="str">
        <f t="shared" si="8"/>
        <v/>
      </c>
      <c r="X31" s="91" t="str">
        <f t="shared" si="13"/>
        <v/>
      </c>
      <c r="Y31" s="92" t="str">
        <f t="shared" si="14"/>
        <v/>
      </c>
      <c r="Z31" s="93" t="str">
        <f t="shared" si="9"/>
        <v/>
      </c>
      <c r="AB31" s="100" t="s">
        <v>167</v>
      </c>
      <c r="AC31" s="105" t="str">
        <f>IF(COUNTA(R13:R116)=0,"",MAX(R13:R116))</f>
        <v/>
      </c>
      <c r="AD31" s="105" t="str">
        <f>IF(COUNTA(S13:S116)=0,"",MAX(S13:S116))</f>
        <v/>
      </c>
      <c r="AE31" s="105" t="str">
        <f>IF(COUNTA(T13:T116)=0,"",MAX(T13:T116))</f>
        <v/>
      </c>
      <c r="AR31" s="48"/>
      <c r="AT31" s="41" t="e">
        <f t="shared" si="10"/>
        <v>#DIV/0!</v>
      </c>
      <c r="AU31" s="41" t="e">
        <f t="shared" si="11"/>
        <v>#DIV/0!</v>
      </c>
      <c r="AV31" s="41" t="e">
        <f t="shared" si="12"/>
        <v>#DIV/0!</v>
      </c>
      <c r="AX31" s="6"/>
    </row>
    <row r="32" spans="1:50" ht="18" customHeight="1">
      <c r="A32" s="179">
        <f>INPUT!A31</f>
        <v>20</v>
      </c>
      <c r="B32" s="179" t="str">
        <f>INPUT!B31</f>
        <v>2023-00512</v>
      </c>
      <c r="C32" s="179" t="str">
        <f>INPUT!C31</f>
        <v>WENCESLAO, EC WHISTLER</v>
      </c>
      <c r="D32" s="87"/>
      <c r="E32" s="88"/>
      <c r="F32" s="88"/>
      <c r="G32" s="88"/>
      <c r="H32" s="88"/>
      <c r="I32" s="89" t="str">
        <f t="shared" si="0"/>
        <v/>
      </c>
      <c r="J32" s="57" t="str">
        <f t="shared" si="1"/>
        <v/>
      </c>
      <c r="K32" s="90" t="str">
        <f t="shared" si="2"/>
        <v/>
      </c>
      <c r="L32" s="87"/>
      <c r="M32" s="88"/>
      <c r="N32" s="88"/>
      <c r="O32" s="89" t="str">
        <f t="shared" si="3"/>
        <v/>
      </c>
      <c r="P32" s="57" t="str">
        <f t="shared" si="4"/>
        <v/>
      </c>
      <c r="Q32" s="90" t="str">
        <f t="shared" si="5"/>
        <v/>
      </c>
      <c r="R32" s="87"/>
      <c r="S32" s="88"/>
      <c r="T32" s="88"/>
      <c r="U32" s="89" t="str">
        <f t="shared" si="6"/>
        <v/>
      </c>
      <c r="V32" s="57" t="str">
        <f t="shared" si="7"/>
        <v/>
      </c>
      <c r="W32" s="90" t="str">
        <f t="shared" si="8"/>
        <v/>
      </c>
      <c r="X32" s="91" t="str">
        <f t="shared" si="13"/>
        <v/>
      </c>
      <c r="Y32" s="92" t="str">
        <f t="shared" si="14"/>
        <v/>
      </c>
      <c r="Z32" s="93" t="str">
        <f t="shared" si="9"/>
        <v/>
      </c>
      <c r="AB32" s="100" t="s">
        <v>168</v>
      </c>
      <c r="AC32" s="105" t="str">
        <f>IF(COUNTA(R13:R116)=0,"",MIN(R13:R116))</f>
        <v/>
      </c>
      <c r="AD32" s="105" t="str">
        <f>IF(COUNTA(S13:S116)=0,"",MIN(S13:S116))</f>
        <v/>
      </c>
      <c r="AE32" s="105" t="str">
        <f>IF(COUNTA(T13:T116)=0,"",MIN(T13:T116))</f>
        <v/>
      </c>
      <c r="AR32" s="48"/>
      <c r="AT32" s="41" t="e">
        <f t="shared" si="10"/>
        <v>#DIV/0!</v>
      </c>
      <c r="AU32" s="41" t="e">
        <f t="shared" si="11"/>
        <v>#DIV/0!</v>
      </c>
      <c r="AV32" s="41" t="e">
        <f t="shared" si="12"/>
        <v>#DIV/0!</v>
      </c>
      <c r="AX32" s="6"/>
    </row>
    <row r="33" spans="1:50" ht="18" customHeight="1">
      <c r="A33" s="179">
        <f>INPUT!A32</f>
        <v>0</v>
      </c>
      <c r="B33" s="179">
        <f>INPUT!B32</f>
        <v>0</v>
      </c>
      <c r="C33" s="179">
        <f>INPUT!C32</f>
        <v>0</v>
      </c>
      <c r="D33" s="87"/>
      <c r="E33" s="88"/>
      <c r="F33" s="88"/>
      <c r="G33" s="88"/>
      <c r="H33" s="88"/>
      <c r="I33" s="89" t="str">
        <f t="shared" si="0"/>
        <v/>
      </c>
      <c r="J33" s="57" t="str">
        <f t="shared" si="1"/>
        <v/>
      </c>
      <c r="K33" s="90" t="str">
        <f t="shared" si="2"/>
        <v/>
      </c>
      <c r="L33" s="87"/>
      <c r="M33" s="88"/>
      <c r="N33" s="88"/>
      <c r="O33" s="89" t="str">
        <f t="shared" si="3"/>
        <v/>
      </c>
      <c r="P33" s="57" t="str">
        <f t="shared" si="4"/>
        <v/>
      </c>
      <c r="Q33" s="90" t="str">
        <f t="shared" si="5"/>
        <v/>
      </c>
      <c r="R33" s="87"/>
      <c r="S33" s="88"/>
      <c r="T33" s="88"/>
      <c r="U33" s="89" t="str">
        <f t="shared" si="6"/>
        <v/>
      </c>
      <c r="V33" s="57" t="str">
        <f t="shared" si="7"/>
        <v/>
      </c>
      <c r="W33" s="90" t="str">
        <f t="shared" si="8"/>
        <v/>
      </c>
      <c r="X33" s="91" t="str">
        <f t="shared" si="13"/>
        <v/>
      </c>
      <c r="Y33" s="92" t="str">
        <f t="shared" si="14"/>
        <v/>
      </c>
      <c r="Z33" s="93" t="str">
        <f t="shared" si="9"/>
        <v/>
      </c>
      <c r="AB33" s="100" t="s">
        <v>169</v>
      </c>
      <c r="AC33" s="105" t="str">
        <f>IF(COUNTA(R13:R116)=0,"",SUM(R13:R116))</f>
        <v/>
      </c>
      <c r="AD33" s="105" t="str">
        <f>IF(COUNTA(S13:S116)=0,"",SUM(S13:S116))</f>
        <v/>
      </c>
      <c r="AE33" s="105" t="str">
        <f>IF(COUNTA(T13:T116)=0,"",SUM(T13:T116))</f>
        <v/>
      </c>
      <c r="AR33" s="48"/>
      <c r="AT33" s="41" t="e">
        <f t="shared" si="10"/>
        <v>#DIV/0!</v>
      </c>
      <c r="AU33" s="41" t="e">
        <f t="shared" si="11"/>
        <v>#DIV/0!</v>
      </c>
      <c r="AV33" s="41" t="e">
        <f t="shared" si="12"/>
        <v>#DIV/0!</v>
      </c>
      <c r="AX33" s="6"/>
    </row>
    <row r="34" spans="1:50" ht="18" customHeight="1">
      <c r="A34" s="179">
        <f>INPUT!A33</f>
        <v>0</v>
      </c>
      <c r="B34" s="179">
        <f>INPUT!B33</f>
        <v>0</v>
      </c>
      <c r="C34" s="179">
        <f>INPUT!C33</f>
        <v>0</v>
      </c>
      <c r="D34" s="87"/>
      <c r="E34" s="88"/>
      <c r="F34" s="88"/>
      <c r="G34" s="88"/>
      <c r="H34" s="88"/>
      <c r="I34" s="89" t="str">
        <f t="shared" si="0"/>
        <v/>
      </c>
      <c r="J34" s="57" t="str">
        <f t="shared" si="1"/>
        <v/>
      </c>
      <c r="K34" s="90" t="str">
        <f t="shared" si="2"/>
        <v/>
      </c>
      <c r="L34" s="87"/>
      <c r="M34" s="88"/>
      <c r="N34" s="88"/>
      <c r="O34" s="89" t="str">
        <f t="shared" si="3"/>
        <v/>
      </c>
      <c r="P34" s="57" t="str">
        <f t="shared" si="4"/>
        <v/>
      </c>
      <c r="Q34" s="90" t="str">
        <f t="shared" si="5"/>
        <v/>
      </c>
      <c r="R34" s="87"/>
      <c r="S34" s="88"/>
      <c r="T34" s="88"/>
      <c r="U34" s="89" t="str">
        <f t="shared" si="6"/>
        <v/>
      </c>
      <c r="V34" s="57" t="str">
        <f t="shared" si="7"/>
        <v/>
      </c>
      <c r="W34" s="90" t="str">
        <f t="shared" si="8"/>
        <v/>
      </c>
      <c r="X34" s="91" t="str">
        <f t="shared" si="13"/>
        <v/>
      </c>
      <c r="Y34" s="92" t="str">
        <f t="shared" si="14"/>
        <v/>
      </c>
      <c r="Z34" s="93" t="str">
        <f t="shared" si="9"/>
        <v/>
      </c>
      <c r="AB34" s="2"/>
      <c r="AC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6"/>
      <c r="AT34" s="41" t="e">
        <f t="shared" si="10"/>
        <v>#DIV/0!</v>
      </c>
      <c r="AU34" s="41" t="e">
        <f t="shared" si="11"/>
        <v>#DIV/0!</v>
      </c>
      <c r="AV34" s="41" t="e">
        <f t="shared" si="12"/>
        <v>#DIV/0!</v>
      </c>
      <c r="AX34" s="6"/>
    </row>
    <row r="35" spans="1:50" ht="18" customHeight="1">
      <c r="A35" s="179">
        <f>INPUT!A34</f>
        <v>0</v>
      </c>
      <c r="B35" s="179">
        <f>INPUT!B34</f>
        <v>0</v>
      </c>
      <c r="C35" s="179">
        <f>INPUT!C34</f>
        <v>0</v>
      </c>
      <c r="D35" s="87"/>
      <c r="E35" s="88"/>
      <c r="F35" s="88"/>
      <c r="G35" s="88"/>
      <c r="H35" s="88"/>
      <c r="I35" s="89" t="str">
        <f t="shared" si="0"/>
        <v/>
      </c>
      <c r="J35" s="57" t="str">
        <f t="shared" si="1"/>
        <v/>
      </c>
      <c r="K35" s="90" t="str">
        <f t="shared" si="2"/>
        <v/>
      </c>
      <c r="L35" s="87"/>
      <c r="M35" s="88"/>
      <c r="N35" s="88"/>
      <c r="O35" s="89" t="str">
        <f t="shared" si="3"/>
        <v/>
      </c>
      <c r="P35" s="57" t="str">
        <f t="shared" si="4"/>
        <v/>
      </c>
      <c r="Q35" s="90" t="str">
        <f t="shared" si="5"/>
        <v/>
      </c>
      <c r="R35" s="87"/>
      <c r="S35" s="88"/>
      <c r="T35" s="88"/>
      <c r="U35" s="89" t="str">
        <f t="shared" si="6"/>
        <v/>
      </c>
      <c r="V35" s="57" t="str">
        <f t="shared" si="7"/>
        <v/>
      </c>
      <c r="W35" s="90" t="str">
        <f t="shared" si="8"/>
        <v/>
      </c>
      <c r="X35" s="91" t="str">
        <f t="shared" si="13"/>
        <v/>
      </c>
      <c r="Y35" s="92" t="str">
        <f t="shared" si="14"/>
        <v/>
      </c>
      <c r="Z35" s="93" t="str">
        <f t="shared" si="9"/>
        <v/>
      </c>
      <c r="AB35" s="2"/>
      <c r="AC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6"/>
      <c r="AT35" s="41" t="e">
        <f t="shared" si="10"/>
        <v>#DIV/0!</v>
      </c>
      <c r="AU35" s="41" t="e">
        <f t="shared" si="11"/>
        <v>#DIV/0!</v>
      </c>
      <c r="AV35" s="41" t="e">
        <f t="shared" si="12"/>
        <v>#DIV/0!</v>
      </c>
      <c r="AX35" s="6"/>
    </row>
    <row r="36" spans="1:50" ht="18" customHeight="1">
      <c r="A36" s="179">
        <f>INPUT!A35</f>
        <v>0</v>
      </c>
      <c r="B36" s="179">
        <f>INPUT!B35</f>
        <v>0</v>
      </c>
      <c r="C36" s="179">
        <f>INPUT!C35</f>
        <v>0</v>
      </c>
      <c r="D36" s="87"/>
      <c r="E36" s="88"/>
      <c r="F36" s="88"/>
      <c r="G36" s="88"/>
      <c r="H36" s="88"/>
      <c r="I36" s="89" t="str">
        <f t="shared" si="0"/>
        <v/>
      </c>
      <c r="J36" s="57" t="str">
        <f t="shared" si="1"/>
        <v/>
      </c>
      <c r="K36" s="90" t="str">
        <f t="shared" si="2"/>
        <v/>
      </c>
      <c r="L36" s="87"/>
      <c r="M36" s="88"/>
      <c r="N36" s="88"/>
      <c r="O36" s="89" t="str">
        <f t="shared" si="3"/>
        <v/>
      </c>
      <c r="P36" s="57" t="str">
        <f t="shared" si="4"/>
        <v/>
      </c>
      <c r="Q36" s="90" t="str">
        <f t="shared" si="5"/>
        <v/>
      </c>
      <c r="R36" s="87"/>
      <c r="S36" s="88"/>
      <c r="T36" s="88"/>
      <c r="U36" s="89" t="str">
        <f t="shared" si="6"/>
        <v/>
      </c>
      <c r="V36" s="57" t="str">
        <f t="shared" si="7"/>
        <v/>
      </c>
      <c r="W36" s="90" t="str">
        <f t="shared" si="8"/>
        <v/>
      </c>
      <c r="X36" s="91" t="str">
        <f t="shared" si="13"/>
        <v/>
      </c>
      <c r="Y36" s="92" t="str">
        <f t="shared" si="14"/>
        <v/>
      </c>
      <c r="Z36" s="93" t="str">
        <f t="shared" si="9"/>
        <v/>
      </c>
      <c r="AB36" s="2"/>
      <c r="AC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6"/>
      <c r="AT36" s="41" t="e">
        <f t="shared" si="10"/>
        <v>#DIV/0!</v>
      </c>
      <c r="AU36" s="41" t="e">
        <f t="shared" si="11"/>
        <v>#DIV/0!</v>
      </c>
      <c r="AV36" s="41" t="e">
        <f t="shared" si="12"/>
        <v>#DIV/0!</v>
      </c>
      <c r="AX36" s="6"/>
    </row>
    <row r="37" spans="1:50" ht="18" customHeight="1">
      <c r="A37" s="179">
        <f>INPUT!A36</f>
        <v>0</v>
      </c>
      <c r="B37" s="179">
        <f>INPUT!B36</f>
        <v>0</v>
      </c>
      <c r="C37" s="179">
        <f>INPUT!C36</f>
        <v>0</v>
      </c>
      <c r="D37" s="87"/>
      <c r="E37" s="88"/>
      <c r="F37" s="88"/>
      <c r="G37" s="88"/>
      <c r="H37" s="88"/>
      <c r="I37" s="89" t="str">
        <f t="shared" si="0"/>
        <v/>
      </c>
      <c r="J37" s="57" t="str">
        <f t="shared" si="1"/>
        <v/>
      </c>
      <c r="K37" s="90" t="str">
        <f t="shared" si="2"/>
        <v/>
      </c>
      <c r="L37" s="87"/>
      <c r="M37" s="88"/>
      <c r="N37" s="88"/>
      <c r="O37" s="89" t="str">
        <f t="shared" si="3"/>
        <v/>
      </c>
      <c r="P37" s="57" t="str">
        <f t="shared" si="4"/>
        <v/>
      </c>
      <c r="Q37" s="90" t="str">
        <f t="shared" si="5"/>
        <v/>
      </c>
      <c r="R37" s="87"/>
      <c r="S37" s="88"/>
      <c r="T37" s="88"/>
      <c r="U37" s="89" t="str">
        <f t="shared" si="6"/>
        <v/>
      </c>
      <c r="V37" s="57" t="str">
        <f t="shared" si="7"/>
        <v/>
      </c>
      <c r="W37" s="90" t="str">
        <f t="shared" si="8"/>
        <v/>
      </c>
      <c r="X37" s="91" t="str">
        <f t="shared" si="13"/>
        <v/>
      </c>
      <c r="Y37" s="92" t="str">
        <f t="shared" si="14"/>
        <v/>
      </c>
      <c r="Z37" s="93" t="str">
        <f t="shared" si="9"/>
        <v/>
      </c>
      <c r="AB37" s="2"/>
      <c r="AC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6"/>
      <c r="AT37" s="41" t="e">
        <f t="shared" si="10"/>
        <v>#DIV/0!</v>
      </c>
      <c r="AU37" s="41" t="e">
        <f t="shared" si="11"/>
        <v>#DIV/0!</v>
      </c>
      <c r="AV37" s="41" t="e">
        <f t="shared" si="12"/>
        <v>#DIV/0!</v>
      </c>
      <c r="AX37" s="6"/>
    </row>
    <row r="38" spans="1:50" ht="18" customHeight="1">
      <c r="A38" s="179">
        <f>INPUT!A37</f>
        <v>0</v>
      </c>
      <c r="B38" s="179">
        <f>INPUT!B37</f>
        <v>0</v>
      </c>
      <c r="C38" s="179">
        <f>INPUT!C37</f>
        <v>0</v>
      </c>
      <c r="D38" s="87"/>
      <c r="E38" s="88"/>
      <c r="F38" s="88"/>
      <c r="G38" s="88"/>
      <c r="H38" s="88"/>
      <c r="I38" s="89" t="str">
        <f t="shared" si="0"/>
        <v/>
      </c>
      <c r="J38" s="57" t="str">
        <f t="shared" si="1"/>
        <v/>
      </c>
      <c r="K38" s="90" t="str">
        <f t="shared" si="2"/>
        <v/>
      </c>
      <c r="L38" s="87"/>
      <c r="M38" s="88"/>
      <c r="N38" s="88"/>
      <c r="O38" s="89" t="str">
        <f t="shared" si="3"/>
        <v/>
      </c>
      <c r="P38" s="57" t="str">
        <f t="shared" si="4"/>
        <v/>
      </c>
      <c r="Q38" s="90" t="str">
        <f t="shared" si="5"/>
        <v/>
      </c>
      <c r="R38" s="87"/>
      <c r="S38" s="88"/>
      <c r="T38" s="88"/>
      <c r="U38" s="89" t="str">
        <f t="shared" si="6"/>
        <v/>
      </c>
      <c r="V38" s="57" t="str">
        <f t="shared" si="7"/>
        <v/>
      </c>
      <c r="W38" s="90" t="str">
        <f t="shared" si="8"/>
        <v/>
      </c>
      <c r="X38" s="91" t="str">
        <f t="shared" si="13"/>
        <v/>
      </c>
      <c r="Y38" s="92" t="str">
        <f t="shared" si="14"/>
        <v/>
      </c>
      <c r="Z38" s="93" t="str">
        <f t="shared" si="9"/>
        <v/>
      </c>
      <c r="AB38" s="2"/>
      <c r="AC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6"/>
      <c r="AT38" s="41" t="e">
        <f t="shared" si="10"/>
        <v>#DIV/0!</v>
      </c>
      <c r="AU38" s="41" t="e">
        <f t="shared" si="11"/>
        <v>#DIV/0!</v>
      </c>
      <c r="AV38" s="41" t="e">
        <f t="shared" si="12"/>
        <v>#DIV/0!</v>
      </c>
      <c r="AX38" s="6"/>
    </row>
    <row r="39" spans="1:50" ht="18" customHeight="1">
      <c r="A39" s="179">
        <f>INPUT!A38</f>
        <v>0</v>
      </c>
      <c r="B39" s="179">
        <f>INPUT!B38</f>
        <v>0</v>
      </c>
      <c r="C39" s="179">
        <f>INPUT!C38</f>
        <v>0</v>
      </c>
      <c r="D39" s="87"/>
      <c r="E39" s="88"/>
      <c r="F39" s="88"/>
      <c r="G39" s="88"/>
      <c r="H39" s="88"/>
      <c r="I39" s="89" t="str">
        <f t="shared" si="0"/>
        <v/>
      </c>
      <c r="J39" s="57" t="str">
        <f t="shared" si="1"/>
        <v/>
      </c>
      <c r="K39" s="90" t="str">
        <f t="shared" si="2"/>
        <v/>
      </c>
      <c r="L39" s="87"/>
      <c r="M39" s="88"/>
      <c r="N39" s="88"/>
      <c r="O39" s="89" t="str">
        <f t="shared" si="3"/>
        <v/>
      </c>
      <c r="P39" s="57" t="str">
        <f t="shared" si="4"/>
        <v/>
      </c>
      <c r="Q39" s="90" t="str">
        <f t="shared" si="5"/>
        <v/>
      </c>
      <c r="R39" s="87"/>
      <c r="S39" s="88"/>
      <c r="T39" s="88"/>
      <c r="U39" s="89" t="str">
        <f t="shared" si="6"/>
        <v/>
      </c>
      <c r="V39" s="57" t="str">
        <f t="shared" si="7"/>
        <v/>
      </c>
      <c r="W39" s="90" t="str">
        <f t="shared" si="8"/>
        <v/>
      </c>
      <c r="X39" s="91" t="str">
        <f t="shared" si="13"/>
        <v/>
      </c>
      <c r="Y39" s="92" t="str">
        <f t="shared" si="14"/>
        <v/>
      </c>
      <c r="Z39" s="93" t="str">
        <f t="shared" si="9"/>
        <v/>
      </c>
      <c r="AB39" s="2"/>
      <c r="AC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6"/>
      <c r="AT39" s="41" t="e">
        <f t="shared" si="10"/>
        <v>#DIV/0!</v>
      </c>
      <c r="AU39" s="41" t="e">
        <f t="shared" si="11"/>
        <v>#DIV/0!</v>
      </c>
      <c r="AV39" s="41" t="e">
        <f t="shared" si="12"/>
        <v>#DIV/0!</v>
      </c>
      <c r="AX39" s="6"/>
    </row>
    <row r="40" spans="1:50" ht="18" customHeight="1">
      <c r="A40" s="179">
        <f>INPUT!A39</f>
        <v>0</v>
      </c>
      <c r="B40" s="179">
        <f>INPUT!B39</f>
        <v>0</v>
      </c>
      <c r="C40" s="179">
        <f>INPUT!C39</f>
        <v>0</v>
      </c>
      <c r="D40" s="87"/>
      <c r="E40" s="88"/>
      <c r="F40" s="88"/>
      <c r="G40" s="88"/>
      <c r="H40" s="88"/>
      <c r="I40" s="89" t="str">
        <f t="shared" si="0"/>
        <v/>
      </c>
      <c r="J40" s="57" t="str">
        <f t="shared" si="1"/>
        <v/>
      </c>
      <c r="K40" s="90" t="str">
        <f t="shared" si="2"/>
        <v/>
      </c>
      <c r="L40" s="87"/>
      <c r="M40" s="88"/>
      <c r="N40" s="88"/>
      <c r="O40" s="89" t="str">
        <f t="shared" si="3"/>
        <v/>
      </c>
      <c r="P40" s="57" t="str">
        <f t="shared" si="4"/>
        <v/>
      </c>
      <c r="Q40" s="90" t="str">
        <f t="shared" si="5"/>
        <v/>
      </c>
      <c r="R40" s="87"/>
      <c r="S40" s="88"/>
      <c r="T40" s="88"/>
      <c r="U40" s="89" t="str">
        <f t="shared" si="6"/>
        <v/>
      </c>
      <c r="V40" s="57" t="str">
        <f t="shared" si="7"/>
        <v/>
      </c>
      <c r="W40" s="90" t="str">
        <f t="shared" si="8"/>
        <v/>
      </c>
      <c r="X40" s="91" t="str">
        <f t="shared" si="13"/>
        <v/>
      </c>
      <c r="Y40" s="92" t="str">
        <f t="shared" si="14"/>
        <v/>
      </c>
      <c r="Z40" s="93" t="str">
        <f t="shared" si="9"/>
        <v/>
      </c>
      <c r="AB40" s="2"/>
      <c r="AC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6"/>
      <c r="AT40" s="41" t="e">
        <f t="shared" si="10"/>
        <v>#DIV/0!</v>
      </c>
      <c r="AU40" s="41" t="e">
        <f t="shared" si="11"/>
        <v>#DIV/0!</v>
      </c>
      <c r="AV40" s="41" t="e">
        <f t="shared" si="12"/>
        <v>#DIV/0!</v>
      </c>
      <c r="AX40" s="6"/>
    </row>
    <row r="41" spans="1:50" ht="18" customHeight="1">
      <c r="A41" s="179">
        <f>INPUT!A40</f>
        <v>0</v>
      </c>
      <c r="B41" s="179">
        <f>INPUT!B40</f>
        <v>0</v>
      </c>
      <c r="C41" s="179">
        <f>INPUT!C40</f>
        <v>0</v>
      </c>
      <c r="D41" s="87"/>
      <c r="E41" s="88"/>
      <c r="F41" s="88"/>
      <c r="G41" s="88"/>
      <c r="H41" s="88"/>
      <c r="I41" s="89" t="str">
        <f t="shared" si="0"/>
        <v/>
      </c>
      <c r="J41" s="57" t="str">
        <f t="shared" si="1"/>
        <v/>
      </c>
      <c r="K41" s="90" t="str">
        <f t="shared" si="2"/>
        <v/>
      </c>
      <c r="L41" s="87"/>
      <c r="M41" s="88"/>
      <c r="N41" s="88"/>
      <c r="O41" s="89" t="str">
        <f t="shared" si="3"/>
        <v/>
      </c>
      <c r="P41" s="57" t="str">
        <f t="shared" si="4"/>
        <v/>
      </c>
      <c r="Q41" s="90" t="str">
        <f t="shared" si="5"/>
        <v/>
      </c>
      <c r="R41" s="87"/>
      <c r="S41" s="88"/>
      <c r="T41" s="88"/>
      <c r="U41" s="89" t="str">
        <f t="shared" si="6"/>
        <v/>
      </c>
      <c r="V41" s="57" t="str">
        <f t="shared" si="7"/>
        <v/>
      </c>
      <c r="W41" s="90" t="str">
        <f t="shared" si="8"/>
        <v/>
      </c>
      <c r="X41" s="91" t="str">
        <f t="shared" si="13"/>
        <v/>
      </c>
      <c r="Y41" s="92" t="str">
        <f t="shared" si="14"/>
        <v/>
      </c>
      <c r="Z41" s="93" t="str">
        <f t="shared" si="9"/>
        <v/>
      </c>
      <c r="AB41" s="2"/>
      <c r="AC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6"/>
      <c r="AT41" s="41" t="e">
        <f t="shared" si="10"/>
        <v>#DIV/0!</v>
      </c>
      <c r="AU41" s="41" t="e">
        <f t="shared" si="11"/>
        <v>#DIV/0!</v>
      </c>
      <c r="AV41" s="41" t="e">
        <f t="shared" si="12"/>
        <v>#DIV/0!</v>
      </c>
      <c r="AX41" s="6"/>
    </row>
    <row r="42" spans="1:50" ht="18" customHeight="1">
      <c r="A42" s="179">
        <f>INPUT!A41</f>
        <v>0</v>
      </c>
      <c r="B42" s="179">
        <f>INPUT!B41</f>
        <v>0</v>
      </c>
      <c r="C42" s="179">
        <f>INPUT!C41</f>
        <v>0</v>
      </c>
      <c r="D42" s="87"/>
      <c r="E42" s="88"/>
      <c r="F42" s="88"/>
      <c r="G42" s="88"/>
      <c r="H42" s="88"/>
      <c r="I42" s="89" t="str">
        <f t="shared" si="0"/>
        <v/>
      </c>
      <c r="J42" s="57" t="str">
        <f t="shared" si="1"/>
        <v/>
      </c>
      <c r="K42" s="90" t="str">
        <f t="shared" si="2"/>
        <v/>
      </c>
      <c r="L42" s="87"/>
      <c r="M42" s="88"/>
      <c r="N42" s="88"/>
      <c r="O42" s="89" t="str">
        <f t="shared" si="3"/>
        <v/>
      </c>
      <c r="P42" s="57" t="str">
        <f t="shared" si="4"/>
        <v/>
      </c>
      <c r="Q42" s="90" t="str">
        <f t="shared" si="5"/>
        <v/>
      </c>
      <c r="R42" s="87"/>
      <c r="S42" s="88"/>
      <c r="T42" s="88"/>
      <c r="U42" s="89" t="str">
        <f t="shared" si="6"/>
        <v/>
      </c>
      <c r="V42" s="57" t="str">
        <f t="shared" si="7"/>
        <v/>
      </c>
      <c r="W42" s="90" t="str">
        <f t="shared" si="8"/>
        <v/>
      </c>
      <c r="X42" s="91" t="str">
        <f t="shared" si="13"/>
        <v/>
      </c>
      <c r="Y42" s="92" t="str">
        <f t="shared" si="14"/>
        <v/>
      </c>
      <c r="Z42" s="93" t="str">
        <f t="shared" si="9"/>
        <v/>
      </c>
      <c r="AB42" s="2"/>
      <c r="AC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6"/>
      <c r="AT42" s="41" t="e">
        <f t="shared" si="10"/>
        <v>#DIV/0!</v>
      </c>
      <c r="AU42" s="41" t="e">
        <f t="shared" si="11"/>
        <v>#DIV/0!</v>
      </c>
      <c r="AV42" s="41" t="e">
        <f t="shared" si="12"/>
        <v>#DIV/0!</v>
      </c>
      <c r="AX42" s="6"/>
    </row>
    <row r="43" spans="1:50" ht="18" customHeight="1">
      <c r="A43" s="179">
        <f>INPUT!A42</f>
        <v>0</v>
      </c>
      <c r="B43" s="179">
        <f>INPUT!B42</f>
        <v>0</v>
      </c>
      <c r="C43" s="179">
        <f>INPUT!C42</f>
        <v>0</v>
      </c>
      <c r="D43" s="87"/>
      <c r="E43" s="88"/>
      <c r="F43" s="88"/>
      <c r="G43" s="88"/>
      <c r="H43" s="88"/>
      <c r="I43" s="89" t="str">
        <f t="shared" si="0"/>
        <v/>
      </c>
      <c r="J43" s="57" t="str">
        <f t="shared" si="1"/>
        <v/>
      </c>
      <c r="K43" s="90" t="str">
        <f t="shared" si="2"/>
        <v/>
      </c>
      <c r="L43" s="87"/>
      <c r="M43" s="88"/>
      <c r="N43" s="88"/>
      <c r="O43" s="89" t="str">
        <f t="shared" si="3"/>
        <v/>
      </c>
      <c r="P43" s="57" t="str">
        <f t="shared" si="4"/>
        <v/>
      </c>
      <c r="Q43" s="90" t="str">
        <f t="shared" si="5"/>
        <v/>
      </c>
      <c r="R43" s="87"/>
      <c r="S43" s="88"/>
      <c r="T43" s="88"/>
      <c r="U43" s="89" t="str">
        <f t="shared" si="6"/>
        <v/>
      </c>
      <c r="V43" s="57" t="str">
        <f t="shared" si="7"/>
        <v/>
      </c>
      <c r="W43" s="90" t="str">
        <f t="shared" si="8"/>
        <v/>
      </c>
      <c r="X43" s="91" t="str">
        <f t="shared" si="13"/>
        <v/>
      </c>
      <c r="Y43" s="92" t="str">
        <f t="shared" si="14"/>
        <v/>
      </c>
      <c r="Z43" s="93" t="str">
        <f t="shared" si="9"/>
        <v/>
      </c>
      <c r="AB43" s="2"/>
      <c r="AC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6"/>
      <c r="AT43" s="41" t="e">
        <f t="shared" si="10"/>
        <v>#DIV/0!</v>
      </c>
      <c r="AU43" s="41" t="e">
        <f t="shared" si="11"/>
        <v>#DIV/0!</v>
      </c>
      <c r="AV43" s="41" t="e">
        <f t="shared" si="12"/>
        <v>#DIV/0!</v>
      </c>
      <c r="AX43" s="6"/>
    </row>
    <row r="44" spans="1:50" ht="18" customHeight="1">
      <c r="A44" s="179">
        <f>INPUT!A43</f>
        <v>0</v>
      </c>
      <c r="B44" s="179">
        <f>INPUT!B43</f>
        <v>0</v>
      </c>
      <c r="C44" s="179">
        <f>INPUT!C43</f>
        <v>0</v>
      </c>
      <c r="D44" s="87"/>
      <c r="E44" s="88"/>
      <c r="F44" s="88"/>
      <c r="G44" s="88"/>
      <c r="H44" s="88"/>
      <c r="I44" s="89" t="str">
        <f t="shared" si="0"/>
        <v/>
      </c>
      <c r="J44" s="57" t="str">
        <f t="shared" si="1"/>
        <v/>
      </c>
      <c r="K44" s="90" t="str">
        <f t="shared" si="2"/>
        <v/>
      </c>
      <c r="L44" s="87"/>
      <c r="M44" s="88"/>
      <c r="N44" s="88"/>
      <c r="O44" s="89" t="str">
        <f t="shared" si="3"/>
        <v/>
      </c>
      <c r="P44" s="57" t="str">
        <f t="shared" si="4"/>
        <v/>
      </c>
      <c r="Q44" s="90" t="str">
        <f t="shared" si="5"/>
        <v/>
      </c>
      <c r="R44" s="87"/>
      <c r="S44" s="88"/>
      <c r="T44" s="88"/>
      <c r="U44" s="89" t="str">
        <f t="shared" si="6"/>
        <v/>
      </c>
      <c r="V44" s="57" t="str">
        <f t="shared" si="7"/>
        <v/>
      </c>
      <c r="W44" s="90" t="str">
        <f t="shared" si="8"/>
        <v/>
      </c>
      <c r="X44" s="91" t="str">
        <f t="shared" si="13"/>
        <v/>
      </c>
      <c r="Y44" s="92" t="str">
        <f t="shared" si="14"/>
        <v/>
      </c>
      <c r="Z44" s="93" t="str">
        <f t="shared" si="9"/>
        <v/>
      </c>
      <c r="AB44" s="2"/>
      <c r="AC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6"/>
      <c r="AT44" s="41" t="e">
        <f t="shared" si="10"/>
        <v>#DIV/0!</v>
      </c>
      <c r="AU44" s="41" t="e">
        <f t="shared" si="11"/>
        <v>#DIV/0!</v>
      </c>
      <c r="AV44" s="41" t="e">
        <f t="shared" si="12"/>
        <v>#DIV/0!</v>
      </c>
      <c r="AX44" s="6"/>
    </row>
    <row r="45" spans="1:50" ht="18" customHeight="1">
      <c r="A45" s="179">
        <f>INPUT!A44</f>
        <v>0</v>
      </c>
      <c r="B45" s="179">
        <f>INPUT!B44</f>
        <v>0</v>
      </c>
      <c r="C45" s="179">
        <f>INPUT!C44</f>
        <v>0</v>
      </c>
      <c r="D45" s="87"/>
      <c r="E45" s="88"/>
      <c r="F45" s="88"/>
      <c r="G45" s="88"/>
      <c r="H45" s="88"/>
      <c r="I45" s="89" t="str">
        <f t="shared" ref="I45:I62" si="15">IF(COUNT($D45:$H45)=0,"",SUM($D45:$H45))</f>
        <v/>
      </c>
      <c r="J45" s="57" t="str">
        <f t="shared" ref="J45:J62" si="16">IF(ISERROR(IF($I45="","",ROUND(($I45/$I$10)*$J$10,2))),"",IF($I45="","",ROUND(($I45/$I$10)*$J$10,2)))</f>
        <v/>
      </c>
      <c r="K45" s="90" t="str">
        <f t="shared" ref="K45:K62" si="17">IF($J45="","",ROUND($J45*$K$10,2))</f>
        <v/>
      </c>
      <c r="L45" s="87"/>
      <c r="M45" s="88"/>
      <c r="N45" s="88"/>
      <c r="O45" s="89" t="str">
        <f t="shared" ref="O45:O62" si="18">IF(COUNT($L45:$N45)=0,"",SUM($L45:$N45))</f>
        <v/>
      </c>
      <c r="P45" s="57" t="str">
        <f t="shared" ref="P45:P62" si="19">IF(ISERROR(IF($O45="","",ROUND(($O45/$O$10)*$P$10,2))),"",IF($O45="","",ROUND(($O45/$O$10)*$P$10,2)))</f>
        <v/>
      </c>
      <c r="Q45" s="90" t="str">
        <f t="shared" ref="Q45:Q62" si="20">IF($P45="","",ROUND($P45*$Q$10,2))</f>
        <v/>
      </c>
      <c r="R45" s="87"/>
      <c r="S45" s="88"/>
      <c r="T45" s="88"/>
      <c r="U45" s="89" t="str">
        <f t="shared" ref="U45:U62" si="21">IF(COUNT($R45:$T45)=0,"",SUM($R45:$T45))</f>
        <v/>
      </c>
      <c r="V45" s="57" t="str">
        <f t="shared" ref="V45:V62" si="22">IF(ISERROR(IF($U45="","",ROUND(($U45/$U$10)*$V$10,2))),"",IF($U45="","",ROUND(($U45/$U$10)*$V$10,2)))</f>
        <v/>
      </c>
      <c r="W45" s="90" t="str">
        <f t="shared" ref="W45:W62" si="23">IF($V45="","",ROUND($V45*$W$10,2))</f>
        <v/>
      </c>
      <c r="X45" s="91" t="str">
        <f t="shared" si="13"/>
        <v/>
      </c>
      <c r="Y45" s="92" t="str">
        <f t="shared" si="14"/>
        <v/>
      </c>
      <c r="Z45" s="93" t="str">
        <f t="shared" ref="Z45:Z76" si="24">IF(ISERROR(IF(Y45="","",VLOOKUP(Y45,DESCRIPTORS,4,TRUE))),"",IF(Y45="","",VLOOKUP(Y45,DESCRIPTORS,4,TRUE)))</f>
        <v/>
      </c>
      <c r="AB45" s="2"/>
      <c r="AC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6"/>
      <c r="AT45" s="41" t="e">
        <f t="shared" ref="AT45:AT62" si="25">(R45/$R$10)*100</f>
        <v>#DIV/0!</v>
      </c>
      <c r="AU45" s="41" t="e">
        <f t="shared" ref="AU45:AU62" si="26">(S45/$S$10)*100</f>
        <v>#DIV/0!</v>
      </c>
      <c r="AV45" s="41" t="e">
        <f t="shared" ref="AV45:AV62" si="27">(T45/$T$10)*100</f>
        <v>#DIV/0!</v>
      </c>
      <c r="AX45" s="6"/>
    </row>
    <row r="46" spans="1:50" ht="18" customHeight="1">
      <c r="A46" s="179">
        <f>INPUT!A45</f>
        <v>0</v>
      </c>
      <c r="B46" s="179">
        <f>INPUT!B45</f>
        <v>0</v>
      </c>
      <c r="C46" s="179">
        <f>INPUT!C45</f>
        <v>0</v>
      </c>
      <c r="D46" s="87"/>
      <c r="E46" s="88"/>
      <c r="F46" s="88"/>
      <c r="G46" s="88"/>
      <c r="H46" s="88"/>
      <c r="I46" s="89" t="str">
        <f t="shared" si="15"/>
        <v/>
      </c>
      <c r="J46" s="57" t="str">
        <f t="shared" si="16"/>
        <v/>
      </c>
      <c r="K46" s="90" t="str">
        <f t="shared" si="17"/>
        <v/>
      </c>
      <c r="L46" s="87"/>
      <c r="M46" s="88"/>
      <c r="N46" s="88"/>
      <c r="O46" s="89" t="str">
        <f t="shared" si="18"/>
        <v/>
      </c>
      <c r="P46" s="57" t="str">
        <f t="shared" si="19"/>
        <v/>
      </c>
      <c r="Q46" s="90" t="str">
        <f t="shared" si="20"/>
        <v/>
      </c>
      <c r="R46" s="87"/>
      <c r="S46" s="88"/>
      <c r="T46" s="88"/>
      <c r="U46" s="89" t="str">
        <f t="shared" si="21"/>
        <v/>
      </c>
      <c r="V46" s="57" t="str">
        <f t="shared" si="22"/>
        <v/>
      </c>
      <c r="W46" s="90" t="str">
        <f t="shared" si="23"/>
        <v/>
      </c>
      <c r="X46" s="91" t="str">
        <f t="shared" ref="X46:X62" si="28">IF(ISERROR(IF($T46="","",ROUND(SUM($K46,$Q46,$W46),2))),"",IF($T46="","",ROUND(SUM($K46,$Q46,$W46),2)))</f>
        <v/>
      </c>
      <c r="Y46" s="92" t="str">
        <f t="shared" ref="Y46:Y77" si="29">IF(ISERROR(IF($T46="","",VLOOKUP(X46,NewTransmu,4,TRUE))),"",IF($T46="","",VLOOKUP(X46,NewTransmu,4,TRUE)))</f>
        <v/>
      </c>
      <c r="Z46" s="93" t="str">
        <f t="shared" si="24"/>
        <v/>
      </c>
      <c r="AB46" s="2"/>
      <c r="AC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6"/>
      <c r="AT46" s="41" t="e">
        <f t="shared" si="25"/>
        <v>#DIV/0!</v>
      </c>
      <c r="AU46" s="41" t="e">
        <f t="shared" si="26"/>
        <v>#DIV/0!</v>
      </c>
      <c r="AV46" s="41" t="e">
        <f t="shared" si="27"/>
        <v>#DIV/0!</v>
      </c>
      <c r="AX46" s="6"/>
    </row>
    <row r="47" spans="1:50" ht="18" customHeight="1">
      <c r="A47" s="179">
        <f>INPUT!A46</f>
        <v>0</v>
      </c>
      <c r="B47" s="179">
        <f>INPUT!B46</f>
        <v>0</v>
      </c>
      <c r="C47" s="179">
        <f>INPUT!C46</f>
        <v>0</v>
      </c>
      <c r="D47" s="87"/>
      <c r="E47" s="88"/>
      <c r="F47" s="88"/>
      <c r="G47" s="88"/>
      <c r="H47" s="88"/>
      <c r="I47" s="89" t="str">
        <f t="shared" si="15"/>
        <v/>
      </c>
      <c r="J47" s="57" t="str">
        <f t="shared" si="16"/>
        <v/>
      </c>
      <c r="K47" s="90" t="str">
        <f t="shared" si="17"/>
        <v/>
      </c>
      <c r="L47" s="87"/>
      <c r="M47" s="88"/>
      <c r="N47" s="88"/>
      <c r="O47" s="89" t="str">
        <f t="shared" si="18"/>
        <v/>
      </c>
      <c r="P47" s="57" t="str">
        <f t="shared" si="19"/>
        <v/>
      </c>
      <c r="Q47" s="90" t="str">
        <f t="shared" si="20"/>
        <v/>
      </c>
      <c r="R47" s="87"/>
      <c r="S47" s="88"/>
      <c r="T47" s="88"/>
      <c r="U47" s="89" t="str">
        <f t="shared" si="21"/>
        <v/>
      </c>
      <c r="V47" s="57" t="str">
        <f t="shared" si="22"/>
        <v/>
      </c>
      <c r="W47" s="90" t="str">
        <f t="shared" si="23"/>
        <v/>
      </c>
      <c r="X47" s="91" t="str">
        <f t="shared" si="28"/>
        <v/>
      </c>
      <c r="Y47" s="92" t="str">
        <f t="shared" si="29"/>
        <v/>
      </c>
      <c r="Z47" s="93" t="str">
        <f t="shared" si="24"/>
        <v/>
      </c>
      <c r="AB47" s="2"/>
      <c r="AC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6"/>
      <c r="AT47" s="41" t="e">
        <f t="shared" si="25"/>
        <v>#DIV/0!</v>
      </c>
      <c r="AU47" s="41" t="e">
        <f t="shared" si="26"/>
        <v>#DIV/0!</v>
      </c>
      <c r="AV47" s="41" t="e">
        <f t="shared" si="27"/>
        <v>#DIV/0!</v>
      </c>
      <c r="AX47" s="6"/>
    </row>
    <row r="48" spans="1:50" ht="18" customHeight="1">
      <c r="A48" s="179">
        <f>INPUT!A47</f>
        <v>0</v>
      </c>
      <c r="B48" s="179">
        <f>INPUT!B47</f>
        <v>0</v>
      </c>
      <c r="C48" s="179">
        <f>INPUT!C47</f>
        <v>0</v>
      </c>
      <c r="D48" s="87"/>
      <c r="E48" s="88"/>
      <c r="F48" s="88"/>
      <c r="G48" s="88"/>
      <c r="H48" s="88"/>
      <c r="I48" s="89" t="str">
        <f t="shared" si="15"/>
        <v/>
      </c>
      <c r="J48" s="57" t="str">
        <f t="shared" si="16"/>
        <v/>
      </c>
      <c r="K48" s="90" t="str">
        <f t="shared" si="17"/>
        <v/>
      </c>
      <c r="L48" s="87"/>
      <c r="M48" s="88"/>
      <c r="N48" s="88"/>
      <c r="O48" s="89" t="str">
        <f t="shared" si="18"/>
        <v/>
      </c>
      <c r="P48" s="57" t="str">
        <f t="shared" si="19"/>
        <v/>
      </c>
      <c r="Q48" s="90" t="str">
        <f t="shared" si="20"/>
        <v/>
      </c>
      <c r="R48" s="87"/>
      <c r="S48" s="88"/>
      <c r="T48" s="88"/>
      <c r="U48" s="89" t="str">
        <f t="shared" si="21"/>
        <v/>
      </c>
      <c r="V48" s="57" t="str">
        <f t="shared" si="22"/>
        <v/>
      </c>
      <c r="W48" s="90" t="str">
        <f t="shared" si="23"/>
        <v/>
      </c>
      <c r="X48" s="91" t="str">
        <f t="shared" si="28"/>
        <v/>
      </c>
      <c r="Y48" s="92" t="str">
        <f t="shared" si="29"/>
        <v/>
      </c>
      <c r="Z48" s="93" t="str">
        <f t="shared" si="24"/>
        <v/>
      </c>
      <c r="AB48" s="2"/>
      <c r="AC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6"/>
      <c r="AT48" s="41" t="e">
        <f t="shared" si="25"/>
        <v>#DIV/0!</v>
      </c>
      <c r="AU48" s="41" t="e">
        <f t="shared" si="26"/>
        <v>#DIV/0!</v>
      </c>
      <c r="AV48" s="41" t="e">
        <f t="shared" si="27"/>
        <v>#DIV/0!</v>
      </c>
      <c r="AX48" s="6"/>
    </row>
    <row r="49" spans="1:50" ht="18" customHeight="1">
      <c r="A49" s="179">
        <f>INPUT!A48</f>
        <v>0</v>
      </c>
      <c r="B49" s="179">
        <f>INPUT!B48</f>
        <v>0</v>
      </c>
      <c r="C49" s="179">
        <f>INPUT!C48</f>
        <v>0</v>
      </c>
      <c r="D49" s="87"/>
      <c r="E49" s="88"/>
      <c r="F49" s="88"/>
      <c r="G49" s="88"/>
      <c r="H49" s="88"/>
      <c r="I49" s="89" t="str">
        <f t="shared" si="15"/>
        <v/>
      </c>
      <c r="J49" s="57" t="str">
        <f t="shared" si="16"/>
        <v/>
      </c>
      <c r="K49" s="90" t="str">
        <f t="shared" si="17"/>
        <v/>
      </c>
      <c r="L49" s="87"/>
      <c r="M49" s="88"/>
      <c r="N49" s="88"/>
      <c r="O49" s="89" t="str">
        <f t="shared" si="18"/>
        <v/>
      </c>
      <c r="P49" s="57" t="str">
        <f t="shared" si="19"/>
        <v/>
      </c>
      <c r="Q49" s="90" t="str">
        <f t="shared" si="20"/>
        <v/>
      </c>
      <c r="R49" s="87"/>
      <c r="S49" s="88"/>
      <c r="T49" s="88"/>
      <c r="U49" s="89" t="str">
        <f t="shared" si="21"/>
        <v/>
      </c>
      <c r="V49" s="57" t="str">
        <f t="shared" si="22"/>
        <v/>
      </c>
      <c r="W49" s="90" t="str">
        <f t="shared" si="23"/>
        <v/>
      </c>
      <c r="X49" s="91" t="str">
        <f t="shared" si="28"/>
        <v/>
      </c>
      <c r="Y49" s="92" t="str">
        <f t="shared" si="29"/>
        <v/>
      </c>
      <c r="Z49" s="93" t="str">
        <f t="shared" si="24"/>
        <v/>
      </c>
      <c r="AB49" s="2"/>
      <c r="AC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6"/>
      <c r="AT49" s="41" t="e">
        <f t="shared" si="25"/>
        <v>#DIV/0!</v>
      </c>
      <c r="AU49" s="41" t="e">
        <f t="shared" si="26"/>
        <v>#DIV/0!</v>
      </c>
      <c r="AV49" s="41" t="e">
        <f t="shared" si="27"/>
        <v>#DIV/0!</v>
      </c>
      <c r="AX49" s="6"/>
    </row>
    <row r="50" spans="1:50" ht="18" customHeight="1">
      <c r="A50" s="179">
        <f>INPUT!A49</f>
        <v>0</v>
      </c>
      <c r="B50" s="179">
        <f>INPUT!B49</f>
        <v>0</v>
      </c>
      <c r="C50" s="179">
        <f>INPUT!C49</f>
        <v>0</v>
      </c>
      <c r="D50" s="87"/>
      <c r="E50" s="88"/>
      <c r="F50" s="88"/>
      <c r="G50" s="88"/>
      <c r="H50" s="88"/>
      <c r="I50" s="89" t="str">
        <f t="shared" si="15"/>
        <v/>
      </c>
      <c r="J50" s="57" t="str">
        <f t="shared" si="16"/>
        <v/>
      </c>
      <c r="K50" s="90" t="str">
        <f t="shared" si="17"/>
        <v/>
      </c>
      <c r="L50" s="87"/>
      <c r="M50" s="88"/>
      <c r="N50" s="88"/>
      <c r="O50" s="89" t="str">
        <f t="shared" si="18"/>
        <v/>
      </c>
      <c r="P50" s="57" t="str">
        <f t="shared" si="19"/>
        <v/>
      </c>
      <c r="Q50" s="90" t="str">
        <f t="shared" si="20"/>
        <v/>
      </c>
      <c r="R50" s="87"/>
      <c r="S50" s="88"/>
      <c r="T50" s="88"/>
      <c r="U50" s="89" t="str">
        <f t="shared" si="21"/>
        <v/>
      </c>
      <c r="V50" s="57" t="str">
        <f t="shared" si="22"/>
        <v/>
      </c>
      <c r="W50" s="90" t="str">
        <f t="shared" si="23"/>
        <v/>
      </c>
      <c r="X50" s="91" t="str">
        <f t="shared" si="28"/>
        <v/>
      </c>
      <c r="Y50" s="92" t="str">
        <f t="shared" si="29"/>
        <v/>
      </c>
      <c r="Z50" s="93" t="str">
        <f t="shared" si="24"/>
        <v/>
      </c>
      <c r="AB50" s="2"/>
      <c r="AC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6"/>
      <c r="AT50" s="41" t="e">
        <f t="shared" si="25"/>
        <v>#DIV/0!</v>
      </c>
      <c r="AU50" s="41" t="e">
        <f t="shared" si="26"/>
        <v>#DIV/0!</v>
      </c>
      <c r="AV50" s="41" t="e">
        <f t="shared" si="27"/>
        <v>#DIV/0!</v>
      </c>
      <c r="AX50" s="6"/>
    </row>
    <row r="51" spans="1:50" ht="18" customHeight="1">
      <c r="A51" s="179">
        <f>INPUT!A50</f>
        <v>0</v>
      </c>
      <c r="B51" s="179">
        <f>INPUT!B50</f>
        <v>0</v>
      </c>
      <c r="C51" s="179">
        <f>INPUT!C50</f>
        <v>0</v>
      </c>
      <c r="D51" s="87"/>
      <c r="E51" s="88"/>
      <c r="F51" s="88"/>
      <c r="G51" s="88"/>
      <c r="H51" s="88"/>
      <c r="I51" s="89" t="str">
        <f t="shared" si="15"/>
        <v/>
      </c>
      <c r="J51" s="57" t="str">
        <f t="shared" si="16"/>
        <v/>
      </c>
      <c r="K51" s="90" t="str">
        <f t="shared" si="17"/>
        <v/>
      </c>
      <c r="L51" s="87"/>
      <c r="M51" s="88"/>
      <c r="N51" s="88"/>
      <c r="O51" s="89" t="str">
        <f t="shared" si="18"/>
        <v/>
      </c>
      <c r="P51" s="57" t="str">
        <f t="shared" si="19"/>
        <v/>
      </c>
      <c r="Q51" s="90" t="str">
        <f t="shared" si="20"/>
        <v/>
      </c>
      <c r="R51" s="87"/>
      <c r="S51" s="88"/>
      <c r="T51" s="88"/>
      <c r="U51" s="89" t="str">
        <f t="shared" si="21"/>
        <v/>
      </c>
      <c r="V51" s="57" t="str">
        <f t="shared" si="22"/>
        <v/>
      </c>
      <c r="W51" s="90" t="str">
        <f t="shared" si="23"/>
        <v/>
      </c>
      <c r="X51" s="91" t="str">
        <f t="shared" si="28"/>
        <v/>
      </c>
      <c r="Y51" s="92" t="str">
        <f t="shared" si="29"/>
        <v/>
      </c>
      <c r="Z51" s="93" t="str">
        <f t="shared" si="24"/>
        <v/>
      </c>
      <c r="AB51" s="2"/>
      <c r="AC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6"/>
      <c r="AT51" s="41" t="e">
        <f t="shared" si="25"/>
        <v>#DIV/0!</v>
      </c>
      <c r="AU51" s="41" t="e">
        <f t="shared" si="26"/>
        <v>#DIV/0!</v>
      </c>
      <c r="AV51" s="41" t="e">
        <f t="shared" si="27"/>
        <v>#DIV/0!</v>
      </c>
      <c r="AX51" s="6"/>
    </row>
    <row r="52" spans="1:50" ht="18" customHeight="1">
      <c r="A52" s="179">
        <f>INPUT!A51</f>
        <v>0</v>
      </c>
      <c r="B52" s="179">
        <f>INPUT!B51</f>
        <v>0</v>
      </c>
      <c r="C52" s="179">
        <f>INPUT!C51</f>
        <v>0</v>
      </c>
      <c r="D52" s="87"/>
      <c r="E52" s="88"/>
      <c r="F52" s="88"/>
      <c r="G52" s="88"/>
      <c r="H52" s="88"/>
      <c r="I52" s="89" t="str">
        <f t="shared" si="15"/>
        <v/>
      </c>
      <c r="J52" s="57" t="str">
        <f t="shared" si="16"/>
        <v/>
      </c>
      <c r="K52" s="90" t="str">
        <f t="shared" si="17"/>
        <v/>
      </c>
      <c r="L52" s="87"/>
      <c r="M52" s="88"/>
      <c r="N52" s="88"/>
      <c r="O52" s="89" t="str">
        <f t="shared" si="18"/>
        <v/>
      </c>
      <c r="P52" s="57" t="str">
        <f t="shared" si="19"/>
        <v/>
      </c>
      <c r="Q52" s="90" t="str">
        <f t="shared" si="20"/>
        <v/>
      </c>
      <c r="R52" s="87"/>
      <c r="S52" s="88"/>
      <c r="T52" s="88"/>
      <c r="U52" s="89" t="str">
        <f t="shared" si="21"/>
        <v/>
      </c>
      <c r="V52" s="57" t="str">
        <f t="shared" si="22"/>
        <v/>
      </c>
      <c r="W52" s="90" t="str">
        <f t="shared" si="23"/>
        <v/>
      </c>
      <c r="X52" s="91" t="str">
        <f t="shared" si="28"/>
        <v/>
      </c>
      <c r="Y52" s="92" t="str">
        <f t="shared" si="29"/>
        <v/>
      </c>
      <c r="Z52" s="93" t="str">
        <f t="shared" si="24"/>
        <v/>
      </c>
      <c r="AB52" s="2"/>
      <c r="AC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6"/>
      <c r="AT52" s="41" t="e">
        <f t="shared" si="25"/>
        <v>#DIV/0!</v>
      </c>
      <c r="AU52" s="41" t="e">
        <f t="shared" si="26"/>
        <v>#DIV/0!</v>
      </c>
      <c r="AV52" s="41" t="e">
        <f t="shared" si="27"/>
        <v>#DIV/0!</v>
      </c>
      <c r="AX52" s="6"/>
    </row>
    <row r="53" spans="1:50" ht="18" customHeight="1">
      <c r="A53" s="179">
        <f>INPUT!A52</f>
        <v>0</v>
      </c>
      <c r="B53" s="179">
        <f>INPUT!B52</f>
        <v>0</v>
      </c>
      <c r="C53" s="179">
        <f>INPUT!C52</f>
        <v>0</v>
      </c>
      <c r="D53" s="87"/>
      <c r="E53" s="88"/>
      <c r="F53" s="88"/>
      <c r="G53" s="88"/>
      <c r="H53" s="88"/>
      <c r="I53" s="89" t="str">
        <f t="shared" si="15"/>
        <v/>
      </c>
      <c r="J53" s="57" t="str">
        <f t="shared" si="16"/>
        <v/>
      </c>
      <c r="K53" s="90" t="str">
        <f t="shared" si="17"/>
        <v/>
      </c>
      <c r="L53" s="87"/>
      <c r="M53" s="88"/>
      <c r="N53" s="88"/>
      <c r="O53" s="89" t="str">
        <f t="shared" si="18"/>
        <v/>
      </c>
      <c r="P53" s="57" t="str">
        <f t="shared" si="19"/>
        <v/>
      </c>
      <c r="Q53" s="90" t="str">
        <f t="shared" si="20"/>
        <v/>
      </c>
      <c r="R53" s="87"/>
      <c r="S53" s="88"/>
      <c r="T53" s="88"/>
      <c r="U53" s="89" t="str">
        <f t="shared" si="21"/>
        <v/>
      </c>
      <c r="V53" s="57" t="str">
        <f t="shared" si="22"/>
        <v/>
      </c>
      <c r="W53" s="90" t="str">
        <f t="shared" si="23"/>
        <v/>
      </c>
      <c r="X53" s="91" t="str">
        <f t="shared" si="28"/>
        <v/>
      </c>
      <c r="Y53" s="92" t="str">
        <f t="shared" si="29"/>
        <v/>
      </c>
      <c r="Z53" s="93" t="str">
        <f t="shared" si="24"/>
        <v/>
      </c>
      <c r="AB53" s="2"/>
      <c r="AC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6"/>
      <c r="AT53" s="41" t="e">
        <f t="shared" si="25"/>
        <v>#DIV/0!</v>
      </c>
      <c r="AU53" s="41" t="e">
        <f t="shared" si="26"/>
        <v>#DIV/0!</v>
      </c>
      <c r="AV53" s="41" t="e">
        <f t="shared" si="27"/>
        <v>#DIV/0!</v>
      </c>
      <c r="AX53" s="6"/>
    </row>
    <row r="54" spans="1:50" ht="18" customHeight="1">
      <c r="A54" s="179">
        <f>INPUT!A53</f>
        <v>0</v>
      </c>
      <c r="B54" s="179">
        <f>INPUT!B53</f>
        <v>0</v>
      </c>
      <c r="C54" s="179">
        <f>INPUT!C53</f>
        <v>0</v>
      </c>
      <c r="D54" s="87"/>
      <c r="E54" s="88"/>
      <c r="F54" s="88"/>
      <c r="G54" s="88"/>
      <c r="H54" s="88"/>
      <c r="I54" s="89" t="str">
        <f t="shared" si="15"/>
        <v/>
      </c>
      <c r="J54" s="57" t="str">
        <f t="shared" si="16"/>
        <v/>
      </c>
      <c r="K54" s="90" t="str">
        <f t="shared" si="17"/>
        <v/>
      </c>
      <c r="L54" s="87"/>
      <c r="M54" s="88"/>
      <c r="N54" s="88"/>
      <c r="O54" s="89" t="str">
        <f t="shared" si="18"/>
        <v/>
      </c>
      <c r="P54" s="57" t="str">
        <f t="shared" si="19"/>
        <v/>
      </c>
      <c r="Q54" s="90" t="str">
        <f t="shared" si="20"/>
        <v/>
      </c>
      <c r="R54" s="87"/>
      <c r="S54" s="88"/>
      <c r="T54" s="88"/>
      <c r="U54" s="89" t="str">
        <f t="shared" si="21"/>
        <v/>
      </c>
      <c r="V54" s="57" t="str">
        <f t="shared" si="22"/>
        <v/>
      </c>
      <c r="W54" s="90" t="str">
        <f t="shared" si="23"/>
        <v/>
      </c>
      <c r="X54" s="91" t="str">
        <f t="shared" si="28"/>
        <v/>
      </c>
      <c r="Y54" s="92" t="str">
        <f t="shared" si="29"/>
        <v/>
      </c>
      <c r="Z54" s="93" t="str">
        <f t="shared" si="24"/>
        <v/>
      </c>
      <c r="AB54" s="2"/>
      <c r="AC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6"/>
      <c r="AT54" s="41" t="e">
        <f t="shared" si="25"/>
        <v>#DIV/0!</v>
      </c>
      <c r="AU54" s="41" t="e">
        <f t="shared" si="26"/>
        <v>#DIV/0!</v>
      </c>
      <c r="AV54" s="41" t="e">
        <f t="shared" si="27"/>
        <v>#DIV/0!</v>
      </c>
      <c r="AX54" s="6"/>
    </row>
    <row r="55" spans="1:50" ht="18" customHeight="1">
      <c r="A55" s="179">
        <f>INPUT!A54</f>
        <v>0</v>
      </c>
      <c r="B55" s="179">
        <f>INPUT!B54</f>
        <v>0</v>
      </c>
      <c r="C55" s="179">
        <f>INPUT!C54</f>
        <v>0</v>
      </c>
      <c r="D55" s="87"/>
      <c r="E55" s="88"/>
      <c r="F55" s="88"/>
      <c r="G55" s="88"/>
      <c r="H55" s="88"/>
      <c r="I55" s="89" t="str">
        <f t="shared" si="15"/>
        <v/>
      </c>
      <c r="J55" s="57" t="str">
        <f t="shared" si="16"/>
        <v/>
      </c>
      <c r="K55" s="90" t="str">
        <f t="shared" si="17"/>
        <v/>
      </c>
      <c r="L55" s="87"/>
      <c r="M55" s="88"/>
      <c r="N55" s="88"/>
      <c r="O55" s="89" t="str">
        <f t="shared" si="18"/>
        <v/>
      </c>
      <c r="P55" s="57" t="str">
        <f t="shared" si="19"/>
        <v/>
      </c>
      <c r="Q55" s="90" t="str">
        <f t="shared" si="20"/>
        <v/>
      </c>
      <c r="R55" s="87"/>
      <c r="S55" s="88"/>
      <c r="T55" s="88"/>
      <c r="U55" s="89" t="str">
        <f t="shared" si="21"/>
        <v/>
      </c>
      <c r="V55" s="57" t="str">
        <f t="shared" si="22"/>
        <v/>
      </c>
      <c r="W55" s="90" t="str">
        <f t="shared" si="23"/>
        <v/>
      </c>
      <c r="X55" s="91" t="str">
        <f t="shared" si="28"/>
        <v/>
      </c>
      <c r="Y55" s="92" t="str">
        <f t="shared" si="29"/>
        <v/>
      </c>
      <c r="Z55" s="93" t="str">
        <f t="shared" si="24"/>
        <v/>
      </c>
      <c r="AB55" s="2"/>
      <c r="AC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6"/>
      <c r="AT55" s="41" t="e">
        <f t="shared" si="25"/>
        <v>#DIV/0!</v>
      </c>
      <c r="AU55" s="41" t="e">
        <f t="shared" si="26"/>
        <v>#DIV/0!</v>
      </c>
      <c r="AV55" s="41" t="e">
        <f t="shared" si="27"/>
        <v>#DIV/0!</v>
      </c>
      <c r="AX55" s="6"/>
    </row>
    <row r="56" spans="1:50" ht="18" customHeight="1">
      <c r="A56" s="179">
        <f>INPUT!A55</f>
        <v>0</v>
      </c>
      <c r="B56" s="179">
        <f>INPUT!B55</f>
        <v>0</v>
      </c>
      <c r="C56" s="179">
        <f>INPUT!C55</f>
        <v>0</v>
      </c>
      <c r="D56" s="87"/>
      <c r="E56" s="88"/>
      <c r="F56" s="88"/>
      <c r="G56" s="88"/>
      <c r="H56" s="88"/>
      <c r="I56" s="89" t="str">
        <f t="shared" si="15"/>
        <v/>
      </c>
      <c r="J56" s="57" t="str">
        <f t="shared" si="16"/>
        <v/>
      </c>
      <c r="K56" s="90" t="str">
        <f t="shared" si="17"/>
        <v/>
      </c>
      <c r="L56" s="87"/>
      <c r="M56" s="88"/>
      <c r="N56" s="88"/>
      <c r="O56" s="89" t="str">
        <f t="shared" si="18"/>
        <v/>
      </c>
      <c r="P56" s="57" t="str">
        <f t="shared" si="19"/>
        <v/>
      </c>
      <c r="Q56" s="90" t="str">
        <f t="shared" si="20"/>
        <v/>
      </c>
      <c r="R56" s="87"/>
      <c r="S56" s="88"/>
      <c r="T56" s="88"/>
      <c r="U56" s="89" t="str">
        <f t="shared" si="21"/>
        <v/>
      </c>
      <c r="V56" s="57" t="str">
        <f t="shared" si="22"/>
        <v/>
      </c>
      <c r="W56" s="90" t="str">
        <f t="shared" si="23"/>
        <v/>
      </c>
      <c r="X56" s="91" t="str">
        <f t="shared" si="28"/>
        <v/>
      </c>
      <c r="Y56" s="92" t="str">
        <f t="shared" si="29"/>
        <v/>
      </c>
      <c r="Z56" s="93" t="str">
        <f t="shared" si="24"/>
        <v/>
      </c>
      <c r="AB56" s="2"/>
      <c r="AC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6"/>
      <c r="AT56" s="41" t="e">
        <f t="shared" si="25"/>
        <v>#DIV/0!</v>
      </c>
      <c r="AU56" s="41" t="e">
        <f t="shared" si="26"/>
        <v>#DIV/0!</v>
      </c>
      <c r="AV56" s="41" t="e">
        <f t="shared" si="27"/>
        <v>#DIV/0!</v>
      </c>
      <c r="AX56" s="6"/>
    </row>
    <row r="57" spans="1:50" ht="18" customHeight="1">
      <c r="A57" s="179">
        <f>INPUT!A56</f>
        <v>0</v>
      </c>
      <c r="B57" s="179">
        <f>INPUT!B56</f>
        <v>0</v>
      </c>
      <c r="C57" s="179">
        <f>INPUT!C56</f>
        <v>0</v>
      </c>
      <c r="D57" s="87"/>
      <c r="E57" s="88"/>
      <c r="F57" s="88"/>
      <c r="G57" s="88"/>
      <c r="H57" s="88"/>
      <c r="I57" s="89" t="str">
        <f t="shared" si="15"/>
        <v/>
      </c>
      <c r="J57" s="57" t="str">
        <f t="shared" si="16"/>
        <v/>
      </c>
      <c r="K57" s="90" t="str">
        <f t="shared" si="17"/>
        <v/>
      </c>
      <c r="L57" s="87"/>
      <c r="M57" s="88"/>
      <c r="N57" s="88"/>
      <c r="O57" s="89" t="str">
        <f t="shared" si="18"/>
        <v/>
      </c>
      <c r="P57" s="57" t="str">
        <f t="shared" si="19"/>
        <v/>
      </c>
      <c r="Q57" s="90" t="str">
        <f t="shared" si="20"/>
        <v/>
      </c>
      <c r="R57" s="87"/>
      <c r="S57" s="88"/>
      <c r="T57" s="88"/>
      <c r="U57" s="89" t="str">
        <f t="shared" si="21"/>
        <v/>
      </c>
      <c r="V57" s="57" t="str">
        <f t="shared" si="22"/>
        <v/>
      </c>
      <c r="W57" s="90" t="str">
        <f t="shared" si="23"/>
        <v/>
      </c>
      <c r="X57" s="91" t="str">
        <f t="shared" si="28"/>
        <v/>
      </c>
      <c r="Y57" s="92" t="str">
        <f t="shared" si="29"/>
        <v/>
      </c>
      <c r="Z57" s="93" t="str">
        <f t="shared" si="24"/>
        <v/>
      </c>
      <c r="AB57" s="2"/>
      <c r="AC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6"/>
      <c r="AT57" s="41" t="e">
        <f t="shared" si="25"/>
        <v>#DIV/0!</v>
      </c>
      <c r="AU57" s="41" t="e">
        <f t="shared" si="26"/>
        <v>#DIV/0!</v>
      </c>
      <c r="AV57" s="41" t="e">
        <f t="shared" si="27"/>
        <v>#DIV/0!</v>
      </c>
      <c r="AX57" s="6"/>
    </row>
    <row r="58" spans="1:50" ht="18" customHeight="1">
      <c r="A58" s="179">
        <f>INPUT!A57</f>
        <v>0</v>
      </c>
      <c r="B58" s="179">
        <f>INPUT!B57</f>
        <v>0</v>
      </c>
      <c r="C58" s="179">
        <f>INPUT!C57</f>
        <v>0</v>
      </c>
      <c r="D58" s="87"/>
      <c r="E58" s="88"/>
      <c r="F58" s="88"/>
      <c r="G58" s="88"/>
      <c r="H58" s="88"/>
      <c r="I58" s="89" t="str">
        <f t="shared" si="15"/>
        <v/>
      </c>
      <c r="J58" s="57" t="str">
        <f t="shared" si="16"/>
        <v/>
      </c>
      <c r="K58" s="90" t="str">
        <f t="shared" si="17"/>
        <v/>
      </c>
      <c r="L58" s="87"/>
      <c r="M58" s="88"/>
      <c r="N58" s="88"/>
      <c r="O58" s="89" t="str">
        <f t="shared" si="18"/>
        <v/>
      </c>
      <c r="P58" s="57" t="str">
        <f t="shared" si="19"/>
        <v/>
      </c>
      <c r="Q58" s="90" t="str">
        <f t="shared" si="20"/>
        <v/>
      </c>
      <c r="R58" s="87"/>
      <c r="S58" s="88"/>
      <c r="T58" s="88"/>
      <c r="U58" s="89" t="str">
        <f t="shared" si="21"/>
        <v/>
      </c>
      <c r="V58" s="57" t="str">
        <f t="shared" si="22"/>
        <v/>
      </c>
      <c r="W58" s="90" t="str">
        <f t="shared" si="23"/>
        <v/>
      </c>
      <c r="X58" s="91" t="str">
        <f t="shared" si="28"/>
        <v/>
      </c>
      <c r="Y58" s="92" t="str">
        <f t="shared" si="29"/>
        <v/>
      </c>
      <c r="Z58" s="93" t="str">
        <f t="shared" si="24"/>
        <v/>
      </c>
      <c r="AB58" s="2"/>
      <c r="AC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6"/>
      <c r="AT58" s="41" t="e">
        <f t="shared" si="25"/>
        <v>#DIV/0!</v>
      </c>
      <c r="AU58" s="41" t="e">
        <f t="shared" si="26"/>
        <v>#DIV/0!</v>
      </c>
      <c r="AV58" s="41" t="e">
        <f t="shared" si="27"/>
        <v>#DIV/0!</v>
      </c>
      <c r="AX58" s="6"/>
    </row>
    <row r="59" spans="1:50" ht="18" customHeight="1">
      <c r="A59" s="179">
        <f>INPUT!A58</f>
        <v>0</v>
      </c>
      <c r="B59" s="179">
        <f>INPUT!B58</f>
        <v>0</v>
      </c>
      <c r="C59" s="179">
        <f>INPUT!C58</f>
        <v>0</v>
      </c>
      <c r="D59" s="87"/>
      <c r="E59" s="88"/>
      <c r="F59" s="88"/>
      <c r="G59" s="88"/>
      <c r="H59" s="88"/>
      <c r="I59" s="89" t="str">
        <f t="shared" si="15"/>
        <v/>
      </c>
      <c r="J59" s="57" t="str">
        <f t="shared" si="16"/>
        <v/>
      </c>
      <c r="K59" s="90" t="str">
        <f t="shared" si="17"/>
        <v/>
      </c>
      <c r="L59" s="87"/>
      <c r="M59" s="88"/>
      <c r="N59" s="88"/>
      <c r="O59" s="89" t="str">
        <f t="shared" si="18"/>
        <v/>
      </c>
      <c r="P59" s="57" t="str">
        <f t="shared" si="19"/>
        <v/>
      </c>
      <c r="Q59" s="90" t="str">
        <f t="shared" si="20"/>
        <v/>
      </c>
      <c r="R59" s="87"/>
      <c r="S59" s="88"/>
      <c r="T59" s="88"/>
      <c r="U59" s="89" t="str">
        <f t="shared" si="21"/>
        <v/>
      </c>
      <c r="V59" s="57" t="str">
        <f t="shared" si="22"/>
        <v/>
      </c>
      <c r="W59" s="90" t="str">
        <f t="shared" si="23"/>
        <v/>
      </c>
      <c r="X59" s="91" t="str">
        <f t="shared" si="28"/>
        <v/>
      </c>
      <c r="Y59" s="92" t="str">
        <f t="shared" si="29"/>
        <v/>
      </c>
      <c r="Z59" s="93" t="str">
        <f t="shared" si="24"/>
        <v/>
      </c>
      <c r="AB59" s="2"/>
      <c r="AC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6"/>
      <c r="AT59" s="41" t="e">
        <f t="shared" si="25"/>
        <v>#DIV/0!</v>
      </c>
      <c r="AU59" s="41" t="e">
        <f t="shared" si="26"/>
        <v>#DIV/0!</v>
      </c>
      <c r="AV59" s="41" t="e">
        <f t="shared" si="27"/>
        <v>#DIV/0!</v>
      </c>
      <c r="AX59" s="6"/>
    </row>
    <row r="60" spans="1:50" ht="18" customHeight="1">
      <c r="A60" s="179">
        <f>INPUT!A59</f>
        <v>0</v>
      </c>
      <c r="B60" s="179">
        <f>INPUT!B59</f>
        <v>0</v>
      </c>
      <c r="C60" s="179">
        <f>INPUT!C59</f>
        <v>0</v>
      </c>
      <c r="D60" s="87"/>
      <c r="E60" s="88"/>
      <c r="F60" s="88"/>
      <c r="G60" s="88"/>
      <c r="H60" s="88"/>
      <c r="I60" s="89" t="str">
        <f t="shared" si="15"/>
        <v/>
      </c>
      <c r="J60" s="57" t="str">
        <f t="shared" si="16"/>
        <v/>
      </c>
      <c r="K60" s="90" t="str">
        <f t="shared" si="17"/>
        <v/>
      </c>
      <c r="L60" s="87"/>
      <c r="M60" s="88"/>
      <c r="N60" s="88"/>
      <c r="O60" s="89" t="str">
        <f t="shared" si="18"/>
        <v/>
      </c>
      <c r="P60" s="57" t="str">
        <f t="shared" si="19"/>
        <v/>
      </c>
      <c r="Q60" s="90" t="str">
        <f t="shared" si="20"/>
        <v/>
      </c>
      <c r="R60" s="87"/>
      <c r="S60" s="88"/>
      <c r="T60" s="88"/>
      <c r="U60" s="89" t="str">
        <f t="shared" si="21"/>
        <v/>
      </c>
      <c r="V60" s="57" t="str">
        <f t="shared" si="22"/>
        <v/>
      </c>
      <c r="W60" s="90" t="str">
        <f t="shared" si="23"/>
        <v/>
      </c>
      <c r="X60" s="91" t="str">
        <f t="shared" si="28"/>
        <v/>
      </c>
      <c r="Y60" s="92" t="str">
        <f t="shared" si="29"/>
        <v/>
      </c>
      <c r="Z60" s="93" t="str">
        <f t="shared" si="24"/>
        <v/>
      </c>
      <c r="AB60" s="2"/>
      <c r="AC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6"/>
      <c r="AT60" s="41" t="e">
        <f t="shared" si="25"/>
        <v>#DIV/0!</v>
      </c>
      <c r="AU60" s="41" t="e">
        <f t="shared" si="26"/>
        <v>#DIV/0!</v>
      </c>
      <c r="AV60" s="41" t="e">
        <f t="shared" si="27"/>
        <v>#DIV/0!</v>
      </c>
      <c r="AX60" s="6"/>
    </row>
    <row r="61" spans="1:50" ht="18" customHeight="1">
      <c r="A61" s="179">
        <f>INPUT!A60</f>
        <v>0</v>
      </c>
      <c r="B61" s="179">
        <f>INPUT!B60</f>
        <v>0</v>
      </c>
      <c r="C61" s="179">
        <f>INPUT!C60</f>
        <v>0</v>
      </c>
      <c r="D61" s="87"/>
      <c r="E61" s="88"/>
      <c r="F61" s="88"/>
      <c r="G61" s="88"/>
      <c r="H61" s="88"/>
      <c r="I61" s="89" t="str">
        <f t="shared" si="15"/>
        <v/>
      </c>
      <c r="J61" s="57" t="str">
        <f t="shared" si="16"/>
        <v/>
      </c>
      <c r="K61" s="90" t="str">
        <f t="shared" si="17"/>
        <v/>
      </c>
      <c r="L61" s="87"/>
      <c r="M61" s="88"/>
      <c r="N61" s="88"/>
      <c r="O61" s="89" t="str">
        <f t="shared" si="18"/>
        <v/>
      </c>
      <c r="P61" s="57" t="str">
        <f t="shared" si="19"/>
        <v/>
      </c>
      <c r="Q61" s="90" t="str">
        <f t="shared" si="20"/>
        <v/>
      </c>
      <c r="R61" s="87"/>
      <c r="S61" s="88"/>
      <c r="T61" s="88"/>
      <c r="U61" s="89" t="str">
        <f t="shared" si="21"/>
        <v/>
      </c>
      <c r="V61" s="57" t="str">
        <f t="shared" si="22"/>
        <v/>
      </c>
      <c r="W61" s="90" t="str">
        <f t="shared" si="23"/>
        <v/>
      </c>
      <c r="X61" s="91" t="str">
        <f t="shared" si="28"/>
        <v/>
      </c>
      <c r="Y61" s="92" t="str">
        <f t="shared" si="29"/>
        <v/>
      </c>
      <c r="Z61" s="93" t="str">
        <f t="shared" si="24"/>
        <v/>
      </c>
      <c r="AB61" s="2"/>
      <c r="AC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6"/>
      <c r="AT61" s="41" t="e">
        <f t="shared" si="25"/>
        <v>#DIV/0!</v>
      </c>
      <c r="AU61" s="41" t="e">
        <f t="shared" si="26"/>
        <v>#DIV/0!</v>
      </c>
      <c r="AV61" s="41" t="e">
        <f t="shared" si="27"/>
        <v>#DIV/0!</v>
      </c>
      <c r="AX61" s="6"/>
    </row>
    <row r="62" spans="1:50" ht="18" customHeight="1">
      <c r="A62" s="86"/>
      <c r="B62" s="181"/>
      <c r="C62" s="35"/>
      <c r="D62" s="107"/>
      <c r="E62" s="108"/>
      <c r="F62" s="108"/>
      <c r="G62" s="108"/>
      <c r="H62" s="108"/>
      <c r="I62" s="109" t="str">
        <f t="shared" si="15"/>
        <v/>
      </c>
      <c r="J62" s="110" t="str">
        <f t="shared" si="16"/>
        <v/>
      </c>
      <c r="K62" s="111" t="str">
        <f t="shared" si="17"/>
        <v/>
      </c>
      <c r="L62" s="107"/>
      <c r="M62" s="108"/>
      <c r="N62" s="108"/>
      <c r="O62" s="109" t="str">
        <f t="shared" si="18"/>
        <v/>
      </c>
      <c r="P62" s="110" t="str">
        <f t="shared" si="19"/>
        <v/>
      </c>
      <c r="Q62" s="111" t="str">
        <f t="shared" si="20"/>
        <v/>
      </c>
      <c r="R62" s="107"/>
      <c r="S62" s="108"/>
      <c r="T62" s="108"/>
      <c r="U62" s="109" t="str">
        <f t="shared" si="21"/>
        <v/>
      </c>
      <c r="V62" s="110" t="str">
        <f t="shared" si="22"/>
        <v/>
      </c>
      <c r="W62" s="111" t="str">
        <f t="shared" si="23"/>
        <v/>
      </c>
      <c r="X62" s="112" t="str">
        <f t="shared" si="28"/>
        <v/>
      </c>
      <c r="Y62" s="113" t="str">
        <f t="shared" si="29"/>
        <v/>
      </c>
      <c r="Z62" s="114" t="str">
        <f t="shared" si="24"/>
        <v/>
      </c>
      <c r="AB62" s="2"/>
      <c r="AC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6"/>
      <c r="AT62" s="41" t="e">
        <f t="shared" si="25"/>
        <v>#DIV/0!</v>
      </c>
      <c r="AU62" s="41" t="e">
        <f t="shared" si="26"/>
        <v>#DIV/0!</v>
      </c>
      <c r="AV62" s="41" t="e">
        <f t="shared" si="27"/>
        <v>#DIV/0!</v>
      </c>
      <c r="AX62" s="6"/>
    </row>
    <row r="63" spans="1:50" ht="18" hidden="1" customHeight="1">
      <c r="A63" s="226" t="s">
        <v>66</v>
      </c>
      <c r="B63" s="180" t="s">
        <v>67</v>
      </c>
      <c r="C63" s="186" t="s">
        <v>68</v>
      </c>
      <c r="D63" s="221"/>
      <c r="E63" s="222"/>
      <c r="F63" s="223"/>
      <c r="G63" s="223"/>
      <c r="H63" s="223"/>
      <c r="I63" s="224"/>
      <c r="J63" s="119"/>
      <c r="K63" s="120"/>
      <c r="L63" s="225"/>
      <c r="M63" s="223"/>
      <c r="N63" s="223"/>
      <c r="O63" s="224"/>
      <c r="P63" s="119"/>
      <c r="Q63" s="120"/>
      <c r="R63" s="225"/>
      <c r="S63" s="223"/>
      <c r="T63" s="223"/>
      <c r="U63" s="224"/>
      <c r="V63" s="119"/>
      <c r="W63" s="120"/>
      <c r="X63" s="121"/>
      <c r="Y63" s="122"/>
      <c r="Z63" s="123"/>
      <c r="AB63" s="2"/>
      <c r="AC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6"/>
      <c r="AT63" s="41"/>
      <c r="AU63" s="41"/>
      <c r="AV63" s="41"/>
      <c r="AX63" s="6"/>
    </row>
    <row r="64" spans="1:50" ht="18" customHeight="1">
      <c r="A64" s="198"/>
      <c r="B64" s="346" t="s">
        <v>69</v>
      </c>
      <c r="C64" s="347"/>
      <c r="D64" s="177"/>
      <c r="E64" s="178"/>
      <c r="F64" s="116"/>
      <c r="G64" s="116"/>
      <c r="H64" s="116"/>
      <c r="I64" s="117"/>
      <c r="J64" s="117"/>
      <c r="K64" s="118"/>
      <c r="L64" s="115"/>
      <c r="M64" s="116"/>
      <c r="N64" s="116"/>
      <c r="O64" s="117"/>
      <c r="P64" s="117"/>
      <c r="Q64" s="118"/>
      <c r="R64" s="115"/>
      <c r="S64" s="116"/>
      <c r="T64" s="116"/>
      <c r="U64" s="117"/>
      <c r="V64" s="119"/>
      <c r="W64" s="120"/>
      <c r="X64" s="121"/>
      <c r="Y64" s="122"/>
      <c r="Z64" s="123"/>
      <c r="AB64" s="2"/>
      <c r="AC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6"/>
      <c r="AT64" s="41" t="e">
        <f>(R64/$R$10)*100</f>
        <v>#DIV/0!</v>
      </c>
      <c r="AU64" s="41" t="e">
        <f>(S64/$S$10)*100</f>
        <v>#DIV/0!</v>
      </c>
      <c r="AV64" s="41" t="e">
        <f>(T64/$T$10)*100</f>
        <v>#DIV/0!</v>
      </c>
      <c r="AX64" s="6"/>
    </row>
    <row r="65" spans="1:50" ht="18" hidden="1" customHeight="1">
      <c r="A65" s="188" t="s">
        <v>70</v>
      </c>
      <c r="B65" s="199" t="s">
        <v>71</v>
      </c>
      <c r="C65" s="197" t="s">
        <v>72</v>
      </c>
      <c r="D65" s="115"/>
      <c r="E65" s="116"/>
      <c r="F65" s="116"/>
      <c r="G65" s="116"/>
      <c r="H65" s="116"/>
      <c r="I65" s="117"/>
      <c r="J65" s="117"/>
      <c r="K65" s="118"/>
      <c r="L65" s="115"/>
      <c r="M65" s="116"/>
      <c r="N65" s="116"/>
      <c r="O65" s="117"/>
      <c r="P65" s="117"/>
      <c r="Q65" s="118"/>
      <c r="R65" s="115"/>
      <c r="S65" s="116"/>
      <c r="T65" s="116"/>
      <c r="U65" s="117"/>
      <c r="V65" s="119"/>
      <c r="W65" s="120"/>
      <c r="X65" s="121"/>
      <c r="Y65" s="122"/>
      <c r="Z65" s="123"/>
      <c r="AB65" s="2"/>
      <c r="AC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6"/>
      <c r="AT65" s="41"/>
      <c r="AU65" s="41"/>
      <c r="AV65" s="41"/>
      <c r="AX65" s="6"/>
    </row>
    <row r="66" spans="1:50" ht="18" customHeight="1">
      <c r="A66" s="35">
        <f>INPUT!A64</f>
        <v>1</v>
      </c>
      <c r="B66" s="35" t="str">
        <f>INPUT!B64</f>
        <v>2022-00020</v>
      </c>
      <c r="C66" s="35" t="str">
        <f>INPUT!C64</f>
        <v>Araquil, Jheane Joel</v>
      </c>
      <c r="D66" s="175"/>
      <c r="E66" s="176"/>
      <c r="F66" s="79"/>
      <c r="G66" s="79"/>
      <c r="H66" s="79"/>
      <c r="I66" s="80" t="str">
        <f t="shared" ref="I66:I97" si="30">IF(COUNT($D66:$H66)=0,"",SUM($D66:$H66))</f>
        <v/>
      </c>
      <c r="J66" s="81" t="str">
        <f t="shared" ref="J66:J97" si="31">IF(ISERROR(IF($I66="","",ROUND(($I66/$I$10)*$J$10,2))),"",IF($I66="","",ROUND(($I66/$I$10)*$J$10,2)))</f>
        <v/>
      </c>
      <c r="K66" s="82" t="str">
        <f t="shared" ref="K66:K97" si="32">IF($J66="","",ROUND($J66*$K$10,2))</f>
        <v/>
      </c>
      <c r="L66" s="78"/>
      <c r="M66" s="79"/>
      <c r="N66" s="79"/>
      <c r="O66" s="80" t="str">
        <f t="shared" ref="O66:O97" si="33">IF(COUNT($L66:$N66)=0,"",SUM($L66:$N66))</f>
        <v/>
      </c>
      <c r="P66" s="81" t="str">
        <f t="shared" ref="P66:P97" si="34">IF(ISERROR(IF($O66="","",ROUND(($O66/$O$10)*$P$10,2))),"",IF($O66="","",ROUND(($O66/$O$10)*$P$10,2)))</f>
        <v/>
      </c>
      <c r="Q66" s="82" t="str">
        <f t="shared" ref="Q66:Q97" si="35">IF($P66="","",ROUND($P66*$Q$10,2))</f>
        <v/>
      </c>
      <c r="R66" s="78"/>
      <c r="S66" s="79"/>
      <c r="T66" s="79"/>
      <c r="U66" s="80" t="str">
        <f t="shared" ref="U66:U97" si="36">IF(COUNT($R66:$T66)=0,"",SUM($R66:$T66))</f>
        <v/>
      </c>
      <c r="V66" s="81" t="str">
        <f t="shared" ref="V66:V97" si="37">IF(ISERROR(IF($U66="","",ROUND(($U66/$U$10)*$V$10,2))),"",IF($U66="","",ROUND(($U66/$U$10)*$V$10,2)))</f>
        <v/>
      </c>
      <c r="W66" s="82" t="str">
        <f t="shared" ref="W66:W97" si="38">IF($V66="","",ROUND($V66*$W$10,2))</f>
        <v/>
      </c>
      <c r="X66" s="83" t="str">
        <f t="shared" ref="X66:X97" si="39">IF(ISERROR(IF($T66="","",ROUND(SUM($K66,$Q66,$W66),2))),"",IF($T66="","",ROUND(SUM($K66,$Q66,$W66),2)))</f>
        <v/>
      </c>
      <c r="Y66" s="84" t="str">
        <f t="shared" ref="Y66:Y97" si="40">IF(ISERROR(IF($T66="","",VLOOKUP(X66,NewTransmu,4,TRUE))),"",IF($T66="","",VLOOKUP(X66,NewTransmu,4,TRUE)))</f>
        <v/>
      </c>
      <c r="Z66" s="85" t="str">
        <f t="shared" ref="Z66:Z97" si="41">IF(ISERROR(IF(Y66="","",VLOOKUP(Y66,DESCRIPTORS,4,TRUE))),"",IF(Y66="","",VLOOKUP(Y66,DESCRIPTORS,4,TRUE)))</f>
        <v/>
      </c>
      <c r="AB66" s="2"/>
      <c r="AC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6"/>
      <c r="AT66" s="41" t="e">
        <f t="shared" ref="AT66:AT97" si="42">(R66/$R$10)*100</f>
        <v>#DIV/0!</v>
      </c>
      <c r="AU66" s="41" t="e">
        <f t="shared" ref="AU66:AU97" si="43">(S66/$S$10)*100</f>
        <v>#DIV/0!</v>
      </c>
      <c r="AV66" s="41" t="e">
        <f t="shared" ref="AV66:AV97" si="44">(T66/$T$10)*100</f>
        <v>#DIV/0!</v>
      </c>
      <c r="AX66" s="6"/>
    </row>
    <row r="67" spans="1:50" ht="18" customHeight="1">
      <c r="A67" s="35">
        <f>INPUT!A65</f>
        <v>2</v>
      </c>
      <c r="B67" s="35" t="str">
        <f>INPUT!B65</f>
        <v>2022-00021</v>
      </c>
      <c r="C67" s="35" t="str">
        <f>INPUT!C65</f>
        <v>Balacuit, Kyle Anjheilee</v>
      </c>
      <c r="D67" s="87"/>
      <c r="E67" s="88"/>
      <c r="F67" s="88"/>
      <c r="G67" s="88"/>
      <c r="H67" s="88"/>
      <c r="I67" s="89" t="str">
        <f t="shared" si="30"/>
        <v/>
      </c>
      <c r="J67" s="57" t="str">
        <f t="shared" si="31"/>
        <v/>
      </c>
      <c r="K67" s="90" t="str">
        <f t="shared" si="32"/>
        <v/>
      </c>
      <c r="L67" s="87"/>
      <c r="M67" s="88"/>
      <c r="N67" s="88"/>
      <c r="O67" s="89" t="str">
        <f t="shared" si="33"/>
        <v/>
      </c>
      <c r="P67" s="57" t="str">
        <f t="shared" si="34"/>
        <v/>
      </c>
      <c r="Q67" s="90" t="str">
        <f t="shared" si="35"/>
        <v/>
      </c>
      <c r="R67" s="87"/>
      <c r="S67" s="88"/>
      <c r="T67" s="88"/>
      <c r="U67" s="89" t="str">
        <f t="shared" si="36"/>
        <v/>
      </c>
      <c r="V67" s="57" t="str">
        <f t="shared" si="37"/>
        <v/>
      </c>
      <c r="W67" s="90" t="str">
        <f t="shared" si="38"/>
        <v/>
      </c>
      <c r="X67" s="91" t="str">
        <f t="shared" si="39"/>
        <v/>
      </c>
      <c r="Y67" s="92" t="str">
        <f t="shared" si="40"/>
        <v/>
      </c>
      <c r="Z67" s="93" t="str">
        <f t="shared" si="41"/>
        <v/>
      </c>
      <c r="AB67" s="2"/>
      <c r="AC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6"/>
      <c r="AT67" s="41" t="e">
        <f t="shared" si="42"/>
        <v>#DIV/0!</v>
      </c>
      <c r="AU67" s="41" t="e">
        <f t="shared" si="43"/>
        <v>#DIV/0!</v>
      </c>
      <c r="AV67" s="41" t="e">
        <f t="shared" si="44"/>
        <v>#DIV/0!</v>
      </c>
      <c r="AX67" s="6"/>
    </row>
    <row r="68" spans="1:50" ht="18" customHeight="1">
      <c r="A68" s="35">
        <f>INPUT!A66</f>
        <v>3</v>
      </c>
      <c r="B68" s="35" t="str">
        <f>INPUT!B66</f>
        <v>2022-00022</v>
      </c>
      <c r="C68" s="35" t="str">
        <f>INPUT!C66</f>
        <v>Barcelona, Jannah  Grich</v>
      </c>
      <c r="D68" s="87"/>
      <c r="E68" s="88"/>
      <c r="F68" s="88"/>
      <c r="G68" s="88"/>
      <c r="H68" s="88"/>
      <c r="I68" s="89" t="str">
        <f t="shared" si="30"/>
        <v/>
      </c>
      <c r="J68" s="57" t="str">
        <f t="shared" si="31"/>
        <v/>
      </c>
      <c r="K68" s="90" t="str">
        <f t="shared" si="32"/>
        <v/>
      </c>
      <c r="L68" s="87"/>
      <c r="M68" s="88"/>
      <c r="N68" s="88"/>
      <c r="O68" s="89" t="str">
        <f t="shared" si="33"/>
        <v/>
      </c>
      <c r="P68" s="57" t="str">
        <f t="shared" si="34"/>
        <v/>
      </c>
      <c r="Q68" s="90" t="str">
        <f t="shared" si="35"/>
        <v/>
      </c>
      <c r="R68" s="173"/>
      <c r="S68" s="88"/>
      <c r="T68" s="174"/>
      <c r="U68" s="89" t="str">
        <f t="shared" si="36"/>
        <v/>
      </c>
      <c r="V68" s="57" t="str">
        <f t="shared" si="37"/>
        <v/>
      </c>
      <c r="W68" s="90" t="str">
        <f t="shared" si="38"/>
        <v/>
      </c>
      <c r="X68" s="91" t="str">
        <f t="shared" si="39"/>
        <v/>
      </c>
      <c r="Y68" s="92" t="str">
        <f t="shared" si="40"/>
        <v/>
      </c>
      <c r="Z68" s="93" t="str">
        <f t="shared" si="41"/>
        <v/>
      </c>
      <c r="AB68" s="2"/>
      <c r="AC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6"/>
      <c r="AT68" s="41" t="e">
        <f t="shared" si="42"/>
        <v>#DIV/0!</v>
      </c>
      <c r="AU68" s="41" t="e">
        <f t="shared" si="43"/>
        <v>#DIV/0!</v>
      </c>
      <c r="AV68" s="41" t="e">
        <f t="shared" si="44"/>
        <v>#DIV/0!</v>
      </c>
      <c r="AX68" s="6"/>
    </row>
    <row r="69" spans="1:50" ht="18" customHeight="1">
      <c r="A69" s="35">
        <f>INPUT!A67</f>
        <v>4</v>
      </c>
      <c r="B69" s="35" t="str">
        <f>INPUT!B67</f>
        <v>2022-00421</v>
      </c>
      <c r="C69" s="35" t="str">
        <f>INPUT!C67</f>
        <v>Bartonico, Flenzeu</v>
      </c>
      <c r="D69" s="87"/>
      <c r="E69" s="88"/>
      <c r="F69" s="88"/>
      <c r="G69" s="88"/>
      <c r="H69" s="88"/>
      <c r="I69" s="89" t="str">
        <f t="shared" si="30"/>
        <v/>
      </c>
      <c r="J69" s="57" t="str">
        <f t="shared" si="31"/>
        <v/>
      </c>
      <c r="K69" s="90" t="str">
        <f t="shared" si="32"/>
        <v/>
      </c>
      <c r="L69" s="87"/>
      <c r="M69" s="88"/>
      <c r="N69" s="88"/>
      <c r="O69" s="89" t="str">
        <f t="shared" si="33"/>
        <v/>
      </c>
      <c r="P69" s="57" t="str">
        <f t="shared" si="34"/>
        <v/>
      </c>
      <c r="Q69" s="90" t="str">
        <f t="shared" si="35"/>
        <v/>
      </c>
      <c r="R69" s="87"/>
      <c r="S69" s="88"/>
      <c r="T69" s="88"/>
      <c r="U69" s="89" t="str">
        <f t="shared" si="36"/>
        <v/>
      </c>
      <c r="V69" s="57" t="str">
        <f t="shared" si="37"/>
        <v/>
      </c>
      <c r="W69" s="90" t="str">
        <f t="shared" si="38"/>
        <v/>
      </c>
      <c r="X69" s="91" t="str">
        <f t="shared" si="39"/>
        <v/>
      </c>
      <c r="Y69" s="92" t="str">
        <f t="shared" si="40"/>
        <v/>
      </c>
      <c r="Z69" s="93" t="str">
        <f t="shared" si="41"/>
        <v/>
      </c>
      <c r="AB69" s="2"/>
      <c r="AC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6"/>
      <c r="AT69" s="41" t="e">
        <f t="shared" si="42"/>
        <v>#DIV/0!</v>
      </c>
      <c r="AU69" s="41" t="e">
        <f t="shared" si="43"/>
        <v>#DIV/0!</v>
      </c>
      <c r="AV69" s="41" t="e">
        <f t="shared" si="44"/>
        <v>#DIV/0!</v>
      </c>
      <c r="AX69" s="6"/>
    </row>
    <row r="70" spans="1:50" ht="18" customHeight="1">
      <c r="A70" s="35">
        <f>INPUT!A68</f>
        <v>5</v>
      </c>
      <c r="B70" s="35" t="str">
        <f>INPUT!B68</f>
        <v>2022-00422</v>
      </c>
      <c r="C70" s="35" t="str">
        <f>INPUT!C68</f>
        <v>Bernaldo, Rutchyl Gem</v>
      </c>
      <c r="D70" s="87"/>
      <c r="E70" s="88"/>
      <c r="F70" s="88"/>
      <c r="G70" s="88"/>
      <c r="H70" s="88"/>
      <c r="I70" s="89" t="str">
        <f t="shared" si="30"/>
        <v/>
      </c>
      <c r="J70" s="57" t="str">
        <f t="shared" si="31"/>
        <v/>
      </c>
      <c r="K70" s="90" t="str">
        <f t="shared" si="32"/>
        <v/>
      </c>
      <c r="L70" s="87"/>
      <c r="M70" s="88"/>
      <c r="N70" s="88"/>
      <c r="O70" s="89" t="str">
        <f t="shared" si="33"/>
        <v/>
      </c>
      <c r="P70" s="57" t="str">
        <f t="shared" si="34"/>
        <v/>
      </c>
      <c r="Q70" s="90" t="str">
        <f t="shared" si="35"/>
        <v/>
      </c>
      <c r="R70" s="87"/>
      <c r="S70" s="88"/>
      <c r="T70" s="88"/>
      <c r="U70" s="89" t="str">
        <f t="shared" si="36"/>
        <v/>
      </c>
      <c r="V70" s="57" t="str">
        <f t="shared" si="37"/>
        <v/>
      </c>
      <c r="W70" s="90" t="str">
        <f t="shared" si="38"/>
        <v/>
      </c>
      <c r="X70" s="91" t="str">
        <f t="shared" si="39"/>
        <v/>
      </c>
      <c r="Y70" s="92" t="str">
        <f t="shared" si="40"/>
        <v/>
      </c>
      <c r="Z70" s="93" t="str">
        <f t="shared" si="41"/>
        <v/>
      </c>
      <c r="AB70" s="2"/>
      <c r="AC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6"/>
      <c r="AT70" s="41" t="e">
        <f t="shared" si="42"/>
        <v>#DIV/0!</v>
      </c>
      <c r="AU70" s="41" t="e">
        <f t="shared" si="43"/>
        <v>#DIV/0!</v>
      </c>
      <c r="AV70" s="41" t="e">
        <f t="shared" si="44"/>
        <v>#DIV/0!</v>
      </c>
      <c r="AX70" s="6"/>
    </row>
    <row r="71" spans="1:50" ht="18" customHeight="1">
      <c r="A71" s="35">
        <f>INPUT!A69</f>
        <v>6</v>
      </c>
      <c r="B71" s="35" t="str">
        <f>INPUT!B69</f>
        <v>2022-00023</v>
      </c>
      <c r="C71" s="35" t="str">
        <f>INPUT!C69</f>
        <v>Borja, Wins Daughter</v>
      </c>
      <c r="D71" s="87"/>
      <c r="E71" s="88"/>
      <c r="F71" s="88"/>
      <c r="G71" s="88"/>
      <c r="H71" s="88"/>
      <c r="I71" s="89" t="str">
        <f t="shared" si="30"/>
        <v/>
      </c>
      <c r="J71" s="57" t="str">
        <f t="shared" si="31"/>
        <v/>
      </c>
      <c r="K71" s="90" t="str">
        <f t="shared" si="32"/>
        <v/>
      </c>
      <c r="L71" s="87"/>
      <c r="M71" s="88"/>
      <c r="N71" s="88"/>
      <c r="O71" s="89" t="str">
        <f t="shared" si="33"/>
        <v/>
      </c>
      <c r="P71" s="57" t="str">
        <f t="shared" si="34"/>
        <v/>
      </c>
      <c r="Q71" s="90" t="str">
        <f t="shared" si="35"/>
        <v/>
      </c>
      <c r="R71" s="87"/>
      <c r="S71" s="88"/>
      <c r="T71" s="88"/>
      <c r="U71" s="89" t="str">
        <f t="shared" si="36"/>
        <v/>
      </c>
      <c r="V71" s="57" t="str">
        <f t="shared" si="37"/>
        <v/>
      </c>
      <c r="W71" s="90" t="str">
        <f t="shared" si="38"/>
        <v/>
      </c>
      <c r="X71" s="91" t="str">
        <f t="shared" si="39"/>
        <v/>
      </c>
      <c r="Y71" s="92" t="str">
        <f t="shared" si="40"/>
        <v/>
      </c>
      <c r="Z71" s="93" t="str">
        <f t="shared" si="41"/>
        <v/>
      </c>
      <c r="AB71" s="2"/>
      <c r="AC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6"/>
      <c r="AT71" s="41" t="e">
        <f t="shared" si="42"/>
        <v>#DIV/0!</v>
      </c>
      <c r="AU71" s="41" t="e">
        <f t="shared" si="43"/>
        <v>#DIV/0!</v>
      </c>
      <c r="AV71" s="41" t="e">
        <f t="shared" si="44"/>
        <v>#DIV/0!</v>
      </c>
      <c r="AX71" s="6"/>
    </row>
    <row r="72" spans="1:50" ht="18" customHeight="1">
      <c r="A72" s="35">
        <f>INPUT!A70</f>
        <v>7</v>
      </c>
      <c r="B72" s="35" t="str">
        <f>INPUT!B70</f>
        <v>2023-00520</v>
      </c>
      <c r="C72" s="35" t="str">
        <f>INPUT!C70</f>
        <v>CABIGAS, HUETTE EVANNY</v>
      </c>
      <c r="D72" s="87"/>
      <c r="E72" s="88"/>
      <c r="F72" s="88"/>
      <c r="G72" s="88"/>
      <c r="H72" s="88"/>
      <c r="I72" s="89" t="str">
        <f t="shared" si="30"/>
        <v/>
      </c>
      <c r="J72" s="57" t="str">
        <f t="shared" si="31"/>
        <v/>
      </c>
      <c r="K72" s="90" t="str">
        <f t="shared" si="32"/>
        <v/>
      </c>
      <c r="L72" s="87"/>
      <c r="M72" s="88"/>
      <c r="N72" s="88"/>
      <c r="O72" s="89" t="str">
        <f t="shared" si="33"/>
        <v/>
      </c>
      <c r="P72" s="57" t="str">
        <f t="shared" si="34"/>
        <v/>
      </c>
      <c r="Q72" s="90" t="str">
        <f t="shared" si="35"/>
        <v/>
      </c>
      <c r="R72" s="87"/>
      <c r="S72" s="88"/>
      <c r="T72" s="88"/>
      <c r="U72" s="89" t="str">
        <f t="shared" si="36"/>
        <v/>
      </c>
      <c r="V72" s="57" t="str">
        <f t="shared" si="37"/>
        <v/>
      </c>
      <c r="W72" s="90" t="str">
        <f t="shared" si="38"/>
        <v/>
      </c>
      <c r="X72" s="91" t="str">
        <f t="shared" si="39"/>
        <v/>
      </c>
      <c r="Y72" s="92" t="str">
        <f t="shared" si="40"/>
        <v/>
      </c>
      <c r="Z72" s="93" t="str">
        <f t="shared" si="41"/>
        <v/>
      </c>
      <c r="AB72" s="2"/>
      <c r="AC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6"/>
      <c r="AT72" s="41" t="e">
        <f t="shared" si="42"/>
        <v>#DIV/0!</v>
      </c>
      <c r="AU72" s="41" t="e">
        <f t="shared" si="43"/>
        <v>#DIV/0!</v>
      </c>
      <c r="AV72" s="41" t="e">
        <f t="shared" si="44"/>
        <v>#DIV/0!</v>
      </c>
      <c r="AX72" s="6"/>
    </row>
    <row r="73" spans="1:50" ht="18" customHeight="1">
      <c r="A73" s="35">
        <f>INPUT!A71</f>
        <v>8</v>
      </c>
      <c r="B73" s="35" t="str">
        <f>INPUT!B71</f>
        <v>2023-00518</v>
      </c>
      <c r="C73" s="35" t="str">
        <f>INPUT!C71</f>
        <v>CAHANAP, ALESSA KRISTINE</v>
      </c>
      <c r="D73" s="87"/>
      <c r="E73" s="88"/>
      <c r="F73" s="88"/>
      <c r="G73" s="88"/>
      <c r="H73" s="88"/>
      <c r="I73" s="89" t="str">
        <f t="shared" si="30"/>
        <v/>
      </c>
      <c r="J73" s="57" t="str">
        <f t="shared" si="31"/>
        <v/>
      </c>
      <c r="K73" s="90" t="str">
        <f t="shared" si="32"/>
        <v/>
      </c>
      <c r="L73" s="87"/>
      <c r="M73" s="88"/>
      <c r="N73" s="88"/>
      <c r="O73" s="89" t="str">
        <f t="shared" si="33"/>
        <v/>
      </c>
      <c r="P73" s="57" t="str">
        <f t="shared" si="34"/>
        <v/>
      </c>
      <c r="Q73" s="90" t="str">
        <f t="shared" si="35"/>
        <v/>
      </c>
      <c r="R73" s="87"/>
      <c r="S73" s="88"/>
      <c r="T73" s="88"/>
      <c r="U73" s="89" t="str">
        <f t="shared" si="36"/>
        <v/>
      </c>
      <c r="V73" s="57" t="str">
        <f t="shared" si="37"/>
        <v/>
      </c>
      <c r="W73" s="90" t="str">
        <f t="shared" si="38"/>
        <v/>
      </c>
      <c r="X73" s="91" t="str">
        <f t="shared" si="39"/>
        <v/>
      </c>
      <c r="Y73" s="92" t="str">
        <f t="shared" si="40"/>
        <v/>
      </c>
      <c r="Z73" s="93" t="str">
        <f t="shared" si="41"/>
        <v/>
      </c>
      <c r="AB73" s="2"/>
      <c r="AC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6"/>
      <c r="AT73" s="41" t="e">
        <f t="shared" si="42"/>
        <v>#DIV/0!</v>
      </c>
      <c r="AU73" s="41" t="e">
        <f t="shared" si="43"/>
        <v>#DIV/0!</v>
      </c>
      <c r="AV73" s="41" t="e">
        <f t="shared" si="44"/>
        <v>#DIV/0!</v>
      </c>
      <c r="AX73" s="6"/>
    </row>
    <row r="74" spans="1:50" ht="18" customHeight="1">
      <c r="A74" s="35">
        <f>INPUT!A72</f>
        <v>9</v>
      </c>
      <c r="B74" s="35" t="str">
        <f>INPUT!B72</f>
        <v>2022-00025</v>
      </c>
      <c r="C74" s="35" t="str">
        <f>INPUT!C72</f>
        <v>Catubay, Cyril Jhean</v>
      </c>
      <c r="D74" s="87"/>
      <c r="E74" s="88"/>
      <c r="F74" s="88"/>
      <c r="G74" s="88"/>
      <c r="H74" s="88"/>
      <c r="I74" s="89" t="str">
        <f t="shared" si="30"/>
        <v/>
      </c>
      <c r="J74" s="57" t="str">
        <f t="shared" si="31"/>
        <v/>
      </c>
      <c r="K74" s="90" t="str">
        <f t="shared" si="32"/>
        <v/>
      </c>
      <c r="L74" s="87"/>
      <c r="M74" s="88"/>
      <c r="N74" s="88"/>
      <c r="O74" s="89" t="str">
        <f t="shared" si="33"/>
        <v/>
      </c>
      <c r="P74" s="57" t="str">
        <f t="shared" si="34"/>
        <v/>
      </c>
      <c r="Q74" s="90" t="str">
        <f t="shared" si="35"/>
        <v/>
      </c>
      <c r="R74" s="87"/>
      <c r="S74" s="88"/>
      <c r="T74" s="88"/>
      <c r="U74" s="89" t="str">
        <f t="shared" si="36"/>
        <v/>
      </c>
      <c r="V74" s="57" t="str">
        <f t="shared" si="37"/>
        <v/>
      </c>
      <c r="W74" s="90" t="str">
        <f t="shared" si="38"/>
        <v/>
      </c>
      <c r="X74" s="91" t="str">
        <f t="shared" si="39"/>
        <v/>
      </c>
      <c r="Y74" s="92" t="str">
        <f t="shared" si="40"/>
        <v/>
      </c>
      <c r="Z74" s="93" t="str">
        <f t="shared" si="41"/>
        <v/>
      </c>
      <c r="AB74" s="2"/>
      <c r="AC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6"/>
      <c r="AT74" s="41" t="e">
        <f t="shared" si="42"/>
        <v>#DIV/0!</v>
      </c>
      <c r="AU74" s="41" t="e">
        <f t="shared" si="43"/>
        <v>#DIV/0!</v>
      </c>
      <c r="AV74" s="41" t="e">
        <f t="shared" si="44"/>
        <v>#DIV/0!</v>
      </c>
      <c r="AX74" s="6"/>
    </row>
    <row r="75" spans="1:50" ht="18" customHeight="1">
      <c r="A75" s="35">
        <f>INPUT!A73</f>
        <v>10</v>
      </c>
      <c r="B75" s="35" t="str">
        <f>INPUT!B73</f>
        <v>2022-00026</v>
      </c>
      <c r="C75" s="35" t="str">
        <f>INPUT!C73</f>
        <v>Dolotallas, Ashanti Leigh</v>
      </c>
      <c r="D75" s="87"/>
      <c r="E75" s="88"/>
      <c r="F75" s="88"/>
      <c r="G75" s="88"/>
      <c r="H75" s="88"/>
      <c r="I75" s="89" t="str">
        <f t="shared" si="30"/>
        <v/>
      </c>
      <c r="J75" s="57" t="str">
        <f t="shared" si="31"/>
        <v/>
      </c>
      <c r="K75" s="90" t="str">
        <f t="shared" si="32"/>
        <v/>
      </c>
      <c r="L75" s="87"/>
      <c r="M75" s="88"/>
      <c r="N75" s="88"/>
      <c r="O75" s="89" t="str">
        <f t="shared" si="33"/>
        <v/>
      </c>
      <c r="P75" s="57" t="str">
        <f t="shared" si="34"/>
        <v/>
      </c>
      <c r="Q75" s="90" t="str">
        <f t="shared" si="35"/>
        <v/>
      </c>
      <c r="R75" s="87"/>
      <c r="S75" s="88"/>
      <c r="T75" s="88"/>
      <c r="U75" s="89" t="str">
        <f t="shared" si="36"/>
        <v/>
      </c>
      <c r="V75" s="57" t="str">
        <f t="shared" si="37"/>
        <v/>
      </c>
      <c r="W75" s="90" t="str">
        <f t="shared" si="38"/>
        <v/>
      </c>
      <c r="X75" s="91" t="str">
        <f t="shared" si="39"/>
        <v/>
      </c>
      <c r="Y75" s="92" t="str">
        <f t="shared" si="40"/>
        <v/>
      </c>
      <c r="Z75" s="93" t="str">
        <f t="shared" si="41"/>
        <v/>
      </c>
      <c r="AB75" s="2"/>
      <c r="AC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6"/>
      <c r="AT75" s="41" t="e">
        <f t="shared" si="42"/>
        <v>#DIV/0!</v>
      </c>
      <c r="AU75" s="41" t="e">
        <f t="shared" si="43"/>
        <v>#DIV/0!</v>
      </c>
      <c r="AV75" s="41" t="e">
        <f t="shared" si="44"/>
        <v>#DIV/0!</v>
      </c>
      <c r="AX75" s="6"/>
    </row>
    <row r="76" spans="1:50" ht="18" customHeight="1">
      <c r="A76" s="35">
        <f>INPUT!A74</f>
        <v>11</v>
      </c>
      <c r="B76" s="35" t="str">
        <f>INPUT!B74</f>
        <v>2022-00027</v>
      </c>
      <c r="C76" s="35" t="str">
        <f>INPUT!C74</f>
        <v>Egay, Charice</v>
      </c>
      <c r="D76" s="87"/>
      <c r="E76" s="88"/>
      <c r="F76" s="88"/>
      <c r="G76" s="88"/>
      <c r="H76" s="88"/>
      <c r="I76" s="89" t="str">
        <f t="shared" si="30"/>
        <v/>
      </c>
      <c r="J76" s="57" t="str">
        <f t="shared" si="31"/>
        <v/>
      </c>
      <c r="K76" s="90" t="str">
        <f t="shared" si="32"/>
        <v/>
      </c>
      <c r="L76" s="87"/>
      <c r="M76" s="88"/>
      <c r="N76" s="88"/>
      <c r="O76" s="89" t="str">
        <f t="shared" si="33"/>
        <v/>
      </c>
      <c r="P76" s="57" t="str">
        <f t="shared" si="34"/>
        <v/>
      </c>
      <c r="Q76" s="90" t="str">
        <f t="shared" si="35"/>
        <v/>
      </c>
      <c r="R76" s="87"/>
      <c r="S76" s="88"/>
      <c r="T76" s="88"/>
      <c r="U76" s="89" t="str">
        <f t="shared" si="36"/>
        <v/>
      </c>
      <c r="V76" s="57" t="str">
        <f t="shared" si="37"/>
        <v/>
      </c>
      <c r="W76" s="90" t="str">
        <f t="shared" si="38"/>
        <v/>
      </c>
      <c r="X76" s="91" t="str">
        <f t="shared" si="39"/>
        <v/>
      </c>
      <c r="Y76" s="92" t="str">
        <f t="shared" si="40"/>
        <v/>
      </c>
      <c r="Z76" s="93" t="str">
        <f t="shared" si="41"/>
        <v/>
      </c>
      <c r="AB76" s="2"/>
      <c r="AC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6"/>
      <c r="AT76" s="41" t="e">
        <f t="shared" si="42"/>
        <v>#DIV/0!</v>
      </c>
      <c r="AU76" s="41" t="e">
        <f t="shared" si="43"/>
        <v>#DIV/0!</v>
      </c>
      <c r="AV76" s="41" t="e">
        <f t="shared" si="44"/>
        <v>#DIV/0!</v>
      </c>
      <c r="AX76" s="6"/>
    </row>
    <row r="77" spans="1:50" ht="18" customHeight="1">
      <c r="A77" s="35">
        <f>INPUT!A75</f>
        <v>12</v>
      </c>
      <c r="B77" s="35" t="str">
        <f>INPUT!B75</f>
        <v>2022-00028</v>
      </c>
      <c r="C77" s="35" t="str">
        <f>INPUT!C75</f>
        <v>Ferraren, Abegail Jane</v>
      </c>
      <c r="D77" s="87"/>
      <c r="E77" s="88"/>
      <c r="F77" s="88"/>
      <c r="G77" s="88"/>
      <c r="H77" s="88"/>
      <c r="I77" s="89" t="str">
        <f t="shared" si="30"/>
        <v/>
      </c>
      <c r="J77" s="57" t="str">
        <f t="shared" si="31"/>
        <v/>
      </c>
      <c r="K77" s="90" t="str">
        <f t="shared" si="32"/>
        <v/>
      </c>
      <c r="L77" s="87"/>
      <c r="M77" s="88"/>
      <c r="N77" s="88"/>
      <c r="O77" s="89" t="str">
        <f t="shared" si="33"/>
        <v/>
      </c>
      <c r="P77" s="57" t="str">
        <f t="shared" si="34"/>
        <v/>
      </c>
      <c r="Q77" s="90" t="str">
        <f t="shared" si="35"/>
        <v/>
      </c>
      <c r="R77" s="87"/>
      <c r="S77" s="88"/>
      <c r="T77" s="88"/>
      <c r="U77" s="89" t="str">
        <f t="shared" si="36"/>
        <v/>
      </c>
      <c r="V77" s="57" t="str">
        <f t="shared" si="37"/>
        <v/>
      </c>
      <c r="W77" s="90" t="str">
        <f t="shared" si="38"/>
        <v/>
      </c>
      <c r="X77" s="91" t="str">
        <f t="shared" si="39"/>
        <v/>
      </c>
      <c r="Y77" s="92" t="str">
        <f t="shared" si="40"/>
        <v/>
      </c>
      <c r="Z77" s="93" t="str">
        <f t="shared" si="41"/>
        <v/>
      </c>
      <c r="AB77" s="2"/>
      <c r="AC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6"/>
      <c r="AT77" s="41" t="e">
        <f t="shared" si="42"/>
        <v>#DIV/0!</v>
      </c>
      <c r="AU77" s="41" t="e">
        <f t="shared" si="43"/>
        <v>#DIV/0!</v>
      </c>
      <c r="AV77" s="41" t="e">
        <f t="shared" si="44"/>
        <v>#DIV/0!</v>
      </c>
      <c r="AX77" s="6"/>
    </row>
    <row r="78" spans="1:50" ht="18" customHeight="1">
      <c r="A78" s="35">
        <f>INPUT!A76</f>
        <v>13</v>
      </c>
      <c r="B78" s="35" t="str">
        <f>INPUT!B76</f>
        <v>2022-00029</v>
      </c>
      <c r="C78" s="35" t="str">
        <f>INPUT!C76</f>
        <v>Gales, Jillian</v>
      </c>
      <c r="D78" s="87"/>
      <c r="E78" s="88"/>
      <c r="F78" s="88"/>
      <c r="G78" s="88"/>
      <c r="H78" s="88"/>
      <c r="I78" s="89" t="str">
        <f t="shared" si="30"/>
        <v/>
      </c>
      <c r="J78" s="57" t="str">
        <f t="shared" si="31"/>
        <v/>
      </c>
      <c r="K78" s="90" t="str">
        <f t="shared" si="32"/>
        <v/>
      </c>
      <c r="L78" s="87"/>
      <c r="M78" s="88"/>
      <c r="N78" s="88"/>
      <c r="O78" s="89" t="str">
        <f t="shared" si="33"/>
        <v/>
      </c>
      <c r="P78" s="57" t="str">
        <f t="shared" si="34"/>
        <v/>
      </c>
      <c r="Q78" s="90" t="str">
        <f t="shared" si="35"/>
        <v/>
      </c>
      <c r="R78" s="87"/>
      <c r="S78" s="88"/>
      <c r="T78" s="88"/>
      <c r="U78" s="89" t="str">
        <f t="shared" si="36"/>
        <v/>
      </c>
      <c r="V78" s="57" t="str">
        <f t="shared" si="37"/>
        <v/>
      </c>
      <c r="W78" s="90" t="str">
        <f t="shared" si="38"/>
        <v/>
      </c>
      <c r="X78" s="91" t="str">
        <f t="shared" si="39"/>
        <v/>
      </c>
      <c r="Y78" s="92" t="str">
        <f t="shared" si="40"/>
        <v/>
      </c>
      <c r="Z78" s="93" t="str">
        <f t="shared" si="41"/>
        <v/>
      </c>
      <c r="AB78" s="2"/>
      <c r="AC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6"/>
      <c r="AT78" s="41" t="e">
        <f t="shared" si="42"/>
        <v>#DIV/0!</v>
      </c>
      <c r="AU78" s="41" t="e">
        <f t="shared" si="43"/>
        <v>#DIV/0!</v>
      </c>
      <c r="AV78" s="41" t="e">
        <f t="shared" si="44"/>
        <v>#DIV/0!</v>
      </c>
      <c r="AX78" s="6"/>
    </row>
    <row r="79" spans="1:50" ht="18" customHeight="1">
      <c r="A79" s="35">
        <f>INPUT!A77</f>
        <v>14</v>
      </c>
      <c r="B79" s="35" t="str">
        <f>INPUT!B77</f>
        <v>2022-00030</v>
      </c>
      <c r="C79" s="35" t="str">
        <f>INPUT!C77</f>
        <v>Logronio, Cherry Pearl</v>
      </c>
      <c r="D79" s="87"/>
      <c r="E79" s="88"/>
      <c r="F79" s="88"/>
      <c r="G79" s="88"/>
      <c r="H79" s="88"/>
      <c r="I79" s="89" t="str">
        <f t="shared" si="30"/>
        <v/>
      </c>
      <c r="J79" s="57" t="str">
        <f t="shared" si="31"/>
        <v/>
      </c>
      <c r="K79" s="90" t="str">
        <f t="shared" si="32"/>
        <v/>
      </c>
      <c r="L79" s="87"/>
      <c r="M79" s="88"/>
      <c r="N79" s="88"/>
      <c r="O79" s="89" t="str">
        <f t="shared" si="33"/>
        <v/>
      </c>
      <c r="P79" s="57" t="str">
        <f t="shared" si="34"/>
        <v/>
      </c>
      <c r="Q79" s="90" t="str">
        <f t="shared" si="35"/>
        <v/>
      </c>
      <c r="R79" s="87"/>
      <c r="S79" s="88"/>
      <c r="T79" s="88"/>
      <c r="U79" s="89" t="str">
        <f t="shared" si="36"/>
        <v/>
      </c>
      <c r="V79" s="57" t="str">
        <f t="shared" si="37"/>
        <v/>
      </c>
      <c r="W79" s="90" t="str">
        <f t="shared" si="38"/>
        <v/>
      </c>
      <c r="X79" s="91" t="str">
        <f t="shared" si="39"/>
        <v/>
      </c>
      <c r="Y79" s="92" t="str">
        <f t="shared" si="40"/>
        <v/>
      </c>
      <c r="Z79" s="93" t="str">
        <f t="shared" si="41"/>
        <v/>
      </c>
      <c r="AB79" s="2"/>
      <c r="AC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6"/>
      <c r="AT79" s="41" t="e">
        <f t="shared" si="42"/>
        <v>#DIV/0!</v>
      </c>
      <c r="AU79" s="41" t="e">
        <f t="shared" si="43"/>
        <v>#DIV/0!</v>
      </c>
      <c r="AV79" s="41" t="e">
        <f t="shared" si="44"/>
        <v>#DIV/0!</v>
      </c>
      <c r="AX79" s="6"/>
    </row>
    <row r="80" spans="1:50" ht="18" customHeight="1">
      <c r="A80" s="35">
        <f>INPUT!A78</f>
        <v>15</v>
      </c>
      <c r="B80" s="35" t="str">
        <f>INPUT!B78</f>
        <v>2022-00031</v>
      </c>
      <c r="C80" s="35" t="str">
        <f>INPUT!C78</f>
        <v>Mayo, Hershey Lhe</v>
      </c>
      <c r="D80" s="87"/>
      <c r="E80" s="88"/>
      <c r="F80" s="88"/>
      <c r="G80" s="88"/>
      <c r="H80" s="88"/>
      <c r="I80" s="89" t="str">
        <f t="shared" si="30"/>
        <v/>
      </c>
      <c r="J80" s="57" t="str">
        <f t="shared" si="31"/>
        <v/>
      </c>
      <c r="K80" s="90" t="str">
        <f t="shared" si="32"/>
        <v/>
      </c>
      <c r="L80" s="87"/>
      <c r="M80" s="88"/>
      <c r="N80" s="88"/>
      <c r="O80" s="89" t="str">
        <f t="shared" si="33"/>
        <v/>
      </c>
      <c r="P80" s="57" t="str">
        <f t="shared" si="34"/>
        <v/>
      </c>
      <c r="Q80" s="90" t="str">
        <f t="shared" si="35"/>
        <v/>
      </c>
      <c r="R80" s="87"/>
      <c r="S80" s="88"/>
      <c r="T80" s="88"/>
      <c r="U80" s="89" t="str">
        <f t="shared" si="36"/>
        <v/>
      </c>
      <c r="V80" s="57" t="str">
        <f t="shared" si="37"/>
        <v/>
      </c>
      <c r="W80" s="90" t="str">
        <f t="shared" si="38"/>
        <v/>
      </c>
      <c r="X80" s="91" t="str">
        <f t="shared" si="39"/>
        <v/>
      </c>
      <c r="Y80" s="92" t="str">
        <f t="shared" si="40"/>
        <v/>
      </c>
      <c r="Z80" s="93" t="str">
        <f t="shared" si="41"/>
        <v/>
      </c>
      <c r="AB80" s="2"/>
      <c r="AC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6"/>
      <c r="AT80" s="41" t="e">
        <f t="shared" si="42"/>
        <v>#DIV/0!</v>
      </c>
      <c r="AU80" s="41" t="e">
        <f t="shared" si="43"/>
        <v>#DIV/0!</v>
      </c>
      <c r="AV80" s="41" t="e">
        <f t="shared" si="44"/>
        <v>#DIV/0!</v>
      </c>
      <c r="AX80" s="6"/>
    </row>
    <row r="81" spans="1:50" ht="18" customHeight="1">
      <c r="A81" s="35">
        <f>INPUT!A79</f>
        <v>16</v>
      </c>
      <c r="B81" s="35" t="str">
        <f>INPUT!B79</f>
        <v>2023-00591</v>
      </c>
      <c r="C81" s="35" t="str">
        <f>INPUT!C79</f>
        <v>Minguito, Vibriel</v>
      </c>
      <c r="D81" s="87"/>
      <c r="E81" s="88"/>
      <c r="F81" s="88"/>
      <c r="G81" s="88"/>
      <c r="H81" s="88"/>
      <c r="I81" s="89" t="str">
        <f t="shared" si="30"/>
        <v/>
      </c>
      <c r="J81" s="57" t="str">
        <f t="shared" si="31"/>
        <v/>
      </c>
      <c r="K81" s="90" t="str">
        <f t="shared" si="32"/>
        <v/>
      </c>
      <c r="L81" s="87"/>
      <c r="M81" s="88"/>
      <c r="N81" s="88"/>
      <c r="O81" s="89" t="str">
        <f t="shared" si="33"/>
        <v/>
      </c>
      <c r="P81" s="57" t="str">
        <f t="shared" si="34"/>
        <v/>
      </c>
      <c r="Q81" s="90" t="str">
        <f t="shared" si="35"/>
        <v/>
      </c>
      <c r="R81" s="87"/>
      <c r="S81" s="88"/>
      <c r="T81" s="88"/>
      <c r="U81" s="89" t="str">
        <f t="shared" si="36"/>
        <v/>
      </c>
      <c r="V81" s="57" t="str">
        <f t="shared" si="37"/>
        <v/>
      </c>
      <c r="W81" s="90" t="str">
        <f t="shared" si="38"/>
        <v/>
      </c>
      <c r="X81" s="91" t="str">
        <f t="shared" si="39"/>
        <v/>
      </c>
      <c r="Y81" s="92" t="str">
        <f t="shared" si="40"/>
        <v/>
      </c>
      <c r="Z81" s="93" t="str">
        <f t="shared" si="41"/>
        <v/>
      </c>
      <c r="AB81" s="2"/>
      <c r="AC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6"/>
      <c r="AT81" s="41" t="e">
        <f t="shared" si="42"/>
        <v>#DIV/0!</v>
      </c>
      <c r="AU81" s="41" t="e">
        <f t="shared" si="43"/>
        <v>#DIV/0!</v>
      </c>
      <c r="AV81" s="41" t="e">
        <f t="shared" si="44"/>
        <v>#DIV/0!</v>
      </c>
      <c r="AX81" s="6"/>
    </row>
    <row r="82" spans="1:50" ht="18" customHeight="1">
      <c r="A82" s="35">
        <f>INPUT!A80</f>
        <v>17</v>
      </c>
      <c r="B82" s="35" t="str">
        <f>INPUT!B80</f>
        <v>2023-00513</v>
      </c>
      <c r="C82" s="35" t="str">
        <f>INPUT!C80</f>
        <v>OCASION, ELISHA MAE</v>
      </c>
      <c r="D82" s="87"/>
      <c r="E82" s="88"/>
      <c r="F82" s="88"/>
      <c r="G82" s="88"/>
      <c r="H82" s="88"/>
      <c r="I82" s="89" t="str">
        <f t="shared" si="30"/>
        <v/>
      </c>
      <c r="J82" s="57" t="str">
        <f t="shared" si="31"/>
        <v/>
      </c>
      <c r="K82" s="90" t="str">
        <f t="shared" si="32"/>
        <v/>
      </c>
      <c r="L82" s="87"/>
      <c r="M82" s="88"/>
      <c r="N82" s="88"/>
      <c r="O82" s="89" t="str">
        <f t="shared" si="33"/>
        <v/>
      </c>
      <c r="P82" s="57" t="str">
        <f t="shared" si="34"/>
        <v/>
      </c>
      <c r="Q82" s="90" t="str">
        <f t="shared" si="35"/>
        <v/>
      </c>
      <c r="R82" s="87"/>
      <c r="S82" s="88"/>
      <c r="T82" s="88"/>
      <c r="U82" s="89" t="str">
        <f t="shared" si="36"/>
        <v/>
      </c>
      <c r="V82" s="57" t="str">
        <f t="shared" si="37"/>
        <v/>
      </c>
      <c r="W82" s="90" t="str">
        <f t="shared" si="38"/>
        <v/>
      </c>
      <c r="X82" s="91" t="str">
        <f t="shared" si="39"/>
        <v/>
      </c>
      <c r="Y82" s="92" t="str">
        <f t="shared" si="40"/>
        <v/>
      </c>
      <c r="Z82" s="93" t="str">
        <f t="shared" si="41"/>
        <v/>
      </c>
      <c r="AB82" s="2"/>
      <c r="AC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6"/>
      <c r="AT82" s="41" t="e">
        <f t="shared" si="42"/>
        <v>#DIV/0!</v>
      </c>
      <c r="AU82" s="41" t="e">
        <f t="shared" si="43"/>
        <v>#DIV/0!</v>
      </c>
      <c r="AV82" s="41" t="e">
        <f t="shared" si="44"/>
        <v>#DIV/0!</v>
      </c>
      <c r="AX82" s="6"/>
    </row>
    <row r="83" spans="1:50" ht="18" customHeight="1">
      <c r="A83" s="35">
        <f>INPUT!A81</f>
        <v>18</v>
      </c>
      <c r="B83" s="35" t="str">
        <f>INPUT!B81</f>
        <v>2022-00032</v>
      </c>
      <c r="C83" s="35" t="str">
        <f>INPUT!C81</f>
        <v>Omega, Jabeah Kharla</v>
      </c>
      <c r="D83" s="87"/>
      <c r="E83" s="88"/>
      <c r="F83" s="88"/>
      <c r="G83" s="88"/>
      <c r="H83" s="88"/>
      <c r="I83" s="89" t="str">
        <f t="shared" si="30"/>
        <v/>
      </c>
      <c r="J83" s="57" t="str">
        <f t="shared" si="31"/>
        <v/>
      </c>
      <c r="K83" s="90" t="str">
        <f t="shared" si="32"/>
        <v/>
      </c>
      <c r="L83" s="87"/>
      <c r="M83" s="88"/>
      <c r="N83" s="88"/>
      <c r="O83" s="89" t="str">
        <f t="shared" si="33"/>
        <v/>
      </c>
      <c r="P83" s="57" t="str">
        <f t="shared" si="34"/>
        <v/>
      </c>
      <c r="Q83" s="90" t="str">
        <f t="shared" si="35"/>
        <v/>
      </c>
      <c r="R83" s="87"/>
      <c r="S83" s="88"/>
      <c r="T83" s="88"/>
      <c r="U83" s="89" t="str">
        <f t="shared" si="36"/>
        <v/>
      </c>
      <c r="V83" s="57" t="str">
        <f t="shared" si="37"/>
        <v/>
      </c>
      <c r="W83" s="90" t="str">
        <f t="shared" si="38"/>
        <v/>
      </c>
      <c r="X83" s="91" t="str">
        <f t="shared" si="39"/>
        <v/>
      </c>
      <c r="Y83" s="92" t="str">
        <f t="shared" si="40"/>
        <v/>
      </c>
      <c r="Z83" s="93" t="str">
        <f t="shared" si="41"/>
        <v/>
      </c>
      <c r="AB83" s="2"/>
      <c r="AC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6"/>
      <c r="AT83" s="41" t="e">
        <f t="shared" si="42"/>
        <v>#DIV/0!</v>
      </c>
      <c r="AU83" s="41" t="e">
        <f t="shared" si="43"/>
        <v>#DIV/0!</v>
      </c>
      <c r="AV83" s="41" t="e">
        <f t="shared" si="44"/>
        <v>#DIV/0!</v>
      </c>
      <c r="AX83" s="6"/>
    </row>
    <row r="84" spans="1:50" ht="18" customHeight="1">
      <c r="A84" s="35">
        <f>INPUT!A82</f>
        <v>19</v>
      </c>
      <c r="B84" s="35" t="str">
        <f>INPUT!B82</f>
        <v>2022-00077</v>
      </c>
      <c r="C84" s="35" t="str">
        <f>INPUT!C82</f>
        <v>Pacli-an, Quennie Joy</v>
      </c>
      <c r="D84" s="87"/>
      <c r="E84" s="88"/>
      <c r="F84" s="88"/>
      <c r="G84" s="88"/>
      <c r="H84" s="88"/>
      <c r="I84" s="89" t="str">
        <f t="shared" si="30"/>
        <v/>
      </c>
      <c r="J84" s="57" t="str">
        <f t="shared" si="31"/>
        <v/>
      </c>
      <c r="K84" s="90" t="str">
        <f t="shared" si="32"/>
        <v/>
      </c>
      <c r="L84" s="87"/>
      <c r="M84" s="88"/>
      <c r="N84" s="88"/>
      <c r="O84" s="89" t="str">
        <f t="shared" si="33"/>
        <v/>
      </c>
      <c r="P84" s="57" t="str">
        <f t="shared" si="34"/>
        <v/>
      </c>
      <c r="Q84" s="90" t="str">
        <f t="shared" si="35"/>
        <v/>
      </c>
      <c r="R84" s="87"/>
      <c r="S84" s="88"/>
      <c r="T84" s="88"/>
      <c r="U84" s="89" t="str">
        <f t="shared" si="36"/>
        <v/>
      </c>
      <c r="V84" s="57" t="str">
        <f t="shared" si="37"/>
        <v/>
      </c>
      <c r="W84" s="90" t="str">
        <f t="shared" si="38"/>
        <v/>
      </c>
      <c r="X84" s="91" t="str">
        <f t="shared" si="39"/>
        <v/>
      </c>
      <c r="Y84" s="92" t="str">
        <f t="shared" si="40"/>
        <v/>
      </c>
      <c r="Z84" s="93" t="str">
        <f t="shared" si="41"/>
        <v/>
      </c>
      <c r="AB84" s="2"/>
      <c r="AC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6"/>
      <c r="AT84" s="41" t="e">
        <f t="shared" si="42"/>
        <v>#DIV/0!</v>
      </c>
      <c r="AU84" s="41" t="e">
        <f t="shared" si="43"/>
        <v>#DIV/0!</v>
      </c>
      <c r="AV84" s="41" t="e">
        <f t="shared" si="44"/>
        <v>#DIV/0!</v>
      </c>
      <c r="AX84" s="6"/>
    </row>
    <row r="85" spans="1:50" ht="18" customHeight="1">
      <c r="A85" s="35">
        <f>INPUT!A83</f>
        <v>20</v>
      </c>
      <c r="B85" s="35" t="str">
        <f>INPUT!B83</f>
        <v>2022-00033</v>
      </c>
      <c r="C85" s="35" t="str">
        <f>INPUT!C83</f>
        <v>Pasco, Raechelle Vyene</v>
      </c>
      <c r="D85" s="87"/>
      <c r="E85" s="88"/>
      <c r="F85" s="88"/>
      <c r="G85" s="88"/>
      <c r="H85" s="88"/>
      <c r="I85" s="89" t="str">
        <f t="shared" si="30"/>
        <v/>
      </c>
      <c r="J85" s="57" t="str">
        <f t="shared" si="31"/>
        <v/>
      </c>
      <c r="K85" s="90" t="str">
        <f t="shared" si="32"/>
        <v/>
      </c>
      <c r="L85" s="87"/>
      <c r="M85" s="88"/>
      <c r="N85" s="88"/>
      <c r="O85" s="89" t="str">
        <f t="shared" si="33"/>
        <v/>
      </c>
      <c r="P85" s="57" t="str">
        <f t="shared" si="34"/>
        <v/>
      </c>
      <c r="Q85" s="90" t="str">
        <f t="shared" si="35"/>
        <v/>
      </c>
      <c r="R85" s="87"/>
      <c r="S85" s="88"/>
      <c r="T85" s="88"/>
      <c r="U85" s="89" t="str">
        <f t="shared" si="36"/>
        <v/>
      </c>
      <c r="V85" s="57" t="str">
        <f t="shared" si="37"/>
        <v/>
      </c>
      <c r="W85" s="90" t="str">
        <f t="shared" si="38"/>
        <v/>
      </c>
      <c r="X85" s="91" t="str">
        <f t="shared" si="39"/>
        <v/>
      </c>
      <c r="Y85" s="92" t="str">
        <f t="shared" si="40"/>
        <v/>
      </c>
      <c r="Z85" s="93" t="str">
        <f t="shared" si="41"/>
        <v/>
      </c>
      <c r="AB85" s="2"/>
      <c r="AC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6"/>
      <c r="AT85" s="41" t="e">
        <f t="shared" si="42"/>
        <v>#DIV/0!</v>
      </c>
      <c r="AU85" s="41" t="e">
        <f t="shared" si="43"/>
        <v>#DIV/0!</v>
      </c>
      <c r="AV85" s="41" t="e">
        <f t="shared" si="44"/>
        <v>#DIV/0!</v>
      </c>
      <c r="AX85" s="6"/>
    </row>
    <row r="86" spans="1:50" ht="18" customHeight="1">
      <c r="A86" s="35">
        <f>INPUT!A84</f>
        <v>21</v>
      </c>
      <c r="B86" s="35" t="str">
        <f>INPUT!B84</f>
        <v>2022-00036</v>
      </c>
      <c r="C86" s="35" t="str">
        <f>INPUT!C84</f>
        <v>Sagadsad, Daphney</v>
      </c>
      <c r="D86" s="87"/>
      <c r="E86" s="88"/>
      <c r="F86" s="88"/>
      <c r="G86" s="88"/>
      <c r="H86" s="88"/>
      <c r="I86" s="89" t="str">
        <f t="shared" si="30"/>
        <v/>
      </c>
      <c r="J86" s="57" t="str">
        <f t="shared" si="31"/>
        <v/>
      </c>
      <c r="K86" s="90" t="str">
        <f t="shared" si="32"/>
        <v/>
      </c>
      <c r="L86" s="87"/>
      <c r="M86" s="88"/>
      <c r="N86" s="88"/>
      <c r="O86" s="89" t="str">
        <f t="shared" si="33"/>
        <v/>
      </c>
      <c r="P86" s="57" t="str">
        <f t="shared" si="34"/>
        <v/>
      </c>
      <c r="Q86" s="90" t="str">
        <f t="shared" si="35"/>
        <v/>
      </c>
      <c r="R86" s="87"/>
      <c r="S86" s="88"/>
      <c r="T86" s="88"/>
      <c r="U86" s="89" t="str">
        <f t="shared" si="36"/>
        <v/>
      </c>
      <c r="V86" s="57" t="str">
        <f t="shared" si="37"/>
        <v/>
      </c>
      <c r="W86" s="90" t="str">
        <f t="shared" si="38"/>
        <v/>
      </c>
      <c r="X86" s="91" t="str">
        <f t="shared" si="39"/>
        <v/>
      </c>
      <c r="Y86" s="92" t="str">
        <f t="shared" si="40"/>
        <v/>
      </c>
      <c r="Z86" s="93" t="str">
        <f t="shared" si="41"/>
        <v/>
      </c>
      <c r="AB86" s="2"/>
      <c r="AC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6"/>
      <c r="AT86" s="41" t="e">
        <f t="shared" si="42"/>
        <v>#DIV/0!</v>
      </c>
      <c r="AU86" s="41" t="e">
        <f t="shared" si="43"/>
        <v>#DIV/0!</v>
      </c>
      <c r="AV86" s="41" t="e">
        <f t="shared" si="44"/>
        <v>#DIV/0!</v>
      </c>
      <c r="AX86" s="6"/>
    </row>
    <row r="87" spans="1:50" ht="18" customHeight="1">
      <c r="A87" s="35">
        <f>INPUT!A85</f>
        <v>22</v>
      </c>
      <c r="B87" s="35" t="str">
        <f>INPUT!B85</f>
        <v>2022-00037</v>
      </c>
      <c r="C87" s="35" t="str">
        <f>INPUT!C85</f>
        <v>Sendrijas, Zeleen</v>
      </c>
      <c r="D87" s="87"/>
      <c r="E87" s="88"/>
      <c r="F87" s="88"/>
      <c r="G87" s="88"/>
      <c r="H87" s="88"/>
      <c r="I87" s="89" t="str">
        <f t="shared" si="30"/>
        <v/>
      </c>
      <c r="J87" s="57" t="str">
        <f t="shared" si="31"/>
        <v/>
      </c>
      <c r="K87" s="90" t="str">
        <f t="shared" si="32"/>
        <v/>
      </c>
      <c r="L87" s="87"/>
      <c r="M87" s="88"/>
      <c r="N87" s="88"/>
      <c r="O87" s="89" t="str">
        <f t="shared" si="33"/>
        <v/>
      </c>
      <c r="P87" s="57" t="str">
        <f t="shared" si="34"/>
        <v/>
      </c>
      <c r="Q87" s="90" t="str">
        <f t="shared" si="35"/>
        <v/>
      </c>
      <c r="R87" s="87"/>
      <c r="S87" s="88"/>
      <c r="T87" s="88"/>
      <c r="U87" s="89" t="str">
        <f t="shared" si="36"/>
        <v/>
      </c>
      <c r="V87" s="57" t="str">
        <f t="shared" si="37"/>
        <v/>
      </c>
      <c r="W87" s="90" t="str">
        <f t="shared" si="38"/>
        <v/>
      </c>
      <c r="X87" s="91" t="str">
        <f t="shared" si="39"/>
        <v/>
      </c>
      <c r="Y87" s="92" t="str">
        <f t="shared" si="40"/>
        <v/>
      </c>
      <c r="Z87" s="93" t="str">
        <f t="shared" si="41"/>
        <v/>
      </c>
      <c r="AB87" s="2"/>
      <c r="AC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6"/>
      <c r="AT87" s="41" t="e">
        <f t="shared" si="42"/>
        <v>#DIV/0!</v>
      </c>
      <c r="AU87" s="41" t="e">
        <f t="shared" si="43"/>
        <v>#DIV/0!</v>
      </c>
      <c r="AV87" s="41" t="e">
        <f t="shared" si="44"/>
        <v>#DIV/0!</v>
      </c>
      <c r="AX87" s="6"/>
    </row>
    <row r="88" spans="1:50" ht="18" customHeight="1">
      <c r="A88" s="35">
        <f>INPUT!A86</f>
        <v>23</v>
      </c>
      <c r="B88" s="35" t="str">
        <f>INPUT!B86</f>
        <v>2023-00429</v>
      </c>
      <c r="C88" s="35" t="str">
        <f>INPUT!C86</f>
        <v>Tero, Samantha Nichole</v>
      </c>
      <c r="D88" s="87"/>
      <c r="E88" s="88"/>
      <c r="F88" s="88"/>
      <c r="G88" s="88"/>
      <c r="H88" s="88"/>
      <c r="I88" s="89" t="str">
        <f t="shared" si="30"/>
        <v/>
      </c>
      <c r="J88" s="57" t="str">
        <f t="shared" si="31"/>
        <v/>
      </c>
      <c r="K88" s="90" t="str">
        <f t="shared" si="32"/>
        <v/>
      </c>
      <c r="L88" s="87"/>
      <c r="M88" s="88"/>
      <c r="N88" s="88"/>
      <c r="O88" s="89" t="str">
        <f t="shared" si="33"/>
        <v/>
      </c>
      <c r="P88" s="57" t="str">
        <f t="shared" si="34"/>
        <v/>
      </c>
      <c r="Q88" s="90" t="str">
        <f t="shared" si="35"/>
        <v/>
      </c>
      <c r="R88" s="87"/>
      <c r="S88" s="88"/>
      <c r="T88" s="88"/>
      <c r="U88" s="89" t="str">
        <f t="shared" si="36"/>
        <v/>
      </c>
      <c r="V88" s="57" t="str">
        <f t="shared" si="37"/>
        <v/>
      </c>
      <c r="W88" s="90" t="str">
        <f t="shared" si="38"/>
        <v/>
      </c>
      <c r="X88" s="91" t="str">
        <f t="shared" si="39"/>
        <v/>
      </c>
      <c r="Y88" s="92" t="str">
        <f t="shared" si="40"/>
        <v/>
      </c>
      <c r="Z88" s="93" t="str">
        <f t="shared" si="41"/>
        <v/>
      </c>
      <c r="AB88" s="2"/>
      <c r="AC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6"/>
      <c r="AT88" s="41" t="e">
        <f t="shared" si="42"/>
        <v>#DIV/0!</v>
      </c>
      <c r="AU88" s="41" t="e">
        <f t="shared" si="43"/>
        <v>#DIV/0!</v>
      </c>
      <c r="AV88" s="41" t="e">
        <f t="shared" si="44"/>
        <v>#DIV/0!</v>
      </c>
      <c r="AX88" s="6"/>
    </row>
    <row r="89" spans="1:50" ht="18" customHeight="1">
      <c r="A89" s="35">
        <f>INPUT!A87</f>
        <v>24</v>
      </c>
      <c r="B89" s="35" t="str">
        <f>INPUT!B87</f>
        <v>2022-00039</v>
      </c>
      <c r="C89" s="35" t="str">
        <f>INPUT!C87</f>
        <v>Toledo, Sarah Mae</v>
      </c>
      <c r="D89" s="87"/>
      <c r="E89" s="88"/>
      <c r="F89" s="88"/>
      <c r="G89" s="88"/>
      <c r="H89" s="88"/>
      <c r="I89" s="89" t="str">
        <f t="shared" si="30"/>
        <v/>
      </c>
      <c r="J89" s="57" t="str">
        <f t="shared" si="31"/>
        <v/>
      </c>
      <c r="K89" s="90" t="str">
        <f t="shared" si="32"/>
        <v/>
      </c>
      <c r="L89" s="87"/>
      <c r="M89" s="88"/>
      <c r="N89" s="88"/>
      <c r="O89" s="89" t="str">
        <f t="shared" si="33"/>
        <v/>
      </c>
      <c r="P89" s="57" t="str">
        <f t="shared" si="34"/>
        <v/>
      </c>
      <c r="Q89" s="90" t="str">
        <f t="shared" si="35"/>
        <v/>
      </c>
      <c r="R89" s="87"/>
      <c r="S89" s="88"/>
      <c r="T89" s="88"/>
      <c r="U89" s="89" t="str">
        <f t="shared" si="36"/>
        <v/>
      </c>
      <c r="V89" s="57" t="str">
        <f t="shared" si="37"/>
        <v/>
      </c>
      <c r="W89" s="90" t="str">
        <f t="shared" si="38"/>
        <v/>
      </c>
      <c r="X89" s="91" t="str">
        <f t="shared" si="39"/>
        <v/>
      </c>
      <c r="Y89" s="92" t="str">
        <f t="shared" si="40"/>
        <v/>
      </c>
      <c r="Z89" s="93" t="str">
        <f t="shared" si="41"/>
        <v/>
      </c>
      <c r="AB89" s="2"/>
      <c r="AC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6"/>
      <c r="AT89" s="41" t="e">
        <f t="shared" si="42"/>
        <v>#DIV/0!</v>
      </c>
      <c r="AU89" s="41" t="e">
        <f t="shared" si="43"/>
        <v>#DIV/0!</v>
      </c>
      <c r="AV89" s="41" t="e">
        <f t="shared" si="44"/>
        <v>#DIV/0!</v>
      </c>
      <c r="AX89" s="6"/>
    </row>
    <row r="90" spans="1:50" ht="18" customHeight="1">
      <c r="A90" s="35">
        <f>INPUT!A88</f>
        <v>25</v>
      </c>
      <c r="B90" s="35" t="str">
        <f>INPUT!B88</f>
        <v>2022-00040</v>
      </c>
      <c r="C90" s="35" t="str">
        <f>INPUT!C88</f>
        <v>Urdaneta, Khloue Aysel</v>
      </c>
      <c r="D90" s="87"/>
      <c r="E90" s="88"/>
      <c r="F90" s="88"/>
      <c r="G90" s="88"/>
      <c r="H90" s="88"/>
      <c r="I90" s="89" t="str">
        <f t="shared" si="30"/>
        <v/>
      </c>
      <c r="J90" s="57" t="str">
        <f t="shared" si="31"/>
        <v/>
      </c>
      <c r="K90" s="90" t="str">
        <f t="shared" si="32"/>
        <v/>
      </c>
      <c r="L90" s="87"/>
      <c r="M90" s="88"/>
      <c r="N90" s="88"/>
      <c r="O90" s="89" t="str">
        <f t="shared" si="33"/>
        <v/>
      </c>
      <c r="P90" s="57" t="str">
        <f t="shared" si="34"/>
        <v/>
      </c>
      <c r="Q90" s="90" t="str">
        <f t="shared" si="35"/>
        <v/>
      </c>
      <c r="R90" s="87"/>
      <c r="S90" s="88"/>
      <c r="T90" s="88"/>
      <c r="U90" s="89" t="str">
        <f t="shared" si="36"/>
        <v/>
      </c>
      <c r="V90" s="57" t="str">
        <f t="shared" si="37"/>
        <v/>
      </c>
      <c r="W90" s="90" t="str">
        <f t="shared" si="38"/>
        <v/>
      </c>
      <c r="X90" s="91" t="str">
        <f t="shared" si="39"/>
        <v/>
      </c>
      <c r="Y90" s="92" t="str">
        <f t="shared" si="40"/>
        <v/>
      </c>
      <c r="Z90" s="93" t="str">
        <f t="shared" si="41"/>
        <v/>
      </c>
      <c r="AB90" s="2"/>
      <c r="AC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6"/>
      <c r="AT90" s="41" t="e">
        <f t="shared" si="42"/>
        <v>#DIV/0!</v>
      </c>
      <c r="AU90" s="41" t="e">
        <f t="shared" si="43"/>
        <v>#DIV/0!</v>
      </c>
      <c r="AV90" s="41" t="e">
        <f t="shared" si="44"/>
        <v>#DIV/0!</v>
      </c>
      <c r="AX90" s="6"/>
    </row>
    <row r="91" spans="1:50" ht="18" customHeight="1">
      <c r="A91" s="35">
        <f>INPUT!A89</f>
        <v>26</v>
      </c>
      <c r="B91" s="35" t="str">
        <f>INPUT!B89</f>
        <v>2022-00042</v>
      </c>
      <c r="C91" s="35" t="str">
        <f>INPUT!C89</f>
        <v>Villacencio, Kharla</v>
      </c>
      <c r="D91" s="87"/>
      <c r="E91" s="88"/>
      <c r="F91" s="88"/>
      <c r="G91" s="88"/>
      <c r="H91" s="88"/>
      <c r="I91" s="89" t="str">
        <f t="shared" si="30"/>
        <v/>
      </c>
      <c r="J91" s="57" t="str">
        <f t="shared" si="31"/>
        <v/>
      </c>
      <c r="K91" s="90" t="str">
        <f t="shared" si="32"/>
        <v/>
      </c>
      <c r="L91" s="87"/>
      <c r="M91" s="88"/>
      <c r="N91" s="88"/>
      <c r="O91" s="89" t="str">
        <f t="shared" si="33"/>
        <v/>
      </c>
      <c r="P91" s="57" t="str">
        <f t="shared" si="34"/>
        <v/>
      </c>
      <c r="Q91" s="90" t="str">
        <f t="shared" si="35"/>
        <v/>
      </c>
      <c r="R91" s="87"/>
      <c r="S91" s="88"/>
      <c r="T91" s="88"/>
      <c r="U91" s="89" t="str">
        <f t="shared" si="36"/>
        <v/>
      </c>
      <c r="V91" s="57" t="str">
        <f t="shared" si="37"/>
        <v/>
      </c>
      <c r="W91" s="90" t="str">
        <f t="shared" si="38"/>
        <v/>
      </c>
      <c r="X91" s="91" t="str">
        <f t="shared" si="39"/>
        <v/>
      </c>
      <c r="Y91" s="92" t="str">
        <f t="shared" si="40"/>
        <v/>
      </c>
      <c r="Z91" s="93" t="str">
        <f t="shared" si="41"/>
        <v/>
      </c>
      <c r="AB91" s="2"/>
      <c r="AC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6"/>
      <c r="AT91" s="41" t="e">
        <f t="shared" si="42"/>
        <v>#DIV/0!</v>
      </c>
      <c r="AU91" s="41" t="e">
        <f t="shared" si="43"/>
        <v>#DIV/0!</v>
      </c>
      <c r="AV91" s="41" t="e">
        <f t="shared" si="44"/>
        <v>#DIV/0!</v>
      </c>
      <c r="AX91" s="6"/>
    </row>
    <row r="92" spans="1:50" ht="18" customHeight="1">
      <c r="A92" s="35">
        <f>INPUT!A90</f>
        <v>0</v>
      </c>
      <c r="B92" s="35">
        <f>INPUT!B90</f>
        <v>0</v>
      </c>
      <c r="C92" s="35">
        <f>INPUT!C90</f>
        <v>0</v>
      </c>
      <c r="D92" s="87"/>
      <c r="E92" s="88"/>
      <c r="F92" s="88"/>
      <c r="G92" s="88"/>
      <c r="H92" s="88"/>
      <c r="I92" s="89" t="str">
        <f t="shared" si="30"/>
        <v/>
      </c>
      <c r="J92" s="57" t="str">
        <f t="shared" si="31"/>
        <v/>
      </c>
      <c r="K92" s="90" t="str">
        <f t="shared" si="32"/>
        <v/>
      </c>
      <c r="L92" s="87"/>
      <c r="M92" s="88"/>
      <c r="N92" s="88"/>
      <c r="O92" s="89" t="str">
        <f t="shared" si="33"/>
        <v/>
      </c>
      <c r="P92" s="57" t="str">
        <f t="shared" si="34"/>
        <v/>
      </c>
      <c r="Q92" s="90" t="str">
        <f t="shared" si="35"/>
        <v/>
      </c>
      <c r="R92" s="87"/>
      <c r="S92" s="88"/>
      <c r="T92" s="88"/>
      <c r="U92" s="89" t="str">
        <f t="shared" si="36"/>
        <v/>
      </c>
      <c r="V92" s="57" t="str">
        <f t="shared" si="37"/>
        <v/>
      </c>
      <c r="W92" s="90" t="str">
        <f t="shared" si="38"/>
        <v/>
      </c>
      <c r="X92" s="91" t="str">
        <f t="shared" si="39"/>
        <v/>
      </c>
      <c r="Y92" s="92" t="str">
        <f t="shared" si="40"/>
        <v/>
      </c>
      <c r="Z92" s="93" t="str">
        <f t="shared" si="41"/>
        <v/>
      </c>
      <c r="AB92" s="2"/>
      <c r="AC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6"/>
      <c r="AT92" s="41" t="e">
        <f t="shared" si="42"/>
        <v>#DIV/0!</v>
      </c>
      <c r="AU92" s="41" t="e">
        <f t="shared" si="43"/>
        <v>#DIV/0!</v>
      </c>
      <c r="AV92" s="41" t="e">
        <f t="shared" si="44"/>
        <v>#DIV/0!</v>
      </c>
      <c r="AX92" s="6"/>
    </row>
    <row r="93" spans="1:50" ht="18" customHeight="1">
      <c r="A93" s="35">
        <f>INPUT!A91</f>
        <v>0</v>
      </c>
      <c r="B93" s="35">
        <f>INPUT!B91</f>
        <v>0</v>
      </c>
      <c r="C93" s="35">
        <f>INPUT!C91</f>
        <v>0</v>
      </c>
      <c r="D93" s="87"/>
      <c r="E93" s="88"/>
      <c r="F93" s="88"/>
      <c r="G93" s="88"/>
      <c r="H93" s="88"/>
      <c r="I93" s="89" t="str">
        <f t="shared" si="30"/>
        <v/>
      </c>
      <c r="J93" s="57" t="str">
        <f t="shared" si="31"/>
        <v/>
      </c>
      <c r="K93" s="90" t="str">
        <f t="shared" si="32"/>
        <v/>
      </c>
      <c r="L93" s="87"/>
      <c r="M93" s="88"/>
      <c r="N93" s="88"/>
      <c r="O93" s="89" t="str">
        <f t="shared" si="33"/>
        <v/>
      </c>
      <c r="P93" s="57" t="str">
        <f t="shared" si="34"/>
        <v/>
      </c>
      <c r="Q93" s="90" t="str">
        <f t="shared" si="35"/>
        <v/>
      </c>
      <c r="R93" s="87"/>
      <c r="S93" s="88"/>
      <c r="T93" s="88"/>
      <c r="U93" s="89" t="str">
        <f t="shared" si="36"/>
        <v/>
      </c>
      <c r="V93" s="57" t="str">
        <f t="shared" si="37"/>
        <v/>
      </c>
      <c r="W93" s="90" t="str">
        <f t="shared" si="38"/>
        <v/>
      </c>
      <c r="X93" s="91" t="str">
        <f t="shared" si="39"/>
        <v/>
      </c>
      <c r="Y93" s="92" t="str">
        <f t="shared" si="40"/>
        <v/>
      </c>
      <c r="Z93" s="93" t="str">
        <f t="shared" si="41"/>
        <v/>
      </c>
      <c r="AB93" s="2"/>
      <c r="AC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6"/>
      <c r="AT93" s="41" t="e">
        <f t="shared" si="42"/>
        <v>#DIV/0!</v>
      </c>
      <c r="AU93" s="41" t="e">
        <f t="shared" si="43"/>
        <v>#DIV/0!</v>
      </c>
      <c r="AV93" s="41" t="e">
        <f t="shared" si="44"/>
        <v>#DIV/0!</v>
      </c>
      <c r="AX93" s="6"/>
    </row>
    <row r="94" spans="1:50" ht="18" customHeight="1">
      <c r="A94" s="35">
        <f>INPUT!A92</f>
        <v>0</v>
      </c>
      <c r="B94" s="35">
        <f>INPUT!B92</f>
        <v>0</v>
      </c>
      <c r="C94" s="35">
        <f>INPUT!C92</f>
        <v>0</v>
      </c>
      <c r="D94" s="87"/>
      <c r="E94" s="88"/>
      <c r="F94" s="88"/>
      <c r="G94" s="88"/>
      <c r="H94" s="88"/>
      <c r="I94" s="89" t="str">
        <f t="shared" si="30"/>
        <v/>
      </c>
      <c r="J94" s="57" t="str">
        <f t="shared" si="31"/>
        <v/>
      </c>
      <c r="K94" s="90" t="str">
        <f t="shared" si="32"/>
        <v/>
      </c>
      <c r="L94" s="87"/>
      <c r="M94" s="88"/>
      <c r="N94" s="88"/>
      <c r="O94" s="89" t="str">
        <f t="shared" si="33"/>
        <v/>
      </c>
      <c r="P94" s="57" t="str">
        <f t="shared" si="34"/>
        <v/>
      </c>
      <c r="Q94" s="90" t="str">
        <f t="shared" si="35"/>
        <v/>
      </c>
      <c r="R94" s="87"/>
      <c r="S94" s="88"/>
      <c r="T94" s="88"/>
      <c r="U94" s="89" t="str">
        <f t="shared" si="36"/>
        <v/>
      </c>
      <c r="V94" s="57" t="str">
        <f t="shared" si="37"/>
        <v/>
      </c>
      <c r="W94" s="90" t="str">
        <f t="shared" si="38"/>
        <v/>
      </c>
      <c r="X94" s="91" t="str">
        <f t="shared" si="39"/>
        <v/>
      </c>
      <c r="Y94" s="92" t="str">
        <f t="shared" si="40"/>
        <v/>
      </c>
      <c r="Z94" s="93" t="str">
        <f t="shared" si="41"/>
        <v/>
      </c>
      <c r="AB94" s="2"/>
      <c r="AC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6"/>
      <c r="AT94" s="41" t="e">
        <f t="shared" si="42"/>
        <v>#DIV/0!</v>
      </c>
      <c r="AU94" s="41" t="e">
        <f t="shared" si="43"/>
        <v>#DIV/0!</v>
      </c>
      <c r="AV94" s="41" t="e">
        <f t="shared" si="44"/>
        <v>#DIV/0!</v>
      </c>
      <c r="AX94" s="6"/>
    </row>
    <row r="95" spans="1:50" ht="18" customHeight="1">
      <c r="A95" s="35">
        <f>INPUT!A93</f>
        <v>0</v>
      </c>
      <c r="B95" s="35">
        <f>INPUT!B93</f>
        <v>0</v>
      </c>
      <c r="C95" s="35">
        <f>INPUT!C93</f>
        <v>0</v>
      </c>
      <c r="D95" s="87"/>
      <c r="E95" s="88"/>
      <c r="F95" s="88"/>
      <c r="G95" s="88"/>
      <c r="H95" s="88"/>
      <c r="I95" s="89" t="str">
        <f t="shared" si="30"/>
        <v/>
      </c>
      <c r="J95" s="57" t="str">
        <f t="shared" si="31"/>
        <v/>
      </c>
      <c r="K95" s="90" t="str">
        <f t="shared" si="32"/>
        <v/>
      </c>
      <c r="L95" s="87"/>
      <c r="M95" s="88"/>
      <c r="N95" s="88"/>
      <c r="O95" s="89" t="str">
        <f t="shared" si="33"/>
        <v/>
      </c>
      <c r="P95" s="57" t="str">
        <f t="shared" si="34"/>
        <v/>
      </c>
      <c r="Q95" s="90" t="str">
        <f t="shared" si="35"/>
        <v/>
      </c>
      <c r="R95" s="87"/>
      <c r="S95" s="88"/>
      <c r="T95" s="88"/>
      <c r="U95" s="89" t="str">
        <f t="shared" si="36"/>
        <v/>
      </c>
      <c r="V95" s="57" t="str">
        <f t="shared" si="37"/>
        <v/>
      </c>
      <c r="W95" s="90" t="str">
        <f t="shared" si="38"/>
        <v/>
      </c>
      <c r="X95" s="91" t="str">
        <f t="shared" si="39"/>
        <v/>
      </c>
      <c r="Y95" s="92" t="str">
        <f t="shared" si="40"/>
        <v/>
      </c>
      <c r="Z95" s="93" t="str">
        <f t="shared" si="41"/>
        <v/>
      </c>
      <c r="AB95" s="2"/>
      <c r="AC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6"/>
      <c r="AT95" s="41" t="e">
        <f t="shared" si="42"/>
        <v>#DIV/0!</v>
      </c>
      <c r="AU95" s="41" t="e">
        <f t="shared" si="43"/>
        <v>#DIV/0!</v>
      </c>
      <c r="AV95" s="41" t="e">
        <f t="shared" si="44"/>
        <v>#DIV/0!</v>
      </c>
      <c r="AX95" s="6"/>
    </row>
    <row r="96" spans="1:50" ht="18" customHeight="1">
      <c r="A96" s="35">
        <f>INPUT!A94</f>
        <v>0</v>
      </c>
      <c r="B96" s="35">
        <f>INPUT!B94</f>
        <v>0</v>
      </c>
      <c r="C96" s="35">
        <f>INPUT!C94</f>
        <v>0</v>
      </c>
      <c r="D96" s="87"/>
      <c r="E96" s="88"/>
      <c r="F96" s="88"/>
      <c r="G96" s="88"/>
      <c r="H96" s="88"/>
      <c r="I96" s="89" t="str">
        <f t="shared" si="30"/>
        <v/>
      </c>
      <c r="J96" s="57" t="str">
        <f t="shared" si="31"/>
        <v/>
      </c>
      <c r="K96" s="90" t="str">
        <f t="shared" si="32"/>
        <v/>
      </c>
      <c r="L96" s="87"/>
      <c r="M96" s="88"/>
      <c r="N96" s="88"/>
      <c r="O96" s="89" t="str">
        <f t="shared" si="33"/>
        <v/>
      </c>
      <c r="P96" s="57" t="str">
        <f t="shared" si="34"/>
        <v/>
      </c>
      <c r="Q96" s="90" t="str">
        <f t="shared" si="35"/>
        <v/>
      </c>
      <c r="R96" s="87"/>
      <c r="S96" s="88"/>
      <c r="T96" s="88"/>
      <c r="U96" s="89" t="str">
        <f t="shared" si="36"/>
        <v/>
      </c>
      <c r="V96" s="57" t="str">
        <f t="shared" si="37"/>
        <v/>
      </c>
      <c r="W96" s="90" t="str">
        <f t="shared" si="38"/>
        <v/>
      </c>
      <c r="X96" s="91" t="str">
        <f t="shared" si="39"/>
        <v/>
      </c>
      <c r="Y96" s="92" t="str">
        <f t="shared" si="40"/>
        <v/>
      </c>
      <c r="Z96" s="93" t="str">
        <f t="shared" si="41"/>
        <v/>
      </c>
      <c r="AB96" s="2"/>
      <c r="AC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6"/>
      <c r="AT96" s="41" t="e">
        <f t="shared" si="42"/>
        <v>#DIV/0!</v>
      </c>
      <c r="AU96" s="41" t="e">
        <f t="shared" si="43"/>
        <v>#DIV/0!</v>
      </c>
      <c r="AV96" s="41" t="e">
        <f t="shared" si="44"/>
        <v>#DIV/0!</v>
      </c>
      <c r="AX96" s="6"/>
    </row>
    <row r="97" spans="1:50" ht="18" customHeight="1">
      <c r="A97" s="35">
        <f>INPUT!A95</f>
        <v>0</v>
      </c>
      <c r="B97" s="35">
        <f>INPUT!B95</f>
        <v>0</v>
      </c>
      <c r="C97" s="35">
        <f>INPUT!C95</f>
        <v>0</v>
      </c>
      <c r="D97" s="87"/>
      <c r="E97" s="88"/>
      <c r="F97" s="88"/>
      <c r="G97" s="88"/>
      <c r="H97" s="88"/>
      <c r="I97" s="89" t="str">
        <f t="shared" si="30"/>
        <v/>
      </c>
      <c r="J97" s="57" t="str">
        <f t="shared" si="31"/>
        <v/>
      </c>
      <c r="K97" s="90" t="str">
        <f t="shared" si="32"/>
        <v/>
      </c>
      <c r="L97" s="87"/>
      <c r="M97" s="88"/>
      <c r="N97" s="88"/>
      <c r="O97" s="89" t="str">
        <f t="shared" si="33"/>
        <v/>
      </c>
      <c r="P97" s="57" t="str">
        <f t="shared" si="34"/>
        <v/>
      </c>
      <c r="Q97" s="90" t="str">
        <f t="shared" si="35"/>
        <v/>
      </c>
      <c r="R97" s="87"/>
      <c r="S97" s="88"/>
      <c r="T97" s="88"/>
      <c r="U97" s="89" t="str">
        <f t="shared" si="36"/>
        <v/>
      </c>
      <c r="V97" s="57" t="str">
        <f t="shared" si="37"/>
        <v/>
      </c>
      <c r="W97" s="90" t="str">
        <f t="shared" si="38"/>
        <v/>
      </c>
      <c r="X97" s="91" t="str">
        <f t="shared" si="39"/>
        <v/>
      </c>
      <c r="Y97" s="92" t="str">
        <f t="shared" si="40"/>
        <v/>
      </c>
      <c r="Z97" s="93" t="str">
        <f t="shared" si="41"/>
        <v/>
      </c>
      <c r="AB97" s="2"/>
      <c r="AC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6"/>
      <c r="AT97" s="41" t="e">
        <f t="shared" si="42"/>
        <v>#DIV/0!</v>
      </c>
      <c r="AU97" s="41" t="e">
        <f t="shared" si="43"/>
        <v>#DIV/0!</v>
      </c>
      <c r="AV97" s="41" t="e">
        <f t="shared" si="44"/>
        <v>#DIV/0!</v>
      </c>
      <c r="AX97" s="6"/>
    </row>
    <row r="98" spans="1:50" ht="18" customHeight="1">
      <c r="A98" s="35">
        <f>INPUT!A96</f>
        <v>0</v>
      </c>
      <c r="B98" s="35">
        <f>INPUT!B96</f>
        <v>0</v>
      </c>
      <c r="C98" s="35">
        <f>INPUT!C96</f>
        <v>0</v>
      </c>
      <c r="D98" s="87"/>
      <c r="E98" s="88"/>
      <c r="F98" s="88"/>
      <c r="G98" s="88"/>
      <c r="H98" s="88"/>
      <c r="I98" s="89" t="str">
        <f t="shared" ref="I98:I114" si="45">IF(COUNT($D98:$H98)=0,"",SUM($D98:$H98))</f>
        <v/>
      </c>
      <c r="J98" s="57" t="str">
        <f t="shared" ref="J98:J114" si="46">IF(ISERROR(IF($I98="","",ROUND(($I98/$I$10)*$J$10,2))),"",IF($I98="","",ROUND(($I98/$I$10)*$J$10,2)))</f>
        <v/>
      </c>
      <c r="K98" s="90" t="str">
        <f t="shared" ref="K98:K114" si="47">IF($J98="","",ROUND($J98*$K$10,2))</f>
        <v/>
      </c>
      <c r="L98" s="87"/>
      <c r="M98" s="88"/>
      <c r="N98" s="88"/>
      <c r="O98" s="89" t="str">
        <f t="shared" ref="O98:O114" si="48">IF(COUNT($L98:$N98)=0,"",SUM($L98:$N98))</f>
        <v/>
      </c>
      <c r="P98" s="57" t="str">
        <f t="shared" ref="P98:P114" si="49">IF(ISERROR(IF($O98="","",ROUND(($O98/$O$10)*$P$10,2))),"",IF($O98="","",ROUND(($O98/$O$10)*$P$10,2)))</f>
        <v/>
      </c>
      <c r="Q98" s="90" t="str">
        <f t="shared" ref="Q98:Q114" si="50">IF($P98="","",ROUND($P98*$Q$10,2))</f>
        <v/>
      </c>
      <c r="R98" s="87"/>
      <c r="S98" s="88"/>
      <c r="T98" s="88"/>
      <c r="U98" s="89" t="str">
        <f t="shared" ref="U98:U114" si="51">IF(COUNT($R98:$T98)=0,"",SUM($R98:$T98))</f>
        <v/>
      </c>
      <c r="V98" s="57" t="str">
        <f t="shared" ref="V98:V114" si="52">IF(ISERROR(IF($U98="","",ROUND(($U98/$U$10)*$V$10,2))),"",IF($U98="","",ROUND(($U98/$U$10)*$V$10,2)))</f>
        <v/>
      </c>
      <c r="W98" s="90" t="str">
        <f t="shared" ref="W98:W114" si="53">IF($V98="","",ROUND($V98*$W$10,2))</f>
        <v/>
      </c>
      <c r="X98" s="91" t="str">
        <f t="shared" ref="X98:X114" si="54">IF(ISERROR(IF($T98="","",ROUND(SUM($K98,$Q98,$W98),2))),"",IF($T98="","",ROUND(SUM($K98,$Q98,$W98),2)))</f>
        <v/>
      </c>
      <c r="Y98" s="92" t="str">
        <f t="shared" ref="Y98:Y129" si="55">IF(ISERROR(IF($T98="","",VLOOKUP(X98,NewTransmu,4,TRUE))),"",IF($T98="","",VLOOKUP(X98,NewTransmu,4,TRUE)))</f>
        <v/>
      </c>
      <c r="Z98" s="93" t="str">
        <f t="shared" ref="Z98:Z129" si="56">IF(ISERROR(IF(Y98="","",VLOOKUP(Y98,DESCRIPTORS,4,TRUE))),"",IF(Y98="","",VLOOKUP(Y98,DESCRIPTORS,4,TRUE)))</f>
        <v/>
      </c>
      <c r="AB98" s="2"/>
      <c r="AC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6"/>
      <c r="AT98" s="41" t="e">
        <f t="shared" ref="AT98:AT114" si="57">(R98/$R$10)*100</f>
        <v>#DIV/0!</v>
      </c>
      <c r="AU98" s="41" t="e">
        <f t="shared" ref="AU98:AU114" si="58">(S98/$S$10)*100</f>
        <v>#DIV/0!</v>
      </c>
      <c r="AV98" s="41" t="e">
        <f t="shared" ref="AV98:AV114" si="59">(T98/$T$10)*100</f>
        <v>#DIV/0!</v>
      </c>
      <c r="AX98" s="6"/>
    </row>
    <row r="99" spans="1:50" ht="18" customHeight="1">
      <c r="A99" s="35">
        <f>INPUT!A97</f>
        <v>0</v>
      </c>
      <c r="B99" s="35">
        <f>INPUT!B97</f>
        <v>0</v>
      </c>
      <c r="C99" s="35">
        <f>INPUT!C97</f>
        <v>0</v>
      </c>
      <c r="D99" s="87"/>
      <c r="E99" s="88"/>
      <c r="F99" s="88"/>
      <c r="G99" s="88"/>
      <c r="H99" s="88"/>
      <c r="I99" s="89" t="str">
        <f t="shared" si="45"/>
        <v/>
      </c>
      <c r="J99" s="57" t="str">
        <f t="shared" si="46"/>
        <v/>
      </c>
      <c r="K99" s="90" t="str">
        <f t="shared" si="47"/>
        <v/>
      </c>
      <c r="L99" s="87"/>
      <c r="M99" s="88"/>
      <c r="N99" s="88"/>
      <c r="O99" s="89" t="str">
        <f t="shared" si="48"/>
        <v/>
      </c>
      <c r="P99" s="57" t="str">
        <f t="shared" si="49"/>
        <v/>
      </c>
      <c r="Q99" s="90" t="str">
        <f t="shared" si="50"/>
        <v/>
      </c>
      <c r="R99" s="87"/>
      <c r="S99" s="88"/>
      <c r="T99" s="88"/>
      <c r="U99" s="89" t="str">
        <f t="shared" si="51"/>
        <v/>
      </c>
      <c r="V99" s="57" t="str">
        <f t="shared" si="52"/>
        <v/>
      </c>
      <c r="W99" s="90" t="str">
        <f t="shared" si="53"/>
        <v/>
      </c>
      <c r="X99" s="91" t="str">
        <f t="shared" si="54"/>
        <v/>
      </c>
      <c r="Y99" s="92" t="str">
        <f t="shared" si="55"/>
        <v/>
      </c>
      <c r="Z99" s="93" t="str">
        <f t="shared" si="56"/>
        <v/>
      </c>
      <c r="AB99" s="2"/>
      <c r="AC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6"/>
      <c r="AT99" s="41" t="e">
        <f t="shared" si="57"/>
        <v>#DIV/0!</v>
      </c>
      <c r="AU99" s="41" t="e">
        <f t="shared" si="58"/>
        <v>#DIV/0!</v>
      </c>
      <c r="AV99" s="41" t="e">
        <f t="shared" si="59"/>
        <v>#DIV/0!</v>
      </c>
      <c r="AX99" s="6"/>
    </row>
    <row r="100" spans="1:50" ht="18" customHeight="1">
      <c r="A100" s="35">
        <f>INPUT!A98</f>
        <v>0</v>
      </c>
      <c r="B100" s="35">
        <f>INPUT!B98</f>
        <v>0</v>
      </c>
      <c r="C100" s="35">
        <f>INPUT!C98</f>
        <v>0</v>
      </c>
      <c r="D100" s="87"/>
      <c r="E100" s="88"/>
      <c r="F100" s="88"/>
      <c r="G100" s="88"/>
      <c r="H100" s="88"/>
      <c r="I100" s="89" t="str">
        <f t="shared" si="45"/>
        <v/>
      </c>
      <c r="J100" s="57" t="str">
        <f t="shared" si="46"/>
        <v/>
      </c>
      <c r="K100" s="90" t="str">
        <f t="shared" si="47"/>
        <v/>
      </c>
      <c r="L100" s="87"/>
      <c r="M100" s="88"/>
      <c r="N100" s="88"/>
      <c r="O100" s="89" t="str">
        <f t="shared" si="48"/>
        <v/>
      </c>
      <c r="P100" s="57" t="str">
        <f t="shared" si="49"/>
        <v/>
      </c>
      <c r="Q100" s="90" t="str">
        <f t="shared" si="50"/>
        <v/>
      </c>
      <c r="R100" s="87"/>
      <c r="S100" s="88"/>
      <c r="T100" s="88"/>
      <c r="U100" s="89" t="str">
        <f t="shared" si="51"/>
        <v/>
      </c>
      <c r="V100" s="57" t="str">
        <f t="shared" si="52"/>
        <v/>
      </c>
      <c r="W100" s="90" t="str">
        <f t="shared" si="53"/>
        <v/>
      </c>
      <c r="X100" s="91" t="str">
        <f t="shared" si="54"/>
        <v/>
      </c>
      <c r="Y100" s="92" t="str">
        <f t="shared" si="55"/>
        <v/>
      </c>
      <c r="Z100" s="93" t="str">
        <f t="shared" si="56"/>
        <v/>
      </c>
      <c r="AB100" s="2"/>
      <c r="AC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6"/>
      <c r="AT100" s="41" t="e">
        <f t="shared" si="57"/>
        <v>#DIV/0!</v>
      </c>
      <c r="AU100" s="41" t="e">
        <f t="shared" si="58"/>
        <v>#DIV/0!</v>
      </c>
      <c r="AV100" s="41" t="e">
        <f t="shared" si="59"/>
        <v>#DIV/0!</v>
      </c>
      <c r="AX100" s="6"/>
    </row>
    <row r="101" spans="1:50" ht="18" customHeight="1">
      <c r="A101" s="35">
        <f>INPUT!A99</f>
        <v>0</v>
      </c>
      <c r="B101" s="35">
        <f>INPUT!B99</f>
        <v>0</v>
      </c>
      <c r="C101" s="35">
        <f>INPUT!C99</f>
        <v>0</v>
      </c>
      <c r="D101" s="87"/>
      <c r="E101" s="88"/>
      <c r="F101" s="88"/>
      <c r="G101" s="88"/>
      <c r="H101" s="88"/>
      <c r="I101" s="89" t="str">
        <f t="shared" si="45"/>
        <v/>
      </c>
      <c r="J101" s="57" t="str">
        <f t="shared" si="46"/>
        <v/>
      </c>
      <c r="K101" s="90" t="str">
        <f t="shared" si="47"/>
        <v/>
      </c>
      <c r="L101" s="87"/>
      <c r="M101" s="88"/>
      <c r="N101" s="88"/>
      <c r="O101" s="89" t="str">
        <f t="shared" si="48"/>
        <v/>
      </c>
      <c r="P101" s="57" t="str">
        <f t="shared" si="49"/>
        <v/>
      </c>
      <c r="Q101" s="90" t="str">
        <f t="shared" si="50"/>
        <v/>
      </c>
      <c r="R101" s="87"/>
      <c r="S101" s="88"/>
      <c r="T101" s="88"/>
      <c r="U101" s="89" t="str">
        <f t="shared" si="51"/>
        <v/>
      </c>
      <c r="V101" s="57" t="str">
        <f t="shared" si="52"/>
        <v/>
      </c>
      <c r="W101" s="90" t="str">
        <f t="shared" si="53"/>
        <v/>
      </c>
      <c r="X101" s="91" t="str">
        <f t="shared" si="54"/>
        <v/>
      </c>
      <c r="Y101" s="92" t="str">
        <f t="shared" si="55"/>
        <v/>
      </c>
      <c r="Z101" s="93" t="str">
        <f t="shared" si="56"/>
        <v/>
      </c>
      <c r="AB101" s="2"/>
      <c r="AC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6"/>
      <c r="AT101" s="41" t="e">
        <f t="shared" si="57"/>
        <v>#DIV/0!</v>
      </c>
      <c r="AU101" s="41" t="e">
        <f t="shared" si="58"/>
        <v>#DIV/0!</v>
      </c>
      <c r="AV101" s="41" t="e">
        <f t="shared" si="59"/>
        <v>#DIV/0!</v>
      </c>
      <c r="AX101" s="6"/>
    </row>
    <row r="102" spans="1:50" ht="18" customHeight="1">
      <c r="A102" s="35">
        <f>INPUT!A100</f>
        <v>0</v>
      </c>
      <c r="B102" s="35">
        <f>INPUT!B100</f>
        <v>0</v>
      </c>
      <c r="C102" s="35">
        <f>INPUT!C100</f>
        <v>0</v>
      </c>
      <c r="D102" s="87"/>
      <c r="E102" s="88"/>
      <c r="F102" s="88"/>
      <c r="G102" s="88"/>
      <c r="H102" s="88"/>
      <c r="I102" s="89" t="str">
        <f t="shared" si="45"/>
        <v/>
      </c>
      <c r="J102" s="57" t="str">
        <f t="shared" si="46"/>
        <v/>
      </c>
      <c r="K102" s="90" t="str">
        <f t="shared" si="47"/>
        <v/>
      </c>
      <c r="L102" s="87"/>
      <c r="M102" s="88"/>
      <c r="N102" s="88"/>
      <c r="O102" s="89" t="str">
        <f t="shared" si="48"/>
        <v/>
      </c>
      <c r="P102" s="57" t="str">
        <f t="shared" si="49"/>
        <v/>
      </c>
      <c r="Q102" s="90" t="str">
        <f t="shared" si="50"/>
        <v/>
      </c>
      <c r="R102" s="87"/>
      <c r="S102" s="88"/>
      <c r="T102" s="88"/>
      <c r="U102" s="89" t="str">
        <f t="shared" si="51"/>
        <v/>
      </c>
      <c r="V102" s="57" t="str">
        <f t="shared" si="52"/>
        <v/>
      </c>
      <c r="W102" s="90" t="str">
        <f t="shared" si="53"/>
        <v/>
      </c>
      <c r="X102" s="91" t="str">
        <f t="shared" si="54"/>
        <v/>
      </c>
      <c r="Y102" s="92" t="str">
        <f t="shared" si="55"/>
        <v/>
      </c>
      <c r="Z102" s="93" t="str">
        <f t="shared" si="56"/>
        <v/>
      </c>
      <c r="AB102" s="2"/>
      <c r="AC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6"/>
      <c r="AT102" s="41" t="e">
        <f t="shared" si="57"/>
        <v>#DIV/0!</v>
      </c>
      <c r="AU102" s="41" t="e">
        <f t="shared" si="58"/>
        <v>#DIV/0!</v>
      </c>
      <c r="AV102" s="41" t="e">
        <f t="shared" si="59"/>
        <v>#DIV/0!</v>
      </c>
      <c r="AX102" s="6"/>
    </row>
    <row r="103" spans="1:50" ht="18" customHeight="1">
      <c r="A103" s="35">
        <f>INPUT!A101</f>
        <v>0</v>
      </c>
      <c r="B103" s="35">
        <f>INPUT!B101</f>
        <v>0</v>
      </c>
      <c r="C103" s="35">
        <f>INPUT!C101</f>
        <v>0</v>
      </c>
      <c r="D103" s="87"/>
      <c r="E103" s="88"/>
      <c r="F103" s="88"/>
      <c r="G103" s="88"/>
      <c r="H103" s="88"/>
      <c r="I103" s="89" t="str">
        <f t="shared" si="45"/>
        <v/>
      </c>
      <c r="J103" s="57" t="str">
        <f t="shared" si="46"/>
        <v/>
      </c>
      <c r="K103" s="90" t="str">
        <f t="shared" si="47"/>
        <v/>
      </c>
      <c r="L103" s="87"/>
      <c r="M103" s="88"/>
      <c r="N103" s="88"/>
      <c r="O103" s="89" t="str">
        <f t="shared" si="48"/>
        <v/>
      </c>
      <c r="P103" s="57" t="str">
        <f t="shared" si="49"/>
        <v/>
      </c>
      <c r="Q103" s="90" t="str">
        <f t="shared" si="50"/>
        <v/>
      </c>
      <c r="R103" s="87"/>
      <c r="S103" s="88"/>
      <c r="T103" s="88"/>
      <c r="U103" s="89" t="str">
        <f t="shared" si="51"/>
        <v/>
      </c>
      <c r="V103" s="57" t="str">
        <f t="shared" si="52"/>
        <v/>
      </c>
      <c r="W103" s="90" t="str">
        <f t="shared" si="53"/>
        <v/>
      </c>
      <c r="X103" s="91" t="str">
        <f t="shared" si="54"/>
        <v/>
      </c>
      <c r="Y103" s="92" t="str">
        <f t="shared" si="55"/>
        <v/>
      </c>
      <c r="Z103" s="93" t="str">
        <f t="shared" si="56"/>
        <v/>
      </c>
      <c r="AB103" s="2"/>
      <c r="AC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6"/>
      <c r="AT103" s="41" t="e">
        <f t="shared" si="57"/>
        <v>#DIV/0!</v>
      </c>
      <c r="AU103" s="41" t="e">
        <f t="shared" si="58"/>
        <v>#DIV/0!</v>
      </c>
      <c r="AV103" s="41" t="e">
        <f t="shared" si="59"/>
        <v>#DIV/0!</v>
      </c>
      <c r="AX103" s="6"/>
    </row>
    <row r="104" spans="1:50" ht="18" customHeight="1">
      <c r="A104" s="35">
        <f>INPUT!A102</f>
        <v>0</v>
      </c>
      <c r="B104" s="35">
        <f>INPUT!B102</f>
        <v>0</v>
      </c>
      <c r="C104" s="35">
        <f>INPUT!C102</f>
        <v>0</v>
      </c>
      <c r="D104" s="87"/>
      <c r="E104" s="88"/>
      <c r="F104" s="88"/>
      <c r="G104" s="88"/>
      <c r="H104" s="88"/>
      <c r="I104" s="89" t="str">
        <f t="shared" si="45"/>
        <v/>
      </c>
      <c r="J104" s="57" t="str">
        <f t="shared" si="46"/>
        <v/>
      </c>
      <c r="K104" s="90" t="str">
        <f t="shared" si="47"/>
        <v/>
      </c>
      <c r="L104" s="87"/>
      <c r="M104" s="88"/>
      <c r="N104" s="88"/>
      <c r="O104" s="89" t="str">
        <f t="shared" si="48"/>
        <v/>
      </c>
      <c r="P104" s="57" t="str">
        <f t="shared" si="49"/>
        <v/>
      </c>
      <c r="Q104" s="90" t="str">
        <f t="shared" si="50"/>
        <v/>
      </c>
      <c r="R104" s="87"/>
      <c r="S104" s="88"/>
      <c r="T104" s="88"/>
      <c r="U104" s="89" t="str">
        <f t="shared" si="51"/>
        <v/>
      </c>
      <c r="V104" s="57" t="str">
        <f t="shared" si="52"/>
        <v/>
      </c>
      <c r="W104" s="90" t="str">
        <f t="shared" si="53"/>
        <v/>
      </c>
      <c r="X104" s="91" t="str">
        <f t="shared" si="54"/>
        <v/>
      </c>
      <c r="Y104" s="92" t="str">
        <f t="shared" si="55"/>
        <v/>
      </c>
      <c r="Z104" s="93" t="str">
        <f t="shared" si="56"/>
        <v/>
      </c>
      <c r="AB104" s="2"/>
      <c r="AC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6"/>
      <c r="AT104" s="41" t="e">
        <f t="shared" si="57"/>
        <v>#DIV/0!</v>
      </c>
      <c r="AU104" s="41" t="e">
        <f t="shared" si="58"/>
        <v>#DIV/0!</v>
      </c>
      <c r="AV104" s="41" t="e">
        <f t="shared" si="59"/>
        <v>#DIV/0!</v>
      </c>
      <c r="AX104" s="6"/>
    </row>
    <row r="105" spans="1:50" ht="18" customHeight="1">
      <c r="A105" s="35">
        <f>INPUT!A103</f>
        <v>0</v>
      </c>
      <c r="B105" s="35">
        <f>INPUT!B103</f>
        <v>0</v>
      </c>
      <c r="C105" s="35">
        <f>INPUT!C103</f>
        <v>0</v>
      </c>
      <c r="D105" s="87"/>
      <c r="E105" s="88"/>
      <c r="F105" s="88"/>
      <c r="G105" s="88"/>
      <c r="H105" s="88"/>
      <c r="I105" s="89" t="str">
        <f t="shared" si="45"/>
        <v/>
      </c>
      <c r="J105" s="57" t="str">
        <f t="shared" si="46"/>
        <v/>
      </c>
      <c r="K105" s="90" t="str">
        <f t="shared" si="47"/>
        <v/>
      </c>
      <c r="L105" s="87"/>
      <c r="M105" s="88"/>
      <c r="N105" s="88"/>
      <c r="O105" s="89" t="str">
        <f t="shared" si="48"/>
        <v/>
      </c>
      <c r="P105" s="57" t="str">
        <f t="shared" si="49"/>
        <v/>
      </c>
      <c r="Q105" s="90" t="str">
        <f t="shared" si="50"/>
        <v/>
      </c>
      <c r="R105" s="87"/>
      <c r="S105" s="88"/>
      <c r="T105" s="88"/>
      <c r="U105" s="89" t="str">
        <f t="shared" si="51"/>
        <v/>
      </c>
      <c r="V105" s="57" t="str">
        <f t="shared" si="52"/>
        <v/>
      </c>
      <c r="W105" s="90" t="str">
        <f t="shared" si="53"/>
        <v/>
      </c>
      <c r="X105" s="91" t="str">
        <f t="shared" si="54"/>
        <v/>
      </c>
      <c r="Y105" s="92" t="str">
        <f t="shared" si="55"/>
        <v/>
      </c>
      <c r="Z105" s="93" t="str">
        <f t="shared" si="56"/>
        <v/>
      </c>
      <c r="AB105" s="2"/>
      <c r="AC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6"/>
      <c r="AT105" s="41" t="e">
        <f t="shared" si="57"/>
        <v>#DIV/0!</v>
      </c>
      <c r="AU105" s="41" t="e">
        <f t="shared" si="58"/>
        <v>#DIV/0!</v>
      </c>
      <c r="AV105" s="41" t="e">
        <f t="shared" si="59"/>
        <v>#DIV/0!</v>
      </c>
      <c r="AX105" s="6"/>
    </row>
    <row r="106" spans="1:50" ht="18" customHeight="1">
      <c r="A106" s="35">
        <f>INPUT!A104</f>
        <v>0</v>
      </c>
      <c r="B106" s="35">
        <f>INPUT!B104</f>
        <v>0</v>
      </c>
      <c r="C106" s="35">
        <f>INPUT!C104</f>
        <v>0</v>
      </c>
      <c r="D106" s="87"/>
      <c r="E106" s="88"/>
      <c r="F106" s="88"/>
      <c r="G106" s="88"/>
      <c r="H106" s="88"/>
      <c r="I106" s="89" t="str">
        <f t="shared" si="45"/>
        <v/>
      </c>
      <c r="J106" s="57" t="str">
        <f t="shared" si="46"/>
        <v/>
      </c>
      <c r="K106" s="90" t="str">
        <f t="shared" si="47"/>
        <v/>
      </c>
      <c r="L106" s="87"/>
      <c r="M106" s="88"/>
      <c r="N106" s="88"/>
      <c r="O106" s="89" t="str">
        <f t="shared" si="48"/>
        <v/>
      </c>
      <c r="P106" s="57" t="str">
        <f t="shared" si="49"/>
        <v/>
      </c>
      <c r="Q106" s="90" t="str">
        <f t="shared" si="50"/>
        <v/>
      </c>
      <c r="R106" s="87"/>
      <c r="S106" s="88"/>
      <c r="T106" s="88"/>
      <c r="U106" s="89" t="str">
        <f t="shared" si="51"/>
        <v/>
      </c>
      <c r="V106" s="57" t="str">
        <f t="shared" si="52"/>
        <v/>
      </c>
      <c r="W106" s="90" t="str">
        <f t="shared" si="53"/>
        <v/>
      </c>
      <c r="X106" s="91" t="str">
        <f t="shared" si="54"/>
        <v/>
      </c>
      <c r="Y106" s="92" t="str">
        <f t="shared" si="55"/>
        <v/>
      </c>
      <c r="Z106" s="93" t="str">
        <f t="shared" si="56"/>
        <v/>
      </c>
      <c r="AB106" s="2"/>
      <c r="AC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6"/>
      <c r="AT106" s="41" t="e">
        <f t="shared" si="57"/>
        <v>#DIV/0!</v>
      </c>
      <c r="AU106" s="41" t="e">
        <f t="shared" si="58"/>
        <v>#DIV/0!</v>
      </c>
      <c r="AV106" s="41" t="e">
        <f t="shared" si="59"/>
        <v>#DIV/0!</v>
      </c>
      <c r="AX106" s="6"/>
    </row>
    <row r="107" spans="1:50" ht="18" customHeight="1">
      <c r="A107" s="35">
        <f>INPUT!A105</f>
        <v>0</v>
      </c>
      <c r="B107" s="35">
        <f>INPUT!B105</f>
        <v>0</v>
      </c>
      <c r="C107" s="35">
        <f>INPUT!C105</f>
        <v>0</v>
      </c>
      <c r="D107" s="87"/>
      <c r="E107" s="88"/>
      <c r="F107" s="88"/>
      <c r="G107" s="88"/>
      <c r="H107" s="88"/>
      <c r="I107" s="89" t="str">
        <f t="shared" si="45"/>
        <v/>
      </c>
      <c r="J107" s="57" t="str">
        <f t="shared" si="46"/>
        <v/>
      </c>
      <c r="K107" s="90" t="str">
        <f t="shared" si="47"/>
        <v/>
      </c>
      <c r="L107" s="87"/>
      <c r="M107" s="88"/>
      <c r="N107" s="88"/>
      <c r="O107" s="89" t="str">
        <f t="shared" si="48"/>
        <v/>
      </c>
      <c r="P107" s="57" t="str">
        <f t="shared" si="49"/>
        <v/>
      </c>
      <c r="Q107" s="90" t="str">
        <f t="shared" si="50"/>
        <v/>
      </c>
      <c r="R107" s="87"/>
      <c r="S107" s="88"/>
      <c r="T107" s="88"/>
      <c r="U107" s="89" t="str">
        <f t="shared" si="51"/>
        <v/>
      </c>
      <c r="V107" s="57" t="str">
        <f t="shared" si="52"/>
        <v/>
      </c>
      <c r="W107" s="90" t="str">
        <f t="shared" si="53"/>
        <v/>
      </c>
      <c r="X107" s="91" t="str">
        <f t="shared" si="54"/>
        <v/>
      </c>
      <c r="Y107" s="92" t="str">
        <f t="shared" si="55"/>
        <v/>
      </c>
      <c r="Z107" s="93" t="str">
        <f t="shared" si="56"/>
        <v/>
      </c>
      <c r="AB107" s="2"/>
      <c r="AC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6"/>
      <c r="AT107" s="41" t="e">
        <f t="shared" si="57"/>
        <v>#DIV/0!</v>
      </c>
      <c r="AU107" s="41" t="e">
        <f t="shared" si="58"/>
        <v>#DIV/0!</v>
      </c>
      <c r="AV107" s="41" t="e">
        <f t="shared" si="59"/>
        <v>#DIV/0!</v>
      </c>
      <c r="AX107" s="6"/>
    </row>
    <row r="108" spans="1:50" ht="18" customHeight="1">
      <c r="A108" s="35">
        <f>INPUT!A106</f>
        <v>0</v>
      </c>
      <c r="B108" s="35">
        <f>INPUT!B106</f>
        <v>0</v>
      </c>
      <c r="C108" s="35">
        <f>INPUT!C106</f>
        <v>0</v>
      </c>
      <c r="D108" s="87"/>
      <c r="E108" s="88"/>
      <c r="F108" s="88"/>
      <c r="G108" s="88"/>
      <c r="H108" s="88"/>
      <c r="I108" s="89" t="str">
        <f t="shared" si="45"/>
        <v/>
      </c>
      <c r="J108" s="57" t="str">
        <f t="shared" si="46"/>
        <v/>
      </c>
      <c r="K108" s="90" t="str">
        <f t="shared" si="47"/>
        <v/>
      </c>
      <c r="L108" s="87"/>
      <c r="M108" s="88"/>
      <c r="N108" s="88"/>
      <c r="O108" s="89" t="str">
        <f t="shared" si="48"/>
        <v/>
      </c>
      <c r="P108" s="57" t="str">
        <f t="shared" si="49"/>
        <v/>
      </c>
      <c r="Q108" s="90" t="str">
        <f t="shared" si="50"/>
        <v/>
      </c>
      <c r="R108" s="87"/>
      <c r="S108" s="88"/>
      <c r="T108" s="88"/>
      <c r="U108" s="89" t="str">
        <f t="shared" si="51"/>
        <v/>
      </c>
      <c r="V108" s="57" t="str">
        <f t="shared" si="52"/>
        <v/>
      </c>
      <c r="W108" s="90" t="str">
        <f t="shared" si="53"/>
        <v/>
      </c>
      <c r="X108" s="91" t="str">
        <f t="shared" si="54"/>
        <v/>
      </c>
      <c r="Y108" s="92" t="str">
        <f t="shared" si="55"/>
        <v/>
      </c>
      <c r="Z108" s="93" t="str">
        <f t="shared" si="56"/>
        <v/>
      </c>
      <c r="AB108" s="2"/>
      <c r="AC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6"/>
      <c r="AT108" s="41" t="e">
        <f t="shared" si="57"/>
        <v>#DIV/0!</v>
      </c>
      <c r="AU108" s="41" t="e">
        <f t="shared" si="58"/>
        <v>#DIV/0!</v>
      </c>
      <c r="AV108" s="41" t="e">
        <f t="shared" si="59"/>
        <v>#DIV/0!</v>
      </c>
      <c r="AX108" s="6"/>
    </row>
    <row r="109" spans="1:50" ht="18" customHeight="1">
      <c r="A109" s="35">
        <f>INPUT!A107</f>
        <v>0</v>
      </c>
      <c r="B109" s="35">
        <f>INPUT!B107</f>
        <v>0</v>
      </c>
      <c r="C109" s="35">
        <f>INPUT!C107</f>
        <v>0</v>
      </c>
      <c r="D109" s="87"/>
      <c r="E109" s="88"/>
      <c r="F109" s="88"/>
      <c r="G109" s="88"/>
      <c r="H109" s="88"/>
      <c r="I109" s="89" t="str">
        <f t="shared" si="45"/>
        <v/>
      </c>
      <c r="J109" s="57" t="str">
        <f t="shared" si="46"/>
        <v/>
      </c>
      <c r="K109" s="90" t="str">
        <f t="shared" si="47"/>
        <v/>
      </c>
      <c r="L109" s="87"/>
      <c r="M109" s="88"/>
      <c r="N109" s="88"/>
      <c r="O109" s="89" t="str">
        <f t="shared" si="48"/>
        <v/>
      </c>
      <c r="P109" s="57" t="str">
        <f t="shared" si="49"/>
        <v/>
      </c>
      <c r="Q109" s="90" t="str">
        <f t="shared" si="50"/>
        <v/>
      </c>
      <c r="R109" s="87"/>
      <c r="S109" s="88"/>
      <c r="T109" s="88"/>
      <c r="U109" s="89" t="str">
        <f t="shared" si="51"/>
        <v/>
      </c>
      <c r="V109" s="57" t="str">
        <f t="shared" si="52"/>
        <v/>
      </c>
      <c r="W109" s="90" t="str">
        <f t="shared" si="53"/>
        <v/>
      </c>
      <c r="X109" s="91" t="str">
        <f t="shared" si="54"/>
        <v/>
      </c>
      <c r="Y109" s="92" t="str">
        <f t="shared" si="55"/>
        <v/>
      </c>
      <c r="Z109" s="93" t="str">
        <f t="shared" si="56"/>
        <v/>
      </c>
      <c r="AB109" s="2"/>
      <c r="AC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6"/>
      <c r="AT109" s="41" t="e">
        <f t="shared" si="57"/>
        <v>#DIV/0!</v>
      </c>
      <c r="AU109" s="41" t="e">
        <f t="shared" si="58"/>
        <v>#DIV/0!</v>
      </c>
      <c r="AV109" s="41" t="e">
        <f t="shared" si="59"/>
        <v>#DIV/0!</v>
      </c>
      <c r="AX109" s="6"/>
    </row>
    <row r="110" spans="1:50" ht="18" customHeight="1">
      <c r="A110" s="35">
        <f>INPUT!A108</f>
        <v>0</v>
      </c>
      <c r="B110" s="35">
        <f>INPUT!B108</f>
        <v>0</v>
      </c>
      <c r="C110" s="35">
        <f>INPUT!C108</f>
        <v>0</v>
      </c>
      <c r="D110" s="87"/>
      <c r="E110" s="88"/>
      <c r="F110" s="88"/>
      <c r="G110" s="88"/>
      <c r="H110" s="88"/>
      <c r="I110" s="89" t="str">
        <f t="shared" si="45"/>
        <v/>
      </c>
      <c r="J110" s="57" t="str">
        <f t="shared" si="46"/>
        <v/>
      </c>
      <c r="K110" s="90" t="str">
        <f t="shared" si="47"/>
        <v/>
      </c>
      <c r="L110" s="87"/>
      <c r="M110" s="88"/>
      <c r="N110" s="88"/>
      <c r="O110" s="89" t="str">
        <f t="shared" si="48"/>
        <v/>
      </c>
      <c r="P110" s="57" t="str">
        <f t="shared" si="49"/>
        <v/>
      </c>
      <c r="Q110" s="90" t="str">
        <f t="shared" si="50"/>
        <v/>
      </c>
      <c r="R110" s="87"/>
      <c r="S110" s="88"/>
      <c r="T110" s="88"/>
      <c r="U110" s="89" t="str">
        <f t="shared" si="51"/>
        <v/>
      </c>
      <c r="V110" s="57" t="str">
        <f t="shared" si="52"/>
        <v/>
      </c>
      <c r="W110" s="90" t="str">
        <f t="shared" si="53"/>
        <v/>
      </c>
      <c r="X110" s="91" t="str">
        <f t="shared" si="54"/>
        <v/>
      </c>
      <c r="Y110" s="92" t="str">
        <f t="shared" si="55"/>
        <v/>
      </c>
      <c r="Z110" s="93" t="str">
        <f t="shared" si="56"/>
        <v/>
      </c>
      <c r="AB110" s="2"/>
      <c r="AC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6"/>
      <c r="AT110" s="41" t="e">
        <f t="shared" si="57"/>
        <v>#DIV/0!</v>
      </c>
      <c r="AU110" s="41" t="e">
        <f t="shared" si="58"/>
        <v>#DIV/0!</v>
      </c>
      <c r="AV110" s="41" t="e">
        <f t="shared" si="59"/>
        <v>#DIV/0!</v>
      </c>
      <c r="AX110" s="6"/>
    </row>
    <row r="111" spans="1:50" ht="18" customHeight="1">
      <c r="A111" s="35">
        <f>INPUT!A109</f>
        <v>0</v>
      </c>
      <c r="B111" s="35">
        <f>INPUT!B109</f>
        <v>0</v>
      </c>
      <c r="C111" s="35">
        <f>INPUT!C109</f>
        <v>0</v>
      </c>
      <c r="D111" s="87"/>
      <c r="E111" s="88"/>
      <c r="F111" s="88"/>
      <c r="G111" s="88"/>
      <c r="H111" s="88"/>
      <c r="I111" s="89" t="str">
        <f t="shared" si="45"/>
        <v/>
      </c>
      <c r="J111" s="57" t="str">
        <f t="shared" si="46"/>
        <v/>
      </c>
      <c r="K111" s="90" t="str">
        <f t="shared" si="47"/>
        <v/>
      </c>
      <c r="L111" s="87"/>
      <c r="M111" s="88"/>
      <c r="N111" s="88"/>
      <c r="O111" s="89" t="str">
        <f t="shared" si="48"/>
        <v/>
      </c>
      <c r="P111" s="57" t="str">
        <f t="shared" si="49"/>
        <v/>
      </c>
      <c r="Q111" s="90" t="str">
        <f t="shared" si="50"/>
        <v/>
      </c>
      <c r="R111" s="87"/>
      <c r="S111" s="88"/>
      <c r="T111" s="88"/>
      <c r="U111" s="89" t="str">
        <f t="shared" si="51"/>
        <v/>
      </c>
      <c r="V111" s="57" t="str">
        <f t="shared" si="52"/>
        <v/>
      </c>
      <c r="W111" s="90" t="str">
        <f t="shared" si="53"/>
        <v/>
      </c>
      <c r="X111" s="91" t="str">
        <f t="shared" si="54"/>
        <v/>
      </c>
      <c r="Y111" s="92" t="str">
        <f t="shared" si="55"/>
        <v/>
      </c>
      <c r="Z111" s="93" t="str">
        <f t="shared" si="56"/>
        <v/>
      </c>
      <c r="AB111" s="2"/>
      <c r="AC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6"/>
      <c r="AT111" s="41" t="e">
        <f t="shared" si="57"/>
        <v>#DIV/0!</v>
      </c>
      <c r="AU111" s="41" t="e">
        <f t="shared" si="58"/>
        <v>#DIV/0!</v>
      </c>
      <c r="AV111" s="41" t="e">
        <f t="shared" si="59"/>
        <v>#DIV/0!</v>
      </c>
      <c r="AX111" s="6"/>
    </row>
    <row r="112" spans="1:50" ht="18" customHeight="1">
      <c r="A112" s="35">
        <f>INPUT!A110</f>
        <v>0</v>
      </c>
      <c r="B112" s="35">
        <f>INPUT!B110</f>
        <v>0</v>
      </c>
      <c r="C112" s="35">
        <f>INPUT!C110</f>
        <v>0</v>
      </c>
      <c r="D112" s="87"/>
      <c r="E112" s="88"/>
      <c r="F112" s="88"/>
      <c r="G112" s="88"/>
      <c r="H112" s="88"/>
      <c r="I112" s="89" t="str">
        <f t="shared" si="45"/>
        <v/>
      </c>
      <c r="J112" s="57" t="str">
        <f t="shared" si="46"/>
        <v/>
      </c>
      <c r="K112" s="90" t="str">
        <f t="shared" si="47"/>
        <v/>
      </c>
      <c r="L112" s="87"/>
      <c r="M112" s="88"/>
      <c r="N112" s="88"/>
      <c r="O112" s="89" t="str">
        <f t="shared" si="48"/>
        <v/>
      </c>
      <c r="P112" s="57" t="str">
        <f t="shared" si="49"/>
        <v/>
      </c>
      <c r="Q112" s="90" t="str">
        <f t="shared" si="50"/>
        <v/>
      </c>
      <c r="R112" s="87"/>
      <c r="S112" s="88"/>
      <c r="T112" s="88"/>
      <c r="U112" s="89" t="str">
        <f t="shared" si="51"/>
        <v/>
      </c>
      <c r="V112" s="57" t="str">
        <f t="shared" si="52"/>
        <v/>
      </c>
      <c r="W112" s="90" t="str">
        <f t="shared" si="53"/>
        <v/>
      </c>
      <c r="X112" s="91" t="str">
        <f t="shared" si="54"/>
        <v/>
      </c>
      <c r="Y112" s="92" t="str">
        <f t="shared" si="55"/>
        <v/>
      </c>
      <c r="Z112" s="93" t="str">
        <f t="shared" si="56"/>
        <v/>
      </c>
      <c r="AB112" s="2"/>
      <c r="AC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6"/>
      <c r="AT112" s="41" t="e">
        <f t="shared" si="57"/>
        <v>#DIV/0!</v>
      </c>
      <c r="AU112" s="41" t="e">
        <f t="shared" si="58"/>
        <v>#DIV/0!</v>
      </c>
      <c r="AV112" s="41" t="e">
        <f t="shared" si="59"/>
        <v>#DIV/0!</v>
      </c>
      <c r="AX112" s="6"/>
    </row>
    <row r="113" spans="1:50" ht="18" customHeight="1">
      <c r="A113" s="35">
        <f>INPUT!A111</f>
        <v>0</v>
      </c>
      <c r="B113" s="35">
        <f>INPUT!B111</f>
        <v>0</v>
      </c>
      <c r="C113" s="35">
        <f>INPUT!C111</f>
        <v>0</v>
      </c>
      <c r="D113" s="87"/>
      <c r="E113" s="88"/>
      <c r="F113" s="88"/>
      <c r="G113" s="88"/>
      <c r="H113" s="88"/>
      <c r="I113" s="89" t="str">
        <f t="shared" si="45"/>
        <v/>
      </c>
      <c r="J113" s="57" t="str">
        <f t="shared" si="46"/>
        <v/>
      </c>
      <c r="K113" s="90" t="str">
        <f t="shared" si="47"/>
        <v/>
      </c>
      <c r="L113" s="87"/>
      <c r="M113" s="88"/>
      <c r="N113" s="88"/>
      <c r="O113" s="89" t="str">
        <f t="shared" si="48"/>
        <v/>
      </c>
      <c r="P113" s="57" t="str">
        <f t="shared" si="49"/>
        <v/>
      </c>
      <c r="Q113" s="90" t="str">
        <f t="shared" si="50"/>
        <v/>
      </c>
      <c r="R113" s="87"/>
      <c r="S113" s="88"/>
      <c r="T113" s="88"/>
      <c r="U113" s="89" t="str">
        <f t="shared" si="51"/>
        <v/>
      </c>
      <c r="V113" s="57" t="str">
        <f t="shared" si="52"/>
        <v/>
      </c>
      <c r="W113" s="90" t="str">
        <f t="shared" si="53"/>
        <v/>
      </c>
      <c r="X113" s="91" t="str">
        <f t="shared" si="54"/>
        <v/>
      </c>
      <c r="Y113" s="92" t="str">
        <f t="shared" si="55"/>
        <v/>
      </c>
      <c r="Z113" s="93" t="str">
        <f t="shared" si="56"/>
        <v/>
      </c>
      <c r="AB113" s="2"/>
      <c r="AC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6"/>
      <c r="AT113" s="41" t="e">
        <f t="shared" si="57"/>
        <v>#DIV/0!</v>
      </c>
      <c r="AU113" s="41" t="e">
        <f t="shared" si="58"/>
        <v>#DIV/0!</v>
      </c>
      <c r="AV113" s="41" t="e">
        <f t="shared" si="59"/>
        <v>#DIV/0!</v>
      </c>
      <c r="AX113" s="6"/>
    </row>
    <row r="114" spans="1:50" ht="18" customHeight="1">
      <c r="A114" s="35"/>
      <c r="B114" s="35"/>
      <c r="C114" s="35"/>
      <c r="D114" s="87"/>
      <c r="E114" s="88"/>
      <c r="F114" s="88"/>
      <c r="G114" s="88"/>
      <c r="H114" s="88"/>
      <c r="I114" s="89" t="str">
        <f t="shared" si="45"/>
        <v/>
      </c>
      <c r="J114" s="57" t="str">
        <f t="shared" si="46"/>
        <v/>
      </c>
      <c r="K114" s="90" t="str">
        <f t="shared" si="47"/>
        <v/>
      </c>
      <c r="L114" s="87"/>
      <c r="M114" s="88"/>
      <c r="N114" s="88"/>
      <c r="O114" s="89" t="str">
        <f t="shared" si="48"/>
        <v/>
      </c>
      <c r="P114" s="57" t="str">
        <f t="shared" si="49"/>
        <v/>
      </c>
      <c r="Q114" s="90" t="str">
        <f t="shared" si="50"/>
        <v/>
      </c>
      <c r="R114" s="87"/>
      <c r="S114" s="88"/>
      <c r="T114" s="88"/>
      <c r="U114" s="89" t="str">
        <f t="shared" si="51"/>
        <v/>
      </c>
      <c r="V114" s="57" t="str">
        <f t="shared" si="52"/>
        <v/>
      </c>
      <c r="W114" s="90" t="str">
        <f t="shared" si="53"/>
        <v/>
      </c>
      <c r="X114" s="236" t="str">
        <f t="shared" si="54"/>
        <v/>
      </c>
      <c r="Y114" s="92" t="str">
        <f t="shared" si="55"/>
        <v/>
      </c>
      <c r="Z114" s="93" t="str">
        <f t="shared" si="56"/>
        <v/>
      </c>
      <c r="AC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6"/>
      <c r="AT114" s="41" t="e">
        <f t="shared" si="57"/>
        <v>#DIV/0!</v>
      </c>
      <c r="AU114" s="41" t="e">
        <f t="shared" si="58"/>
        <v>#DIV/0!</v>
      </c>
      <c r="AV114" s="41" t="e">
        <f t="shared" si="59"/>
        <v>#DIV/0!</v>
      </c>
      <c r="AX114" s="6"/>
    </row>
    <row r="115" spans="1:50" ht="18" customHeight="1">
      <c r="A115" s="106"/>
      <c r="B115" s="214"/>
      <c r="C115" s="214"/>
      <c r="D115" s="107"/>
      <c r="E115" s="108"/>
      <c r="F115" s="108"/>
      <c r="G115" s="108"/>
      <c r="H115" s="108"/>
      <c r="I115" s="109"/>
      <c r="J115" s="110"/>
      <c r="K115" s="111"/>
      <c r="L115" s="107"/>
      <c r="M115" s="108"/>
      <c r="N115" s="108"/>
      <c r="O115" s="109"/>
      <c r="P115" s="110"/>
      <c r="Q115" s="111"/>
      <c r="R115" s="107"/>
      <c r="S115" s="108"/>
      <c r="T115" s="108"/>
      <c r="U115" s="109"/>
      <c r="V115" s="110"/>
      <c r="W115" s="111"/>
      <c r="X115" s="235"/>
      <c r="Y115" s="114"/>
      <c r="Z115" s="114"/>
      <c r="AC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6"/>
      <c r="AT115" s="41"/>
      <c r="AU115" s="41"/>
      <c r="AV115" s="41"/>
      <c r="AX115" s="6"/>
    </row>
    <row r="116" spans="1:50" ht="18" hidden="1" customHeight="1">
      <c r="A116" s="226" t="s">
        <v>125</v>
      </c>
      <c r="B116" s="227" t="s">
        <v>126</v>
      </c>
      <c r="C116" s="228" t="s">
        <v>127</v>
      </c>
      <c r="D116" s="221"/>
      <c r="E116" s="222"/>
      <c r="F116" s="222"/>
      <c r="G116" s="222"/>
      <c r="H116" s="222"/>
      <c r="I116" s="229" t="str">
        <f>IF(COUNT($D116:$H116)=0,"",SUM($D116:$H116))</f>
        <v/>
      </c>
      <c r="J116" s="230" t="str">
        <f>IF(ISERROR(IF($I116="","",ROUND(($I116/$I$10)*$J$10,2))),"",IF($I116="","",ROUND(($I116/$I$10)*$J$10,2)))</f>
        <v/>
      </c>
      <c r="K116" s="231" t="str">
        <f>IF($J116="","",ROUND($J116*$K$10,2))</f>
        <v/>
      </c>
      <c r="L116" s="221"/>
      <c r="M116" s="222"/>
      <c r="N116" s="222"/>
      <c r="O116" s="229" t="str">
        <f>IF(COUNT($L116:$N116)=0,"",SUM($L116:$N116))</f>
        <v/>
      </c>
      <c r="P116" s="230" t="str">
        <f>IF(ISERROR(IF($O116="","",ROUND(($O116/$O$10)*$P$10,2))),"",IF($O116="","",ROUND(($O116/$O$10)*$P$10,2)))</f>
        <v/>
      </c>
      <c r="Q116" s="231" t="str">
        <f>IF($P116="","",ROUND($P116*$Q$10,2))</f>
        <v/>
      </c>
      <c r="R116" s="221"/>
      <c r="S116" s="222"/>
      <c r="T116" s="222"/>
      <c r="U116" s="229" t="str">
        <f>IF(COUNT($R116:$T116)=0,"",SUM($R116:$T116))</f>
        <v/>
      </c>
      <c r="V116" s="230" t="str">
        <f>IF(ISERROR(IF($U116="","",ROUND(($U116/$U$10)*$V$10,2))),"",IF($U116="","",ROUND(($U116/$U$10)*$V$10,2)))</f>
        <v/>
      </c>
      <c r="W116" s="231" t="str">
        <f>IF($V116="","",ROUND($V116*$W$10,2))</f>
        <v/>
      </c>
      <c r="X116" s="232" t="str">
        <f>IF(ISERROR(IF($T116="","",ROUND(SUM($K116,$Q116,$W116),2))),"",IF($T116="","",ROUND(SUM($K116,$Q116,$W116),2)))</f>
        <v/>
      </c>
      <c r="Y116" s="233" t="str">
        <f>IF(ISERROR(IF($T116="","",VLOOKUP(X116,NewTransmu,4,TRUE))),"",IF($T116="","",VLOOKUP(X116,NewTransmu,4,TRUE)))</f>
        <v/>
      </c>
      <c r="Z116" s="234" t="str">
        <f>IF(ISERROR(IF(Y116="","",VLOOKUP(Y116,DESCRIPTORS,4,TRUE))),"",IF(Y116="","",VLOOKUP(Y116,DESCRIPTORS,4,TRUE)))</f>
        <v/>
      </c>
      <c r="AC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6"/>
      <c r="AT116" s="41" t="e">
        <f>(R116/$R$10)*100</f>
        <v>#DIV/0!</v>
      </c>
      <c r="AU116" s="41" t="e">
        <f>(S116/$S$10)*100</f>
        <v>#DIV/0!</v>
      </c>
      <c r="AV116" s="41" t="e">
        <f>(T116/$T$10)*100</f>
        <v>#DIV/0!</v>
      </c>
      <c r="AX116" s="6"/>
    </row>
    <row r="123" spans="1:50" s="2" customFormat="1">
      <c r="I123" s="3"/>
      <c r="J123" s="3"/>
      <c r="O123" s="3"/>
      <c r="P123" s="3"/>
      <c r="Q123" s="3"/>
      <c r="R123" s="3"/>
      <c r="U123" s="3"/>
      <c r="V123" s="3"/>
      <c r="W123" s="3"/>
      <c r="X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19"/>
      <c r="AS123" s="19"/>
      <c r="AT123" s="47"/>
      <c r="AU123" s="47"/>
      <c r="AV123" s="47"/>
      <c r="AW123" s="47"/>
    </row>
  </sheetData>
  <sheetProtection formatCells="0" formatColumns="0" formatRows="0" insertColumns="0" insertRows="0" insertHyperlinks="0" deleteColumns="0" deleteRows="0" sort="0" autoFilter="0" pivotTables="0"/>
  <autoFilter ref="B12:B114" xr:uid="{00000000-0009-0000-0000-000003000000}"/>
  <mergeCells count="28">
    <mergeCell ref="B64:C64"/>
    <mergeCell ref="B11:C11"/>
    <mergeCell ref="A7:C7"/>
    <mergeCell ref="X8:X10"/>
    <mergeCell ref="Y8:Y10"/>
    <mergeCell ref="A10:C10"/>
    <mergeCell ref="A8:A9"/>
    <mergeCell ref="B8:B9"/>
    <mergeCell ref="C8:C9"/>
    <mergeCell ref="D8:K8"/>
    <mergeCell ref="L8:Q8"/>
    <mergeCell ref="A1:X2"/>
    <mergeCell ref="A3:X3"/>
    <mergeCell ref="D4:E4"/>
    <mergeCell ref="F4:H4"/>
    <mergeCell ref="I4:L4"/>
    <mergeCell ref="Z8:Z10"/>
    <mergeCell ref="D5:L5"/>
    <mergeCell ref="N5:O5"/>
    <mergeCell ref="P5:R5"/>
    <mergeCell ref="S5:V5"/>
    <mergeCell ref="W5:X5"/>
    <mergeCell ref="I7:K7"/>
    <mergeCell ref="L7:N7"/>
    <mergeCell ref="O7:Q7"/>
    <mergeCell ref="R7:T7"/>
    <mergeCell ref="U7:W7"/>
    <mergeCell ref="R8:W8"/>
  </mergeCells>
  <conditionalFormatting sqref="Y13:Y63">
    <cfRule type="cellIs" dxfId="14" priority="1" operator="lessThan">
      <formula>75</formula>
    </cfRule>
  </conditionalFormatting>
  <conditionalFormatting sqref="Y66:Y114">
    <cfRule type="cellIs" dxfId="13" priority="2" operator="lessThan">
      <formula>75</formula>
    </cfRule>
  </conditionalFormatting>
  <conditionalFormatting sqref="Y115">
    <cfRule type="containsText" dxfId="12" priority="4" operator="containsText" text="Emerging">
      <formula>NOT(ISERROR(SEARCH("Emerging",Y115)))</formula>
    </cfRule>
    <cfRule type="containsText" dxfId="11" priority="5" operator="containsText" text="Developing">
      <formula>NOT(ISERROR(SEARCH("Developing",Y115)))</formula>
    </cfRule>
  </conditionalFormatting>
  <conditionalFormatting sqref="Y116">
    <cfRule type="cellIs" dxfId="10" priority="3" operator="lessThan">
      <formula>75</formula>
    </cfRule>
  </conditionalFormatting>
  <conditionalFormatting sqref="Z13:Z116">
    <cfRule type="containsText" dxfId="9" priority="6" operator="containsText" text="Emerging">
      <formula>NOT(ISERROR(SEARCH("Emerging",Z13:Z116)))</formula>
    </cfRule>
    <cfRule type="containsText" dxfId="8" priority="7" operator="containsText" text="Developing">
      <formula>NOT(ISERROR(SEARCH("Developing",Z13:Z116)))</formula>
    </cfRule>
  </conditionalFormatting>
  <printOptions horizontalCentered="1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33"/>
  </sheetPr>
  <dimension ref="A1:BH124"/>
  <sheetViews>
    <sheetView showGridLines="0" zoomScale="85" zoomScaleNormal="85" workbookViewId="0">
      <selection activeCell="Z65" sqref="Z65:AB65"/>
    </sheetView>
  </sheetViews>
  <sheetFormatPr defaultColWidth="4.7109375" defaultRowHeight="15"/>
  <cols>
    <col min="1" max="1" width="4.140625" style="2" customWidth="1"/>
    <col min="2" max="2" width="33.28515625" style="2" customWidth="1"/>
    <col min="3" max="5" width="3.28515625" style="2" hidden="1" customWidth="1"/>
    <col min="6" max="16" width="4.42578125" style="2" customWidth="1"/>
    <col min="17" max="18" width="4.42578125" style="3" customWidth="1"/>
    <col min="19" max="28" width="4.42578125" style="2" customWidth="1"/>
    <col min="29" max="30" width="7.140625" style="3" customWidth="1"/>
    <col min="31" max="31" width="10.28515625" style="2" customWidth="1"/>
    <col min="32" max="34" width="7.140625" style="3" customWidth="1"/>
    <col min="35" max="35" width="7.140625" style="4" customWidth="1"/>
    <col min="36" max="38" width="4.7109375" style="1"/>
    <col min="39" max="55" width="4.7109375" style="48"/>
    <col min="56" max="60" width="4.7109375" style="1"/>
  </cols>
  <sheetData>
    <row r="1" spans="1:57" ht="15" customHeight="1">
      <c r="A1" s="341" t="s">
        <v>172</v>
      </c>
      <c r="B1" s="308"/>
      <c r="C1" s="308"/>
      <c r="D1" s="308"/>
      <c r="E1" s="308"/>
      <c r="F1" s="308"/>
      <c r="G1" s="308"/>
      <c r="H1" s="308"/>
      <c r="I1" s="308"/>
      <c r="J1" s="308"/>
      <c r="K1" s="308"/>
      <c r="L1" s="308"/>
      <c r="M1" s="308"/>
      <c r="N1" s="308"/>
      <c r="O1" s="308"/>
      <c r="P1" s="308"/>
      <c r="Q1" s="308"/>
      <c r="R1" s="308"/>
      <c r="S1" s="308"/>
      <c r="T1" s="308"/>
      <c r="U1" s="308"/>
      <c r="V1" s="308"/>
      <c r="W1" s="308"/>
      <c r="X1" s="308"/>
      <c r="Y1" s="308"/>
      <c r="Z1" s="308"/>
      <c r="AA1" s="308"/>
      <c r="AB1" s="308"/>
      <c r="AC1" s="125"/>
      <c r="AD1" s="125"/>
      <c r="AE1" s="125"/>
      <c r="AF1" s="125"/>
      <c r="AG1" s="125"/>
      <c r="AH1" s="125"/>
      <c r="AI1" s="125"/>
    </row>
    <row r="2" spans="1:57" ht="15" customHeight="1">
      <c r="A2" s="308"/>
      <c r="B2" s="308"/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  <c r="Y2" s="308"/>
      <c r="Z2" s="308"/>
      <c r="AA2" s="308"/>
      <c r="AB2" s="308"/>
      <c r="AC2" s="125"/>
      <c r="AD2" s="125"/>
      <c r="AE2" s="125"/>
      <c r="AF2" s="125"/>
      <c r="AG2" s="125"/>
      <c r="AH2" s="125"/>
      <c r="AI2" s="125"/>
    </row>
    <row r="3" spans="1:57" ht="15" customHeight="1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125"/>
      <c r="AD3" s="125"/>
      <c r="AE3" s="125"/>
      <c r="AF3" s="125"/>
      <c r="AG3" s="125"/>
      <c r="AH3" s="125"/>
      <c r="AI3" s="125"/>
    </row>
    <row r="4" spans="1:57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7"/>
      <c r="AD4" s="127"/>
      <c r="AE4" s="127"/>
      <c r="AF4" s="127"/>
      <c r="AG4" s="127"/>
      <c r="AH4" s="127"/>
      <c r="AI4" s="127"/>
    </row>
    <row r="5" spans="1:57" ht="21" customHeight="1">
      <c r="A5" s="47"/>
      <c r="B5" s="413" t="s">
        <v>2</v>
      </c>
      <c r="C5" s="308"/>
      <c r="D5" s="308"/>
      <c r="E5" s="308"/>
      <c r="F5" s="414"/>
      <c r="G5" s="415">
        <f>INPUT!H4</f>
        <v>10</v>
      </c>
      <c r="H5" s="268"/>
      <c r="I5" s="268"/>
      <c r="J5" s="269"/>
      <c r="K5" s="128"/>
      <c r="L5" s="416" t="s">
        <v>3</v>
      </c>
      <c r="M5" s="417"/>
      <c r="N5" s="418"/>
      <c r="O5" s="415" t="str">
        <f>INPUT!M4</f>
        <v>CDO</v>
      </c>
      <c r="P5" s="268"/>
      <c r="Q5" s="268"/>
      <c r="R5" s="269"/>
      <c r="S5" s="419"/>
      <c r="T5" s="308"/>
      <c r="U5" s="308"/>
      <c r="V5" s="308"/>
      <c r="W5" s="420"/>
      <c r="X5" s="308"/>
      <c r="Y5" s="308"/>
      <c r="Z5" s="308"/>
      <c r="AA5" s="308"/>
      <c r="AB5" s="308"/>
      <c r="AD5" s="1"/>
      <c r="AE5" s="12"/>
      <c r="AF5" s="12"/>
      <c r="AG5" s="12"/>
      <c r="AH5" s="12"/>
      <c r="AI5" s="12"/>
      <c r="AJ5" s="12"/>
      <c r="AK5" s="12"/>
      <c r="AL5" s="12"/>
      <c r="AM5" s="12"/>
    </row>
    <row r="6" spans="1:57" ht="21" customHeight="1">
      <c r="A6" s="47"/>
      <c r="B6" s="421" t="s">
        <v>5</v>
      </c>
      <c r="C6" s="308"/>
      <c r="D6" s="308"/>
      <c r="E6" s="308"/>
      <c r="F6" s="308"/>
      <c r="G6" s="422" t="str">
        <f>INPUT!H5</f>
        <v>Bridgette School Management System</v>
      </c>
      <c r="H6" s="268"/>
      <c r="I6" s="268"/>
      <c r="J6" s="268"/>
      <c r="K6" s="268"/>
      <c r="L6" s="268"/>
      <c r="M6" s="268"/>
      <c r="N6" s="268"/>
      <c r="O6" s="268"/>
      <c r="P6" s="268"/>
      <c r="Q6" s="268"/>
      <c r="R6" s="269"/>
      <c r="S6" s="419" t="s">
        <v>7</v>
      </c>
      <c r="T6" s="308"/>
      <c r="U6" s="308"/>
      <c r="V6" s="308"/>
      <c r="W6" s="422">
        <f>INPUT!T5</f>
        <v>405198</v>
      </c>
      <c r="X6" s="268"/>
      <c r="Y6" s="268"/>
      <c r="Z6" s="268"/>
      <c r="AA6" s="268"/>
      <c r="AB6" s="269"/>
      <c r="AC6" s="129"/>
      <c r="AD6" s="129"/>
      <c r="AE6" s="129"/>
      <c r="AF6" s="130"/>
      <c r="AG6" s="130"/>
      <c r="AH6" s="130"/>
      <c r="AI6" s="131"/>
      <c r="AJ6" s="12"/>
      <c r="AK6" s="12"/>
      <c r="AL6" s="12"/>
      <c r="AM6" s="12"/>
    </row>
    <row r="7" spans="1:57" ht="14.65" customHeight="1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132"/>
      <c r="R7" s="132"/>
      <c r="S7" s="47"/>
      <c r="T7" s="47"/>
      <c r="U7" s="47"/>
      <c r="V7" s="47"/>
      <c r="W7" s="47"/>
      <c r="X7" s="47"/>
      <c r="Y7" s="47"/>
      <c r="Z7" s="47"/>
      <c r="AA7" s="47"/>
      <c r="AB7" s="47"/>
    </row>
    <row r="8" spans="1:57" ht="21.75" customHeight="1">
      <c r="A8" s="423"/>
      <c r="B8" s="426" t="s">
        <v>18</v>
      </c>
      <c r="C8" s="427"/>
      <c r="D8" s="427"/>
      <c r="E8" s="428"/>
      <c r="F8" s="431" t="s">
        <v>10</v>
      </c>
      <c r="G8" s="432"/>
      <c r="H8" s="432"/>
      <c r="I8" s="432"/>
      <c r="J8" s="432"/>
      <c r="K8" s="433" t="str">
        <f>INPUT!K7</f>
        <v>Grade 8 Diamond</v>
      </c>
      <c r="L8" s="432"/>
      <c r="M8" s="432"/>
      <c r="N8" s="432"/>
      <c r="O8" s="432"/>
      <c r="P8" s="432"/>
      <c r="Q8" s="432"/>
      <c r="R8" s="278"/>
      <c r="S8" s="434" t="s">
        <v>173</v>
      </c>
      <c r="T8" s="432"/>
      <c r="U8" s="432"/>
      <c r="V8" s="432"/>
      <c r="W8" s="433" t="str">
        <f>INPUT!Z5</f>
        <v>{school_year}</v>
      </c>
      <c r="X8" s="432"/>
      <c r="Y8" s="432"/>
      <c r="Z8" s="432"/>
      <c r="AA8" s="432"/>
      <c r="AB8" s="278"/>
      <c r="AC8" s="61"/>
      <c r="AD8" s="61"/>
      <c r="AE8" s="61"/>
      <c r="AF8" s="20"/>
      <c r="AG8" s="20"/>
      <c r="AH8" s="20"/>
      <c r="AI8" s="20"/>
    </row>
    <row r="9" spans="1:57" s="4" customFormat="1" ht="21" customHeight="1">
      <c r="A9" s="424"/>
      <c r="B9" s="308"/>
      <c r="C9" s="308"/>
      <c r="D9" s="308"/>
      <c r="E9" s="406"/>
      <c r="F9" s="434" t="s">
        <v>12</v>
      </c>
      <c r="G9" s="432"/>
      <c r="H9" s="432"/>
      <c r="I9" s="432"/>
      <c r="J9" s="432"/>
      <c r="K9" s="435" t="str">
        <f>INPUT!R7</f>
        <v>Abueva, Apple Joy Middle Name</v>
      </c>
      <c r="L9" s="427"/>
      <c r="M9" s="427"/>
      <c r="N9" s="427"/>
      <c r="O9" s="427"/>
      <c r="P9" s="427"/>
      <c r="Q9" s="427"/>
      <c r="R9" s="428"/>
      <c r="S9" s="434" t="s">
        <v>14</v>
      </c>
      <c r="T9" s="432"/>
      <c r="U9" s="432"/>
      <c r="V9" s="432"/>
      <c r="W9" s="433" t="str">
        <f>INPUT!Z7</f>
        <v>Science 8</v>
      </c>
      <c r="X9" s="432"/>
      <c r="Y9" s="432"/>
      <c r="Z9" s="432"/>
      <c r="AA9" s="432"/>
      <c r="AB9" s="278"/>
      <c r="AC9" s="21"/>
      <c r="AD9" s="21"/>
      <c r="AE9" s="133"/>
      <c r="AF9" s="21"/>
      <c r="AG9" s="21"/>
      <c r="AH9" s="134"/>
      <c r="AI9" s="135"/>
    </row>
    <row r="10" spans="1:57" s="4" customFormat="1" ht="15.6" customHeight="1">
      <c r="A10" s="424"/>
      <c r="B10" s="308"/>
      <c r="C10" s="308"/>
      <c r="D10" s="308"/>
      <c r="E10" s="406"/>
      <c r="F10" s="436" t="s">
        <v>128</v>
      </c>
      <c r="G10" s="427"/>
      <c r="H10" s="427"/>
      <c r="I10" s="428"/>
      <c r="J10" s="436" t="s">
        <v>170</v>
      </c>
      <c r="K10" s="427"/>
      <c r="L10" s="427"/>
      <c r="M10" s="428"/>
      <c r="N10" s="436" t="s">
        <v>171</v>
      </c>
      <c r="O10" s="427"/>
      <c r="P10" s="427"/>
      <c r="Q10" s="428"/>
      <c r="R10" s="436" t="s">
        <v>174</v>
      </c>
      <c r="S10" s="427"/>
      <c r="T10" s="427"/>
      <c r="U10" s="428"/>
      <c r="V10" s="436" t="s">
        <v>131</v>
      </c>
      <c r="W10" s="427"/>
      <c r="X10" s="427"/>
      <c r="Y10" s="428"/>
      <c r="Z10" s="438" t="s">
        <v>175</v>
      </c>
      <c r="AA10" s="427"/>
      <c r="AB10" s="428"/>
      <c r="AC10" s="3"/>
      <c r="AD10" s="136"/>
      <c r="AF10" s="3"/>
      <c r="AG10" s="136"/>
      <c r="AH10" s="3"/>
      <c r="AI10" s="3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</row>
    <row r="11" spans="1:57" s="23" customFormat="1" ht="15" customHeight="1">
      <c r="A11" s="425"/>
      <c r="B11" s="429"/>
      <c r="C11" s="429"/>
      <c r="D11" s="429"/>
      <c r="E11" s="430"/>
      <c r="F11" s="437"/>
      <c r="G11" s="429"/>
      <c r="H11" s="429"/>
      <c r="I11" s="430"/>
      <c r="J11" s="437"/>
      <c r="K11" s="429"/>
      <c r="L11" s="429"/>
      <c r="M11" s="430"/>
      <c r="N11" s="437"/>
      <c r="O11" s="429"/>
      <c r="P11" s="429"/>
      <c r="Q11" s="430"/>
      <c r="R11" s="437"/>
      <c r="S11" s="429"/>
      <c r="T11" s="429"/>
      <c r="U11" s="430"/>
      <c r="V11" s="437"/>
      <c r="W11" s="429"/>
      <c r="X11" s="429"/>
      <c r="Y11" s="430"/>
      <c r="Z11" s="437"/>
      <c r="AA11" s="429"/>
      <c r="AB11" s="430"/>
      <c r="AC11" s="3"/>
      <c r="AD11" s="3"/>
      <c r="AE11" s="137"/>
      <c r="AF11" s="3"/>
      <c r="AG11" s="3"/>
      <c r="AH11" s="3"/>
      <c r="AI11" s="13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</row>
    <row r="12" spans="1:57" s="23" customFormat="1" ht="18" customHeight="1">
      <c r="A12" s="139"/>
      <c r="B12" s="144" t="s">
        <v>22</v>
      </c>
      <c r="C12" s="140"/>
      <c r="D12" s="140"/>
      <c r="E12" s="140"/>
      <c r="F12" s="405"/>
      <c r="G12" s="308"/>
      <c r="H12" s="308"/>
      <c r="I12" s="406"/>
      <c r="J12" s="405"/>
      <c r="K12" s="308"/>
      <c r="L12" s="308"/>
      <c r="M12" s="406"/>
      <c r="N12" s="405"/>
      <c r="O12" s="308"/>
      <c r="P12" s="308"/>
      <c r="Q12" s="406"/>
      <c r="R12" s="405"/>
      <c r="S12" s="308"/>
      <c r="T12" s="308"/>
      <c r="U12" s="406"/>
      <c r="V12" s="405"/>
      <c r="W12" s="308"/>
      <c r="X12" s="308"/>
      <c r="Y12" s="406"/>
      <c r="Z12" s="405"/>
      <c r="AA12" s="308"/>
      <c r="AB12" s="406"/>
      <c r="AC12" s="3"/>
      <c r="AD12" s="3"/>
      <c r="AE12" s="137"/>
      <c r="AF12" s="3"/>
      <c r="AG12" s="3"/>
      <c r="AH12" s="3"/>
      <c r="AI12" s="13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</row>
    <row r="13" spans="1:57" s="23" customFormat="1" ht="18" hidden="1" customHeight="1">
      <c r="A13" s="207" t="s">
        <v>23</v>
      </c>
      <c r="B13" s="451" t="s">
        <v>25</v>
      </c>
      <c r="C13" s="452"/>
      <c r="D13" s="453"/>
      <c r="E13" s="204"/>
      <c r="F13" s="455"/>
      <c r="G13" s="456"/>
      <c r="H13" s="456"/>
      <c r="I13" s="457"/>
      <c r="J13" s="455"/>
      <c r="K13" s="456"/>
      <c r="L13" s="456"/>
      <c r="M13" s="457"/>
      <c r="N13" s="455"/>
      <c r="O13" s="456"/>
      <c r="P13" s="456"/>
      <c r="Q13" s="457"/>
      <c r="R13" s="455" t="s">
        <v>153</v>
      </c>
      <c r="S13" s="456"/>
      <c r="T13" s="456"/>
      <c r="U13" s="457"/>
      <c r="V13" s="455"/>
      <c r="W13" s="456"/>
      <c r="X13" s="456"/>
      <c r="Y13" s="457"/>
      <c r="Z13" s="455"/>
      <c r="AA13" s="456"/>
      <c r="AB13" s="456"/>
      <c r="AC13" s="3"/>
      <c r="AD13" s="3"/>
      <c r="AE13" s="137"/>
      <c r="AF13" s="3"/>
      <c r="AG13" s="3"/>
      <c r="AH13" s="3"/>
      <c r="AI13" s="13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</row>
    <row r="14" spans="1:57" ht="18" customHeight="1">
      <c r="A14" s="208">
        <f>INPUT!A12</f>
        <v>1</v>
      </c>
      <c r="B14" s="208" t="str">
        <f>INPUT!C12</f>
        <v>Ando, Ryanjel</v>
      </c>
      <c r="C14" s="141"/>
      <c r="D14" s="141"/>
      <c r="E14" s="141"/>
      <c r="F14" s="395">
        <f>TERM1!Y13</f>
        <v>100</v>
      </c>
      <c r="G14" s="257"/>
      <c r="H14" s="257"/>
      <c r="I14" s="259"/>
      <c r="J14" s="395" t="str">
        <f>TERM2!Y13</f>
        <v/>
      </c>
      <c r="K14" s="257"/>
      <c r="L14" s="257"/>
      <c r="M14" s="259"/>
      <c r="N14" s="407" t="str">
        <f>TERM3!Y13</f>
        <v/>
      </c>
      <c r="O14" s="257"/>
      <c r="P14" s="257"/>
      <c r="Q14" s="259"/>
      <c r="R14" s="408" t="str">
        <f t="shared" ref="R14:R45" si="0">IF(OR(F14="",J14="",N14=""),"",IF(ISERROR(ROUND(AVERAGE(F14,J14,N14),0)),"",ROUND(AVERAGE(F14,J14,N14),0)))</f>
        <v/>
      </c>
      <c r="S14" s="409"/>
      <c r="T14" s="409"/>
      <c r="U14" s="410"/>
      <c r="V14" s="395" t="str">
        <f t="shared" ref="V14:V45" si="1">IF(ISERROR(IF(R14="","",VLOOKUP(R14,DESCRIPTORS,4,TRUE))),"",IF(R14="","",VLOOKUP(R14,DESCRIPTORS,4,TRUE)))</f>
        <v/>
      </c>
      <c r="W14" s="409"/>
      <c r="X14" s="409"/>
      <c r="Y14" s="410"/>
      <c r="Z14" s="411" t="str">
        <f t="shared" ref="Z14:Z45" si="2">IF(OR($F14="",$J14="",$N14="",$R14=""),"",IF($R14&gt;=75,"PASSED","FAILED"))</f>
        <v/>
      </c>
      <c r="AA14" s="409"/>
      <c r="AB14" s="412"/>
      <c r="AI14" s="138"/>
      <c r="AK14" s="2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</row>
    <row r="15" spans="1:57" ht="18" customHeight="1">
      <c r="A15" s="208">
        <f>INPUT!A13</f>
        <v>2</v>
      </c>
      <c r="B15" s="208" t="str">
        <f>INPUT!C13</f>
        <v>Arante, Cobe Mc Daniel</v>
      </c>
      <c r="C15" s="142"/>
      <c r="D15" s="142"/>
      <c r="E15" s="142"/>
      <c r="F15" s="374">
        <f>TERM1!Y14</f>
        <v>100</v>
      </c>
      <c r="G15" s="263"/>
      <c r="H15" s="263"/>
      <c r="I15" s="264"/>
      <c r="J15" s="374" t="str">
        <f>TERM2!Y14</f>
        <v/>
      </c>
      <c r="K15" s="263"/>
      <c r="L15" s="263"/>
      <c r="M15" s="264"/>
      <c r="N15" s="330" t="str">
        <f>TERM3!Y14</f>
        <v/>
      </c>
      <c r="O15" s="263"/>
      <c r="P15" s="263"/>
      <c r="Q15" s="264"/>
      <c r="R15" s="375" t="str">
        <f t="shared" si="0"/>
        <v/>
      </c>
      <c r="S15" s="268"/>
      <c r="T15" s="268"/>
      <c r="U15" s="269"/>
      <c r="V15" s="374" t="str">
        <f t="shared" si="1"/>
        <v/>
      </c>
      <c r="W15" s="268"/>
      <c r="X15" s="268"/>
      <c r="Y15" s="269"/>
      <c r="Z15" s="376" t="str">
        <f t="shared" si="2"/>
        <v/>
      </c>
      <c r="AA15" s="268"/>
      <c r="AB15" s="377"/>
      <c r="AI15" s="138"/>
      <c r="AK15" s="2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</row>
    <row r="16" spans="1:57" ht="18" customHeight="1">
      <c r="A16" s="208">
        <f>INPUT!A14</f>
        <v>3</v>
      </c>
      <c r="B16" s="208" t="str">
        <f>INPUT!C14</f>
        <v>Barnido, Charllys Moore</v>
      </c>
      <c r="C16" s="142"/>
      <c r="D16" s="142"/>
      <c r="E16" s="142"/>
      <c r="F16" s="374">
        <f>TERM1!Y15</f>
        <v>100</v>
      </c>
      <c r="G16" s="263"/>
      <c r="H16" s="263"/>
      <c r="I16" s="264"/>
      <c r="J16" s="374" t="str">
        <f>TERM2!Y15</f>
        <v/>
      </c>
      <c r="K16" s="263"/>
      <c r="L16" s="263"/>
      <c r="M16" s="264"/>
      <c r="N16" s="330" t="str">
        <f>TERM3!Y15</f>
        <v/>
      </c>
      <c r="O16" s="263"/>
      <c r="P16" s="263"/>
      <c r="Q16" s="264"/>
      <c r="R16" s="375" t="str">
        <f t="shared" si="0"/>
        <v/>
      </c>
      <c r="S16" s="268"/>
      <c r="T16" s="268"/>
      <c r="U16" s="269"/>
      <c r="V16" s="374" t="str">
        <f t="shared" si="1"/>
        <v/>
      </c>
      <c r="W16" s="268"/>
      <c r="X16" s="268"/>
      <c r="Y16" s="269"/>
      <c r="Z16" s="376" t="str">
        <f t="shared" si="2"/>
        <v/>
      </c>
      <c r="AA16" s="268"/>
      <c r="AB16" s="377"/>
      <c r="AI16" s="138"/>
      <c r="AK16" s="2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</row>
    <row r="17" spans="1:57" ht="18" customHeight="1">
      <c r="A17" s="208">
        <f>INPUT!A15</f>
        <v>4</v>
      </c>
      <c r="B17" s="208" t="str">
        <f>INPUT!C15</f>
        <v>CAPILI, SCHAN MARC STEVEN</v>
      </c>
      <c r="C17" s="142"/>
      <c r="D17" s="142"/>
      <c r="E17" s="142"/>
      <c r="F17" s="374">
        <f>TERM1!Y16</f>
        <v>100</v>
      </c>
      <c r="G17" s="263"/>
      <c r="H17" s="263"/>
      <c r="I17" s="264"/>
      <c r="J17" s="374" t="str">
        <f>TERM2!Y16</f>
        <v/>
      </c>
      <c r="K17" s="263"/>
      <c r="L17" s="263"/>
      <c r="M17" s="264"/>
      <c r="N17" s="330" t="str">
        <f>TERM3!Y16</f>
        <v/>
      </c>
      <c r="O17" s="263"/>
      <c r="P17" s="263"/>
      <c r="Q17" s="264"/>
      <c r="R17" s="375" t="str">
        <f t="shared" si="0"/>
        <v/>
      </c>
      <c r="S17" s="268"/>
      <c r="T17" s="268"/>
      <c r="U17" s="269"/>
      <c r="V17" s="374" t="str">
        <f t="shared" si="1"/>
        <v/>
      </c>
      <c r="W17" s="268"/>
      <c r="X17" s="268"/>
      <c r="Y17" s="269"/>
      <c r="Z17" s="376" t="str">
        <f t="shared" si="2"/>
        <v/>
      </c>
      <c r="AA17" s="268"/>
      <c r="AB17" s="377"/>
      <c r="AI17" s="138"/>
      <c r="AK17" s="2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</row>
    <row r="18" spans="1:57" ht="18" customHeight="1">
      <c r="A18" s="208">
        <f>INPUT!A16</f>
        <v>5</v>
      </c>
      <c r="B18" s="208" t="str">
        <f>INPUT!C16</f>
        <v>Cuizon, Cyril</v>
      </c>
      <c r="C18" s="142"/>
      <c r="D18" s="142"/>
      <c r="E18" s="142"/>
      <c r="F18" s="374">
        <f>TERM1!Y17</f>
        <v>100</v>
      </c>
      <c r="G18" s="263"/>
      <c r="H18" s="263"/>
      <c r="I18" s="264"/>
      <c r="J18" s="374" t="str">
        <f>TERM2!Y17</f>
        <v/>
      </c>
      <c r="K18" s="263"/>
      <c r="L18" s="263"/>
      <c r="M18" s="264"/>
      <c r="N18" s="330" t="str">
        <f>TERM3!Y17</f>
        <v/>
      </c>
      <c r="O18" s="263"/>
      <c r="P18" s="263"/>
      <c r="Q18" s="264"/>
      <c r="R18" s="375" t="str">
        <f t="shared" si="0"/>
        <v/>
      </c>
      <c r="S18" s="268"/>
      <c r="T18" s="268"/>
      <c r="U18" s="269"/>
      <c r="V18" s="374" t="str">
        <f t="shared" si="1"/>
        <v/>
      </c>
      <c r="W18" s="268"/>
      <c r="X18" s="268"/>
      <c r="Y18" s="269"/>
      <c r="Z18" s="376" t="str">
        <f t="shared" si="2"/>
        <v/>
      </c>
      <c r="AA18" s="268"/>
      <c r="AB18" s="377"/>
      <c r="AI18" s="138"/>
      <c r="AK18" s="2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</row>
    <row r="19" spans="1:57" ht="18" customHeight="1">
      <c r="A19" s="208">
        <f>INPUT!A17</f>
        <v>6</v>
      </c>
      <c r="B19" s="208" t="str">
        <f>INPUT!C17</f>
        <v>Deguiñon, Paul Jhon</v>
      </c>
      <c r="C19" s="142"/>
      <c r="D19" s="142"/>
      <c r="E19" s="142"/>
      <c r="F19" s="374">
        <f>TERM1!Y18</f>
        <v>100</v>
      </c>
      <c r="G19" s="263"/>
      <c r="H19" s="263"/>
      <c r="I19" s="264"/>
      <c r="J19" s="374" t="str">
        <f>TERM2!Y18</f>
        <v/>
      </c>
      <c r="K19" s="263"/>
      <c r="L19" s="263"/>
      <c r="M19" s="264"/>
      <c r="N19" s="330" t="str">
        <f>TERM3!Y18</f>
        <v/>
      </c>
      <c r="O19" s="263"/>
      <c r="P19" s="263"/>
      <c r="Q19" s="264"/>
      <c r="R19" s="375" t="str">
        <f t="shared" si="0"/>
        <v/>
      </c>
      <c r="S19" s="268"/>
      <c r="T19" s="268"/>
      <c r="U19" s="269"/>
      <c r="V19" s="374" t="str">
        <f t="shared" si="1"/>
        <v/>
      </c>
      <c r="W19" s="268"/>
      <c r="X19" s="268"/>
      <c r="Y19" s="269"/>
      <c r="Z19" s="376" t="str">
        <f t="shared" si="2"/>
        <v/>
      </c>
      <c r="AA19" s="268"/>
      <c r="AB19" s="377"/>
      <c r="AI19" s="138"/>
      <c r="AK19" s="2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</row>
    <row r="20" spans="1:57" ht="18" customHeight="1">
      <c r="A20" s="208">
        <f>INPUT!A18</f>
        <v>7</v>
      </c>
      <c r="B20" s="208" t="str">
        <f>INPUT!C18</f>
        <v>Dela Cruz, Juan</v>
      </c>
      <c r="C20" s="142"/>
      <c r="D20" s="142"/>
      <c r="E20" s="142"/>
      <c r="F20" s="374">
        <f>TERM1!Y19</f>
        <v>100</v>
      </c>
      <c r="G20" s="263"/>
      <c r="H20" s="263"/>
      <c r="I20" s="264"/>
      <c r="J20" s="374" t="str">
        <f>TERM2!Y19</f>
        <v/>
      </c>
      <c r="K20" s="263"/>
      <c r="L20" s="263"/>
      <c r="M20" s="264"/>
      <c r="N20" s="330" t="str">
        <f>TERM3!Y19</f>
        <v/>
      </c>
      <c r="O20" s="263"/>
      <c r="P20" s="263"/>
      <c r="Q20" s="264"/>
      <c r="R20" s="375" t="str">
        <f t="shared" si="0"/>
        <v/>
      </c>
      <c r="S20" s="268"/>
      <c r="T20" s="268"/>
      <c r="U20" s="269"/>
      <c r="V20" s="374" t="str">
        <f t="shared" si="1"/>
        <v/>
      </c>
      <c r="W20" s="268"/>
      <c r="X20" s="268"/>
      <c r="Y20" s="269"/>
      <c r="Z20" s="376" t="str">
        <f t="shared" si="2"/>
        <v/>
      </c>
      <c r="AA20" s="268"/>
      <c r="AB20" s="377"/>
      <c r="AI20" s="138"/>
      <c r="AK20" s="2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</row>
    <row r="21" spans="1:57" ht="18" customHeight="1">
      <c r="A21" s="208">
        <f>INPUT!A19</f>
        <v>8</v>
      </c>
      <c r="B21" s="208" t="str">
        <f>INPUT!C19</f>
        <v>Dela Cruz, Stacey Samson</v>
      </c>
      <c r="C21" s="142"/>
      <c r="D21" s="142">
        <v>0</v>
      </c>
      <c r="E21" s="142"/>
      <c r="F21" s="374">
        <f>TERM1!Y20</f>
        <v>100</v>
      </c>
      <c r="G21" s="263"/>
      <c r="H21" s="263"/>
      <c r="I21" s="264"/>
      <c r="J21" s="374" t="str">
        <f>TERM2!Y20</f>
        <v/>
      </c>
      <c r="K21" s="263"/>
      <c r="L21" s="263"/>
      <c r="M21" s="264"/>
      <c r="N21" s="330" t="str">
        <f>TERM3!Y20</f>
        <v/>
      </c>
      <c r="O21" s="263"/>
      <c r="P21" s="263"/>
      <c r="Q21" s="264"/>
      <c r="R21" s="375" t="str">
        <f t="shared" si="0"/>
        <v/>
      </c>
      <c r="S21" s="268"/>
      <c r="T21" s="268"/>
      <c r="U21" s="269"/>
      <c r="V21" s="374" t="str">
        <f t="shared" si="1"/>
        <v/>
      </c>
      <c r="W21" s="268"/>
      <c r="X21" s="268"/>
      <c r="Y21" s="269"/>
      <c r="Z21" s="376" t="str">
        <f t="shared" si="2"/>
        <v/>
      </c>
      <c r="AA21" s="268"/>
      <c r="AB21" s="377"/>
      <c r="AI21" s="138"/>
      <c r="AK21" s="2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</row>
    <row r="22" spans="1:57" ht="18" customHeight="1">
      <c r="A22" s="208">
        <f>INPUT!A20</f>
        <v>9</v>
      </c>
      <c r="B22" s="208" t="str">
        <f>INPUT!C20</f>
        <v>DURIAS, KIRK ADRIANE</v>
      </c>
      <c r="C22" s="142"/>
      <c r="D22" s="142"/>
      <c r="E22" s="142"/>
      <c r="F22" s="374">
        <f>TERM1!Y21</f>
        <v>100</v>
      </c>
      <c r="G22" s="263"/>
      <c r="H22" s="263"/>
      <c r="I22" s="264"/>
      <c r="J22" s="374" t="str">
        <f>TERM2!Y21</f>
        <v/>
      </c>
      <c r="K22" s="263"/>
      <c r="L22" s="263"/>
      <c r="M22" s="264"/>
      <c r="N22" s="330" t="str">
        <f>TERM3!Y21</f>
        <v/>
      </c>
      <c r="O22" s="263"/>
      <c r="P22" s="263"/>
      <c r="Q22" s="264"/>
      <c r="R22" s="375" t="str">
        <f t="shared" si="0"/>
        <v/>
      </c>
      <c r="S22" s="268"/>
      <c r="T22" s="268"/>
      <c r="U22" s="269"/>
      <c r="V22" s="374" t="str">
        <f t="shared" si="1"/>
        <v/>
      </c>
      <c r="W22" s="268"/>
      <c r="X22" s="268"/>
      <c r="Y22" s="269"/>
      <c r="Z22" s="376" t="str">
        <f t="shared" si="2"/>
        <v/>
      </c>
      <c r="AA22" s="268"/>
      <c r="AB22" s="377"/>
      <c r="AI22" s="138"/>
      <c r="AK22" s="2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</row>
    <row r="23" spans="1:57" ht="18" customHeight="1">
      <c r="A23" s="208">
        <f>INPUT!A21</f>
        <v>10</v>
      </c>
      <c r="B23" s="208" t="str">
        <f>INPUT!C21</f>
        <v>Fernandez, Jhon Kenneth</v>
      </c>
      <c r="C23" s="142"/>
      <c r="D23" s="142"/>
      <c r="E23" s="142"/>
      <c r="F23" s="374">
        <f>TERM1!Y22</f>
        <v>100</v>
      </c>
      <c r="G23" s="263"/>
      <c r="H23" s="263"/>
      <c r="I23" s="264"/>
      <c r="J23" s="374" t="str">
        <f>TERM2!Y22</f>
        <v/>
      </c>
      <c r="K23" s="263"/>
      <c r="L23" s="263"/>
      <c r="M23" s="264"/>
      <c r="N23" s="330" t="str">
        <f>TERM3!Y22</f>
        <v/>
      </c>
      <c r="O23" s="263"/>
      <c r="P23" s="263"/>
      <c r="Q23" s="264"/>
      <c r="R23" s="375" t="str">
        <f t="shared" si="0"/>
        <v/>
      </c>
      <c r="S23" s="268"/>
      <c r="T23" s="268"/>
      <c r="U23" s="269"/>
      <c r="V23" s="374" t="str">
        <f t="shared" si="1"/>
        <v/>
      </c>
      <c r="W23" s="268"/>
      <c r="X23" s="268"/>
      <c r="Y23" s="269"/>
      <c r="Z23" s="376" t="str">
        <f t="shared" si="2"/>
        <v/>
      </c>
      <c r="AA23" s="268"/>
      <c r="AB23" s="377"/>
      <c r="AI23" s="138"/>
      <c r="AK23" s="2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</row>
    <row r="24" spans="1:57" ht="18" customHeight="1">
      <c r="A24" s="208">
        <f>INPUT!A22</f>
        <v>11</v>
      </c>
      <c r="B24" s="208" t="str">
        <f>INPUT!C22</f>
        <v>Figueroa, John Rech</v>
      </c>
      <c r="C24" s="142"/>
      <c r="D24" s="142">
        <v>0</v>
      </c>
      <c r="E24" s="142"/>
      <c r="F24" s="374">
        <f>TERM1!Y23</f>
        <v>100</v>
      </c>
      <c r="G24" s="263"/>
      <c r="H24" s="263"/>
      <c r="I24" s="264"/>
      <c r="J24" s="374" t="str">
        <f>TERM2!Y23</f>
        <v/>
      </c>
      <c r="K24" s="263"/>
      <c r="L24" s="263"/>
      <c r="M24" s="264"/>
      <c r="N24" s="330" t="str">
        <f>TERM3!Y23</f>
        <v/>
      </c>
      <c r="O24" s="263"/>
      <c r="P24" s="263"/>
      <c r="Q24" s="264"/>
      <c r="R24" s="375" t="str">
        <f t="shared" si="0"/>
        <v/>
      </c>
      <c r="S24" s="268"/>
      <c r="T24" s="268"/>
      <c r="U24" s="269"/>
      <c r="V24" s="374" t="str">
        <f t="shared" si="1"/>
        <v/>
      </c>
      <c r="W24" s="268"/>
      <c r="X24" s="268"/>
      <c r="Y24" s="269"/>
      <c r="Z24" s="376" t="str">
        <f t="shared" si="2"/>
        <v/>
      </c>
      <c r="AA24" s="268"/>
      <c r="AB24" s="377"/>
      <c r="AI24" s="138"/>
      <c r="AK24" s="2"/>
      <c r="BD24" s="48"/>
      <c r="BE24" s="48"/>
    </row>
    <row r="25" spans="1:57" ht="18" customHeight="1">
      <c r="A25" s="208">
        <f>INPUT!A23</f>
        <v>12</v>
      </c>
      <c r="B25" s="208" t="str">
        <f>INPUT!C23</f>
        <v>Intes, TJ Philip</v>
      </c>
      <c r="C25" s="142"/>
      <c r="D25" s="142"/>
      <c r="E25" s="142"/>
      <c r="F25" s="374">
        <f>TERM1!Y24</f>
        <v>100</v>
      </c>
      <c r="G25" s="263"/>
      <c r="H25" s="263"/>
      <c r="I25" s="264"/>
      <c r="J25" s="374" t="str">
        <f>TERM2!Y24</f>
        <v/>
      </c>
      <c r="K25" s="263"/>
      <c r="L25" s="263"/>
      <c r="M25" s="264"/>
      <c r="N25" s="330" t="str">
        <f>TERM3!Y24</f>
        <v/>
      </c>
      <c r="O25" s="263"/>
      <c r="P25" s="263"/>
      <c r="Q25" s="264"/>
      <c r="R25" s="375" t="str">
        <f t="shared" si="0"/>
        <v/>
      </c>
      <c r="S25" s="268"/>
      <c r="T25" s="268"/>
      <c r="U25" s="269"/>
      <c r="V25" s="374" t="str">
        <f t="shared" si="1"/>
        <v/>
      </c>
      <c r="W25" s="268"/>
      <c r="X25" s="268"/>
      <c r="Y25" s="269"/>
      <c r="Z25" s="376" t="str">
        <f t="shared" si="2"/>
        <v/>
      </c>
      <c r="AA25" s="268"/>
      <c r="AB25" s="377"/>
      <c r="AI25" s="138"/>
      <c r="AK25" s="2"/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</row>
    <row r="26" spans="1:57" ht="18" customHeight="1">
      <c r="A26" s="208">
        <f>INPUT!A24</f>
        <v>13</v>
      </c>
      <c r="B26" s="208" t="str">
        <f>INPUT!C24</f>
        <v>Jarabe, Andrei Anthony</v>
      </c>
      <c r="C26" s="142"/>
      <c r="D26" s="142"/>
      <c r="E26" s="142"/>
      <c r="F26" s="374">
        <f>TERM1!Y25</f>
        <v>100</v>
      </c>
      <c r="G26" s="263"/>
      <c r="H26" s="263"/>
      <c r="I26" s="264"/>
      <c r="J26" s="374" t="str">
        <f>TERM2!Y25</f>
        <v/>
      </c>
      <c r="K26" s="263"/>
      <c r="L26" s="263"/>
      <c r="M26" s="264"/>
      <c r="N26" s="330" t="str">
        <f>TERM3!Y25</f>
        <v/>
      </c>
      <c r="O26" s="263"/>
      <c r="P26" s="263"/>
      <c r="Q26" s="264"/>
      <c r="R26" s="375" t="str">
        <f t="shared" si="0"/>
        <v/>
      </c>
      <c r="S26" s="268"/>
      <c r="T26" s="268"/>
      <c r="U26" s="269"/>
      <c r="V26" s="374" t="str">
        <f t="shared" si="1"/>
        <v/>
      </c>
      <c r="W26" s="268"/>
      <c r="X26" s="268"/>
      <c r="Y26" s="269"/>
      <c r="Z26" s="376" t="str">
        <f t="shared" si="2"/>
        <v/>
      </c>
      <c r="AA26" s="268"/>
      <c r="AB26" s="377"/>
      <c r="AI26" s="138"/>
      <c r="AK26" s="2"/>
      <c r="AM26" s="103"/>
      <c r="AN26" s="103"/>
      <c r="AO26" s="103"/>
      <c r="AP26" s="103"/>
      <c r="AQ26" s="103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3"/>
    </row>
    <row r="27" spans="1:57" ht="18" customHeight="1">
      <c r="A27" s="208">
        <f>INPUT!A25</f>
        <v>14</v>
      </c>
      <c r="B27" s="208" t="str">
        <f>INPUT!C25</f>
        <v>Mumar, Terence Hunter</v>
      </c>
      <c r="C27" s="142"/>
      <c r="D27" s="142"/>
      <c r="E27" s="142"/>
      <c r="F27" s="374">
        <f>TERM1!Y26</f>
        <v>100</v>
      </c>
      <c r="G27" s="263"/>
      <c r="H27" s="263"/>
      <c r="I27" s="264"/>
      <c r="J27" s="374" t="str">
        <f>TERM2!Y26</f>
        <v/>
      </c>
      <c r="K27" s="263"/>
      <c r="L27" s="263"/>
      <c r="M27" s="264"/>
      <c r="N27" s="330" t="str">
        <f>TERM3!Y26</f>
        <v/>
      </c>
      <c r="O27" s="263"/>
      <c r="P27" s="263"/>
      <c r="Q27" s="264"/>
      <c r="R27" s="375" t="str">
        <f t="shared" si="0"/>
        <v/>
      </c>
      <c r="S27" s="268"/>
      <c r="T27" s="268"/>
      <c r="U27" s="269"/>
      <c r="V27" s="374" t="str">
        <f t="shared" si="1"/>
        <v/>
      </c>
      <c r="W27" s="268"/>
      <c r="X27" s="268"/>
      <c r="Y27" s="269"/>
      <c r="Z27" s="376" t="str">
        <f t="shared" si="2"/>
        <v/>
      </c>
      <c r="AA27" s="268"/>
      <c r="AB27" s="377"/>
      <c r="AI27" s="138"/>
      <c r="AK27" s="2"/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</row>
    <row r="28" spans="1:57" ht="18" customHeight="1">
      <c r="A28" s="208">
        <f>INPUT!A26</f>
        <v>15</v>
      </c>
      <c r="B28" s="208" t="str">
        <f>INPUT!C26</f>
        <v>Narita, JD Ariel</v>
      </c>
      <c r="C28" s="142"/>
      <c r="D28" s="142"/>
      <c r="E28" s="142"/>
      <c r="F28" s="374">
        <f>TERM1!Y27</f>
        <v>100</v>
      </c>
      <c r="G28" s="263"/>
      <c r="H28" s="263"/>
      <c r="I28" s="264"/>
      <c r="J28" s="374" t="str">
        <f>TERM2!Y27</f>
        <v/>
      </c>
      <c r="K28" s="263"/>
      <c r="L28" s="263"/>
      <c r="M28" s="264"/>
      <c r="N28" s="330" t="str">
        <f>TERM3!Y27</f>
        <v/>
      </c>
      <c r="O28" s="263"/>
      <c r="P28" s="263"/>
      <c r="Q28" s="264"/>
      <c r="R28" s="375" t="str">
        <f t="shared" si="0"/>
        <v/>
      </c>
      <c r="S28" s="268"/>
      <c r="T28" s="268"/>
      <c r="U28" s="269"/>
      <c r="V28" s="374" t="str">
        <f t="shared" si="1"/>
        <v/>
      </c>
      <c r="W28" s="268"/>
      <c r="X28" s="268"/>
      <c r="Y28" s="269"/>
      <c r="Z28" s="376" t="str">
        <f t="shared" si="2"/>
        <v/>
      </c>
      <c r="AA28" s="268"/>
      <c r="AB28" s="377"/>
      <c r="AI28" s="138"/>
      <c r="AK28" s="2"/>
    </row>
    <row r="29" spans="1:57" ht="18" customHeight="1">
      <c r="A29" s="208">
        <f>INPUT!A27</f>
        <v>16</v>
      </c>
      <c r="B29" s="208" t="str">
        <f>INPUT!C27</f>
        <v>Ofngol, Prince Ryder</v>
      </c>
      <c r="C29" s="142"/>
      <c r="D29" s="142"/>
      <c r="E29" s="142"/>
      <c r="F29" s="374">
        <f>TERM1!Y28</f>
        <v>100</v>
      </c>
      <c r="G29" s="263"/>
      <c r="H29" s="263"/>
      <c r="I29" s="264"/>
      <c r="J29" s="374" t="str">
        <f>TERM2!Y28</f>
        <v/>
      </c>
      <c r="K29" s="263"/>
      <c r="L29" s="263"/>
      <c r="M29" s="264"/>
      <c r="N29" s="330" t="str">
        <f>TERM3!Y28</f>
        <v/>
      </c>
      <c r="O29" s="263"/>
      <c r="P29" s="263"/>
      <c r="Q29" s="264"/>
      <c r="R29" s="375" t="str">
        <f t="shared" si="0"/>
        <v/>
      </c>
      <c r="S29" s="268"/>
      <c r="T29" s="268"/>
      <c r="U29" s="269"/>
      <c r="V29" s="374" t="str">
        <f t="shared" si="1"/>
        <v/>
      </c>
      <c r="W29" s="268"/>
      <c r="X29" s="268"/>
      <c r="Y29" s="269"/>
      <c r="Z29" s="376" t="str">
        <f t="shared" si="2"/>
        <v/>
      </c>
      <c r="AA29" s="268"/>
      <c r="AB29" s="377"/>
      <c r="AI29" s="138"/>
      <c r="AK29" s="2"/>
    </row>
    <row r="30" spans="1:57" ht="18" customHeight="1">
      <c r="A30" s="208">
        <f>INPUT!A28</f>
        <v>17</v>
      </c>
      <c r="B30" s="208" t="str">
        <f>INPUT!C28</f>
        <v>Pañega, Roland Josh</v>
      </c>
      <c r="C30" s="142"/>
      <c r="D30" s="142"/>
      <c r="E30" s="142"/>
      <c r="F30" s="374">
        <f>TERM1!Y29</f>
        <v>100</v>
      </c>
      <c r="G30" s="263"/>
      <c r="H30" s="263"/>
      <c r="I30" s="264"/>
      <c r="J30" s="374" t="str">
        <f>TERM2!Y29</f>
        <v/>
      </c>
      <c r="K30" s="263"/>
      <c r="L30" s="263"/>
      <c r="M30" s="264"/>
      <c r="N30" s="330" t="str">
        <f>TERM3!Y29</f>
        <v/>
      </c>
      <c r="O30" s="263"/>
      <c r="P30" s="263"/>
      <c r="Q30" s="264"/>
      <c r="R30" s="375" t="str">
        <f t="shared" si="0"/>
        <v/>
      </c>
      <c r="S30" s="268"/>
      <c r="T30" s="268"/>
      <c r="U30" s="269"/>
      <c r="V30" s="374" t="str">
        <f t="shared" si="1"/>
        <v/>
      </c>
      <c r="W30" s="268"/>
      <c r="X30" s="268"/>
      <c r="Y30" s="269"/>
      <c r="Z30" s="376" t="str">
        <f t="shared" si="2"/>
        <v/>
      </c>
      <c r="AA30" s="268"/>
      <c r="AB30" s="377"/>
      <c r="AI30" s="138"/>
      <c r="AK30" s="2"/>
    </row>
    <row r="31" spans="1:57" ht="18" customHeight="1">
      <c r="A31" s="208">
        <f>INPUT!A29</f>
        <v>18</v>
      </c>
      <c r="B31" s="208" t="str">
        <f>INPUT!C29</f>
        <v>Sayson, Aianne Anthony</v>
      </c>
      <c r="C31" s="142"/>
      <c r="D31" s="142"/>
      <c r="E31" s="142"/>
      <c r="F31" s="374">
        <f>TERM1!Y30</f>
        <v>100</v>
      </c>
      <c r="G31" s="263"/>
      <c r="H31" s="263"/>
      <c r="I31" s="264"/>
      <c r="J31" s="374" t="str">
        <f>TERM2!Y30</f>
        <v/>
      </c>
      <c r="K31" s="263"/>
      <c r="L31" s="263"/>
      <c r="M31" s="264"/>
      <c r="N31" s="330" t="str">
        <f>TERM3!Y30</f>
        <v/>
      </c>
      <c r="O31" s="263"/>
      <c r="P31" s="263"/>
      <c r="Q31" s="264"/>
      <c r="R31" s="375" t="str">
        <f t="shared" si="0"/>
        <v/>
      </c>
      <c r="S31" s="268"/>
      <c r="T31" s="268"/>
      <c r="U31" s="269"/>
      <c r="V31" s="374" t="str">
        <f t="shared" si="1"/>
        <v/>
      </c>
      <c r="W31" s="268"/>
      <c r="X31" s="268"/>
      <c r="Y31" s="269"/>
      <c r="Z31" s="376" t="str">
        <f t="shared" si="2"/>
        <v/>
      </c>
      <c r="AA31" s="268"/>
      <c r="AB31" s="377"/>
      <c r="AI31" s="138"/>
      <c r="AK31" s="2"/>
    </row>
    <row r="32" spans="1:57" ht="18" customHeight="1">
      <c r="A32" s="208">
        <f>INPUT!A30</f>
        <v>19</v>
      </c>
      <c r="B32" s="208" t="str">
        <f>INPUT!C30</f>
        <v>Vestidas, Rique Mart</v>
      </c>
      <c r="C32" s="142"/>
      <c r="D32" s="142"/>
      <c r="E32" s="142"/>
      <c r="F32" s="374">
        <f>TERM1!Y31</f>
        <v>100</v>
      </c>
      <c r="G32" s="263"/>
      <c r="H32" s="263"/>
      <c r="I32" s="264"/>
      <c r="J32" s="374" t="str">
        <f>TERM2!Y31</f>
        <v/>
      </c>
      <c r="K32" s="263"/>
      <c r="L32" s="263"/>
      <c r="M32" s="264"/>
      <c r="N32" s="330" t="str">
        <f>TERM3!Y31</f>
        <v/>
      </c>
      <c r="O32" s="263"/>
      <c r="P32" s="263"/>
      <c r="Q32" s="264"/>
      <c r="R32" s="375" t="str">
        <f t="shared" si="0"/>
        <v/>
      </c>
      <c r="S32" s="268"/>
      <c r="T32" s="268"/>
      <c r="U32" s="269"/>
      <c r="V32" s="374" t="str">
        <f t="shared" si="1"/>
        <v/>
      </c>
      <c r="W32" s="268"/>
      <c r="X32" s="268"/>
      <c r="Y32" s="269"/>
      <c r="Z32" s="376" t="str">
        <f t="shared" si="2"/>
        <v/>
      </c>
      <c r="AA32" s="268"/>
      <c r="AB32" s="377"/>
      <c r="AI32" s="138"/>
      <c r="AK32" s="2"/>
    </row>
    <row r="33" spans="1:55" ht="18" customHeight="1">
      <c r="A33" s="208">
        <f>INPUT!A31</f>
        <v>20</v>
      </c>
      <c r="B33" s="208" t="str">
        <f>INPUT!C31</f>
        <v>WENCESLAO, EC WHISTLER</v>
      </c>
      <c r="C33" s="142"/>
      <c r="D33" s="142"/>
      <c r="E33" s="142"/>
      <c r="F33" s="374">
        <f>TERM1!Y32</f>
        <v>100</v>
      </c>
      <c r="G33" s="263"/>
      <c r="H33" s="263"/>
      <c r="I33" s="264"/>
      <c r="J33" s="374" t="str">
        <f>TERM2!Y32</f>
        <v/>
      </c>
      <c r="K33" s="263"/>
      <c r="L33" s="263"/>
      <c r="M33" s="264"/>
      <c r="N33" s="330" t="str">
        <f>TERM3!Y32</f>
        <v/>
      </c>
      <c r="O33" s="263"/>
      <c r="P33" s="263"/>
      <c r="Q33" s="264"/>
      <c r="R33" s="375" t="str">
        <f t="shared" si="0"/>
        <v/>
      </c>
      <c r="S33" s="268"/>
      <c r="T33" s="268"/>
      <c r="U33" s="269"/>
      <c r="V33" s="374" t="str">
        <f t="shared" si="1"/>
        <v/>
      </c>
      <c r="W33" s="268"/>
      <c r="X33" s="268"/>
      <c r="Y33" s="269"/>
      <c r="Z33" s="376" t="str">
        <f t="shared" si="2"/>
        <v/>
      </c>
      <c r="AA33" s="268"/>
      <c r="AB33" s="377"/>
      <c r="AI33" s="138"/>
      <c r="AK33" s="2"/>
    </row>
    <row r="34" spans="1:55" ht="18" customHeight="1">
      <c r="A34" s="208">
        <f>INPUT!A32</f>
        <v>0</v>
      </c>
      <c r="B34" s="208">
        <f>INPUT!C32</f>
        <v>0</v>
      </c>
      <c r="C34" s="142"/>
      <c r="D34" s="142"/>
      <c r="E34" s="142"/>
      <c r="F34" s="374" t="str">
        <f>TERM1!Y33</f>
        <v/>
      </c>
      <c r="G34" s="263"/>
      <c r="H34" s="263"/>
      <c r="I34" s="264"/>
      <c r="J34" s="374" t="str">
        <f>TERM2!Y33</f>
        <v/>
      </c>
      <c r="K34" s="263"/>
      <c r="L34" s="263"/>
      <c r="M34" s="264"/>
      <c r="N34" s="330" t="str">
        <f>TERM3!Y33</f>
        <v/>
      </c>
      <c r="O34" s="263"/>
      <c r="P34" s="263"/>
      <c r="Q34" s="264"/>
      <c r="R34" s="375" t="str">
        <f t="shared" si="0"/>
        <v/>
      </c>
      <c r="S34" s="268"/>
      <c r="T34" s="268"/>
      <c r="U34" s="269"/>
      <c r="V34" s="374" t="str">
        <f t="shared" si="1"/>
        <v/>
      </c>
      <c r="W34" s="268"/>
      <c r="X34" s="268"/>
      <c r="Y34" s="269"/>
      <c r="Z34" s="376" t="str">
        <f t="shared" si="2"/>
        <v/>
      </c>
      <c r="AA34" s="268"/>
      <c r="AB34" s="377"/>
      <c r="AI34" s="138"/>
      <c r="AK34" s="2"/>
    </row>
    <row r="35" spans="1:55" ht="18" customHeight="1">
      <c r="A35" s="208">
        <f>INPUT!A33</f>
        <v>0</v>
      </c>
      <c r="B35" s="208">
        <f>INPUT!C33</f>
        <v>0</v>
      </c>
      <c r="C35" s="142"/>
      <c r="D35" s="142"/>
      <c r="E35" s="142"/>
      <c r="F35" s="374" t="str">
        <f>TERM1!Y34</f>
        <v/>
      </c>
      <c r="G35" s="263"/>
      <c r="H35" s="263"/>
      <c r="I35" s="264"/>
      <c r="J35" s="374" t="str">
        <f>TERM2!Y34</f>
        <v/>
      </c>
      <c r="K35" s="263"/>
      <c r="L35" s="263"/>
      <c r="M35" s="264"/>
      <c r="N35" s="330" t="str">
        <f>TERM3!Y34</f>
        <v/>
      </c>
      <c r="O35" s="263"/>
      <c r="P35" s="263"/>
      <c r="Q35" s="264"/>
      <c r="R35" s="375" t="str">
        <f t="shared" si="0"/>
        <v/>
      </c>
      <c r="S35" s="268"/>
      <c r="T35" s="268"/>
      <c r="U35" s="269"/>
      <c r="V35" s="374" t="str">
        <f t="shared" si="1"/>
        <v/>
      </c>
      <c r="W35" s="268"/>
      <c r="X35" s="268"/>
      <c r="Y35" s="269"/>
      <c r="Z35" s="376" t="str">
        <f t="shared" si="2"/>
        <v/>
      </c>
      <c r="AA35" s="268"/>
      <c r="AB35" s="377"/>
      <c r="AI35" s="138"/>
      <c r="AK35" s="2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</row>
    <row r="36" spans="1:55" ht="18" customHeight="1">
      <c r="A36" s="208">
        <f>INPUT!A34</f>
        <v>0</v>
      </c>
      <c r="B36" s="208">
        <f>INPUT!C34</f>
        <v>0</v>
      </c>
      <c r="C36" s="142"/>
      <c r="D36" s="142"/>
      <c r="E36" s="142"/>
      <c r="F36" s="374" t="str">
        <f>TERM1!Y35</f>
        <v/>
      </c>
      <c r="G36" s="263"/>
      <c r="H36" s="263"/>
      <c r="I36" s="264"/>
      <c r="J36" s="374" t="str">
        <f>TERM2!Y35</f>
        <v/>
      </c>
      <c r="K36" s="263"/>
      <c r="L36" s="263"/>
      <c r="M36" s="264"/>
      <c r="N36" s="330" t="str">
        <f>TERM3!Y35</f>
        <v/>
      </c>
      <c r="O36" s="263"/>
      <c r="P36" s="263"/>
      <c r="Q36" s="264"/>
      <c r="R36" s="375" t="str">
        <f t="shared" si="0"/>
        <v/>
      </c>
      <c r="S36" s="268"/>
      <c r="T36" s="268"/>
      <c r="U36" s="269"/>
      <c r="V36" s="374" t="str">
        <f t="shared" si="1"/>
        <v/>
      </c>
      <c r="W36" s="268"/>
      <c r="X36" s="268"/>
      <c r="Y36" s="269"/>
      <c r="Z36" s="376" t="str">
        <f t="shared" si="2"/>
        <v/>
      </c>
      <c r="AA36" s="268"/>
      <c r="AB36" s="377"/>
      <c r="AI36" s="138"/>
      <c r="AK36" s="2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</row>
    <row r="37" spans="1:55" ht="18" customHeight="1">
      <c r="A37" s="208">
        <f>INPUT!A35</f>
        <v>0</v>
      </c>
      <c r="B37" s="208">
        <f>INPUT!C35</f>
        <v>0</v>
      </c>
      <c r="C37" s="142"/>
      <c r="D37" s="142"/>
      <c r="E37" s="142"/>
      <c r="F37" s="374" t="str">
        <f>TERM1!Y36</f>
        <v/>
      </c>
      <c r="G37" s="263"/>
      <c r="H37" s="263"/>
      <c r="I37" s="264"/>
      <c r="J37" s="374" t="str">
        <f>TERM2!Y36</f>
        <v/>
      </c>
      <c r="K37" s="263"/>
      <c r="L37" s="263"/>
      <c r="M37" s="264"/>
      <c r="N37" s="330" t="str">
        <f>TERM3!Y36</f>
        <v/>
      </c>
      <c r="O37" s="263"/>
      <c r="P37" s="263"/>
      <c r="Q37" s="264"/>
      <c r="R37" s="375" t="str">
        <f t="shared" si="0"/>
        <v/>
      </c>
      <c r="S37" s="268"/>
      <c r="T37" s="268"/>
      <c r="U37" s="269"/>
      <c r="V37" s="374" t="str">
        <f t="shared" si="1"/>
        <v/>
      </c>
      <c r="W37" s="268"/>
      <c r="X37" s="268"/>
      <c r="Y37" s="269"/>
      <c r="Z37" s="376" t="str">
        <f t="shared" si="2"/>
        <v/>
      </c>
      <c r="AA37" s="268"/>
      <c r="AB37" s="377"/>
      <c r="AI37" s="138"/>
      <c r="AK37" s="2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</row>
    <row r="38" spans="1:55" ht="18" customHeight="1">
      <c r="A38" s="208">
        <f>INPUT!A36</f>
        <v>0</v>
      </c>
      <c r="B38" s="208">
        <f>INPUT!C36</f>
        <v>0</v>
      </c>
      <c r="C38" s="142"/>
      <c r="D38" s="142"/>
      <c r="E38" s="142"/>
      <c r="F38" s="374" t="str">
        <f>TERM1!Y37</f>
        <v/>
      </c>
      <c r="G38" s="263"/>
      <c r="H38" s="263"/>
      <c r="I38" s="264"/>
      <c r="J38" s="374" t="str">
        <f>TERM2!Y37</f>
        <v/>
      </c>
      <c r="K38" s="263"/>
      <c r="L38" s="263"/>
      <c r="M38" s="264"/>
      <c r="N38" s="330" t="str">
        <f>TERM3!Y37</f>
        <v/>
      </c>
      <c r="O38" s="263"/>
      <c r="P38" s="263"/>
      <c r="Q38" s="264"/>
      <c r="R38" s="375" t="str">
        <f t="shared" si="0"/>
        <v/>
      </c>
      <c r="S38" s="268"/>
      <c r="T38" s="268"/>
      <c r="U38" s="269"/>
      <c r="V38" s="374" t="str">
        <f t="shared" si="1"/>
        <v/>
      </c>
      <c r="W38" s="268"/>
      <c r="X38" s="268"/>
      <c r="Y38" s="269"/>
      <c r="Z38" s="376" t="str">
        <f t="shared" si="2"/>
        <v/>
      </c>
      <c r="AA38" s="268"/>
      <c r="AB38" s="377"/>
      <c r="AI38" s="138"/>
      <c r="AK38" s="2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</row>
    <row r="39" spans="1:55" ht="18" customHeight="1">
      <c r="A39" s="208">
        <f>INPUT!A37</f>
        <v>0</v>
      </c>
      <c r="B39" s="208">
        <f>INPUT!C37</f>
        <v>0</v>
      </c>
      <c r="C39" s="142"/>
      <c r="D39" s="142"/>
      <c r="E39" s="142"/>
      <c r="F39" s="374" t="str">
        <f>TERM1!Y38</f>
        <v/>
      </c>
      <c r="G39" s="263"/>
      <c r="H39" s="263"/>
      <c r="I39" s="264"/>
      <c r="J39" s="374" t="str">
        <f>TERM2!Y38</f>
        <v/>
      </c>
      <c r="K39" s="263"/>
      <c r="L39" s="263"/>
      <c r="M39" s="264"/>
      <c r="N39" s="330" t="str">
        <f>TERM3!Y38</f>
        <v/>
      </c>
      <c r="O39" s="263"/>
      <c r="P39" s="263"/>
      <c r="Q39" s="264"/>
      <c r="R39" s="375" t="str">
        <f t="shared" si="0"/>
        <v/>
      </c>
      <c r="S39" s="268"/>
      <c r="T39" s="268"/>
      <c r="U39" s="269"/>
      <c r="V39" s="374" t="str">
        <f t="shared" si="1"/>
        <v/>
      </c>
      <c r="W39" s="268"/>
      <c r="X39" s="268"/>
      <c r="Y39" s="269"/>
      <c r="Z39" s="376" t="str">
        <f t="shared" si="2"/>
        <v/>
      </c>
      <c r="AA39" s="268"/>
      <c r="AB39" s="377"/>
      <c r="AI39" s="138"/>
      <c r="AK39" s="2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</row>
    <row r="40" spans="1:55" ht="18" customHeight="1">
      <c r="A40" s="208">
        <f>INPUT!A38</f>
        <v>0</v>
      </c>
      <c r="B40" s="208">
        <f>INPUT!C38</f>
        <v>0</v>
      </c>
      <c r="C40" s="142"/>
      <c r="D40" s="142"/>
      <c r="E40" s="142"/>
      <c r="F40" s="374" t="str">
        <f>TERM1!Y39</f>
        <v/>
      </c>
      <c r="G40" s="263"/>
      <c r="H40" s="263"/>
      <c r="I40" s="264"/>
      <c r="J40" s="374" t="str">
        <f>TERM2!Y39</f>
        <v/>
      </c>
      <c r="K40" s="263"/>
      <c r="L40" s="263"/>
      <c r="M40" s="264"/>
      <c r="N40" s="330" t="str">
        <f>TERM3!Y39</f>
        <v/>
      </c>
      <c r="O40" s="263"/>
      <c r="P40" s="263"/>
      <c r="Q40" s="264"/>
      <c r="R40" s="375" t="str">
        <f t="shared" si="0"/>
        <v/>
      </c>
      <c r="S40" s="268"/>
      <c r="T40" s="268"/>
      <c r="U40" s="269"/>
      <c r="V40" s="374" t="str">
        <f t="shared" si="1"/>
        <v/>
      </c>
      <c r="W40" s="268"/>
      <c r="X40" s="268"/>
      <c r="Y40" s="269"/>
      <c r="Z40" s="376" t="str">
        <f t="shared" si="2"/>
        <v/>
      </c>
      <c r="AA40" s="268"/>
      <c r="AB40" s="377"/>
      <c r="AI40" s="138"/>
      <c r="AK40" s="2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</row>
    <row r="41" spans="1:55" ht="18" customHeight="1">
      <c r="A41" s="208">
        <f>INPUT!A39</f>
        <v>0</v>
      </c>
      <c r="B41" s="208">
        <f>INPUT!C39</f>
        <v>0</v>
      </c>
      <c r="C41" s="142"/>
      <c r="D41" s="142"/>
      <c r="E41" s="142"/>
      <c r="F41" s="374" t="str">
        <f>TERM1!Y40</f>
        <v/>
      </c>
      <c r="G41" s="263"/>
      <c r="H41" s="263"/>
      <c r="I41" s="264"/>
      <c r="J41" s="374" t="str">
        <f>TERM2!Y40</f>
        <v/>
      </c>
      <c r="K41" s="263"/>
      <c r="L41" s="263"/>
      <c r="M41" s="264"/>
      <c r="N41" s="330" t="str">
        <f>TERM3!Y40</f>
        <v/>
      </c>
      <c r="O41" s="263"/>
      <c r="P41" s="263"/>
      <c r="Q41" s="264"/>
      <c r="R41" s="375" t="str">
        <f t="shared" si="0"/>
        <v/>
      </c>
      <c r="S41" s="268"/>
      <c r="T41" s="268"/>
      <c r="U41" s="269"/>
      <c r="V41" s="374" t="str">
        <f t="shared" si="1"/>
        <v/>
      </c>
      <c r="W41" s="268"/>
      <c r="X41" s="268"/>
      <c r="Y41" s="269"/>
      <c r="Z41" s="376" t="str">
        <f t="shared" si="2"/>
        <v/>
      </c>
      <c r="AA41" s="268"/>
      <c r="AB41" s="377"/>
      <c r="AI41" s="138"/>
      <c r="AK41" s="2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</row>
    <row r="42" spans="1:55" ht="18" customHeight="1">
      <c r="A42" s="208">
        <f>INPUT!A40</f>
        <v>0</v>
      </c>
      <c r="B42" s="208">
        <f>INPUT!C40</f>
        <v>0</v>
      </c>
      <c r="C42" s="142"/>
      <c r="D42" s="142"/>
      <c r="E42" s="142"/>
      <c r="F42" s="374" t="str">
        <f>TERM1!Y41</f>
        <v/>
      </c>
      <c r="G42" s="263"/>
      <c r="H42" s="263"/>
      <c r="I42" s="264"/>
      <c r="J42" s="374" t="str">
        <f>TERM2!Y41</f>
        <v/>
      </c>
      <c r="K42" s="263"/>
      <c r="L42" s="263"/>
      <c r="M42" s="264"/>
      <c r="N42" s="330" t="str">
        <f>TERM3!Y41</f>
        <v/>
      </c>
      <c r="O42" s="263"/>
      <c r="P42" s="263"/>
      <c r="Q42" s="264"/>
      <c r="R42" s="375" t="str">
        <f t="shared" si="0"/>
        <v/>
      </c>
      <c r="S42" s="268"/>
      <c r="T42" s="268"/>
      <c r="U42" s="269"/>
      <c r="V42" s="374" t="str">
        <f t="shared" si="1"/>
        <v/>
      </c>
      <c r="W42" s="268"/>
      <c r="X42" s="268"/>
      <c r="Y42" s="269"/>
      <c r="Z42" s="376" t="str">
        <f t="shared" si="2"/>
        <v/>
      </c>
      <c r="AA42" s="268"/>
      <c r="AB42" s="377"/>
      <c r="AI42" s="138"/>
      <c r="AK42" s="2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</row>
    <row r="43" spans="1:55" ht="18" customHeight="1">
      <c r="A43" s="208">
        <f>INPUT!A41</f>
        <v>0</v>
      </c>
      <c r="B43" s="208">
        <f>INPUT!C41</f>
        <v>0</v>
      </c>
      <c r="C43" s="142"/>
      <c r="D43" s="142"/>
      <c r="E43" s="142"/>
      <c r="F43" s="374" t="str">
        <f>TERM1!Y42</f>
        <v/>
      </c>
      <c r="G43" s="263"/>
      <c r="H43" s="263"/>
      <c r="I43" s="264"/>
      <c r="J43" s="374" t="str">
        <f>TERM2!Y42</f>
        <v/>
      </c>
      <c r="K43" s="263"/>
      <c r="L43" s="263"/>
      <c r="M43" s="264"/>
      <c r="N43" s="330" t="str">
        <f>TERM3!Y42</f>
        <v/>
      </c>
      <c r="O43" s="263"/>
      <c r="P43" s="263"/>
      <c r="Q43" s="264"/>
      <c r="R43" s="375" t="str">
        <f t="shared" si="0"/>
        <v/>
      </c>
      <c r="S43" s="268"/>
      <c r="T43" s="268"/>
      <c r="U43" s="269"/>
      <c r="V43" s="374" t="str">
        <f t="shared" si="1"/>
        <v/>
      </c>
      <c r="W43" s="268"/>
      <c r="X43" s="268"/>
      <c r="Y43" s="269"/>
      <c r="Z43" s="376" t="str">
        <f t="shared" si="2"/>
        <v/>
      </c>
      <c r="AA43" s="268"/>
      <c r="AB43" s="377"/>
      <c r="AI43" s="138"/>
      <c r="AK43" s="2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</row>
    <row r="44" spans="1:55" ht="18" customHeight="1">
      <c r="A44" s="208">
        <f>INPUT!A42</f>
        <v>0</v>
      </c>
      <c r="B44" s="208">
        <f>INPUT!C42</f>
        <v>0</v>
      </c>
      <c r="C44" s="142"/>
      <c r="D44" s="142"/>
      <c r="E44" s="142"/>
      <c r="F44" s="374" t="str">
        <f>TERM1!Y43</f>
        <v/>
      </c>
      <c r="G44" s="263"/>
      <c r="H44" s="263"/>
      <c r="I44" s="264"/>
      <c r="J44" s="374" t="str">
        <f>TERM2!Y43</f>
        <v/>
      </c>
      <c r="K44" s="263"/>
      <c r="L44" s="263"/>
      <c r="M44" s="264"/>
      <c r="N44" s="330" t="str">
        <f>TERM3!Y43</f>
        <v/>
      </c>
      <c r="O44" s="263"/>
      <c r="P44" s="263"/>
      <c r="Q44" s="264"/>
      <c r="R44" s="375" t="str">
        <f t="shared" si="0"/>
        <v/>
      </c>
      <c r="S44" s="268"/>
      <c r="T44" s="268"/>
      <c r="U44" s="269"/>
      <c r="V44" s="374" t="str">
        <f t="shared" si="1"/>
        <v/>
      </c>
      <c r="W44" s="268"/>
      <c r="X44" s="268"/>
      <c r="Y44" s="269"/>
      <c r="Z44" s="376" t="str">
        <f t="shared" si="2"/>
        <v/>
      </c>
      <c r="AA44" s="268"/>
      <c r="AB44" s="377"/>
      <c r="AI44" s="138"/>
      <c r="AK44" s="2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</row>
    <row r="45" spans="1:55" ht="18" customHeight="1">
      <c r="A45" s="208">
        <f>INPUT!A43</f>
        <v>0</v>
      </c>
      <c r="B45" s="208">
        <f>INPUT!C43</f>
        <v>0</v>
      </c>
      <c r="C45" s="142"/>
      <c r="D45" s="142"/>
      <c r="E45" s="142"/>
      <c r="F45" s="374" t="str">
        <f>TERM1!Y44</f>
        <v/>
      </c>
      <c r="G45" s="263"/>
      <c r="H45" s="263"/>
      <c r="I45" s="264"/>
      <c r="J45" s="374" t="str">
        <f>TERM2!Y44</f>
        <v/>
      </c>
      <c r="K45" s="263"/>
      <c r="L45" s="263"/>
      <c r="M45" s="264"/>
      <c r="N45" s="330" t="str">
        <f>TERM3!Y44</f>
        <v/>
      </c>
      <c r="O45" s="263"/>
      <c r="P45" s="263"/>
      <c r="Q45" s="264"/>
      <c r="R45" s="375" t="str">
        <f t="shared" si="0"/>
        <v/>
      </c>
      <c r="S45" s="268"/>
      <c r="T45" s="268"/>
      <c r="U45" s="269"/>
      <c r="V45" s="374" t="str">
        <f t="shared" si="1"/>
        <v/>
      </c>
      <c r="W45" s="268"/>
      <c r="X45" s="268"/>
      <c r="Y45" s="269"/>
      <c r="Z45" s="376" t="str">
        <f t="shared" si="2"/>
        <v/>
      </c>
      <c r="AA45" s="268"/>
      <c r="AB45" s="377"/>
      <c r="AI45" s="138"/>
      <c r="AK45" s="2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</row>
    <row r="46" spans="1:55" ht="18" customHeight="1">
      <c r="A46" s="208">
        <f>INPUT!A44</f>
        <v>0</v>
      </c>
      <c r="B46" s="208">
        <f>INPUT!C44</f>
        <v>0</v>
      </c>
      <c r="C46" s="142"/>
      <c r="D46" s="142"/>
      <c r="E46" s="142"/>
      <c r="F46" s="374" t="str">
        <f>TERM1!Y45</f>
        <v/>
      </c>
      <c r="G46" s="263"/>
      <c r="H46" s="263"/>
      <c r="I46" s="264"/>
      <c r="J46" s="374" t="str">
        <f>TERM2!Y45</f>
        <v/>
      </c>
      <c r="K46" s="263"/>
      <c r="L46" s="263"/>
      <c r="M46" s="264"/>
      <c r="N46" s="330" t="str">
        <f>TERM3!Y45</f>
        <v/>
      </c>
      <c r="O46" s="263"/>
      <c r="P46" s="263"/>
      <c r="Q46" s="264"/>
      <c r="R46" s="375" t="str">
        <f t="shared" ref="R46:R63" si="3">IF(OR(F46="",J46="",N46=""),"",IF(ISERROR(ROUND(AVERAGE(F46,J46,N46),0)),"",ROUND(AVERAGE(F46,J46,N46),0)))</f>
        <v/>
      </c>
      <c r="S46" s="268"/>
      <c r="T46" s="268"/>
      <c r="U46" s="269"/>
      <c r="V46" s="374" t="str">
        <f t="shared" ref="V46:V63" si="4">IF(ISERROR(IF(R46="","",VLOOKUP(R46,DESCRIPTORS,4,TRUE))),"",IF(R46="","",VLOOKUP(R46,DESCRIPTORS,4,TRUE)))</f>
        <v/>
      </c>
      <c r="W46" s="268"/>
      <c r="X46" s="268"/>
      <c r="Y46" s="269"/>
      <c r="Z46" s="376" t="str">
        <f t="shared" ref="Z46:Z63" si="5">IF(OR($F46="",$J46="",$N46="",$R46=""),"",IF($R46&gt;=75,"PASSED","FAILED"))</f>
        <v/>
      </c>
      <c r="AA46" s="268"/>
      <c r="AB46" s="377"/>
      <c r="AI46" s="138"/>
      <c r="AK46" s="2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</row>
    <row r="47" spans="1:55" ht="18" customHeight="1">
      <c r="A47" s="208">
        <f>INPUT!A45</f>
        <v>0</v>
      </c>
      <c r="B47" s="208">
        <f>INPUT!C45</f>
        <v>0</v>
      </c>
      <c r="C47" s="142"/>
      <c r="D47" s="142"/>
      <c r="E47" s="142"/>
      <c r="F47" s="374" t="str">
        <f>TERM1!Y46</f>
        <v/>
      </c>
      <c r="G47" s="263"/>
      <c r="H47" s="263"/>
      <c r="I47" s="264"/>
      <c r="J47" s="374" t="str">
        <f>TERM2!Y46</f>
        <v/>
      </c>
      <c r="K47" s="263"/>
      <c r="L47" s="263"/>
      <c r="M47" s="264"/>
      <c r="N47" s="330" t="str">
        <f>TERM3!Y46</f>
        <v/>
      </c>
      <c r="O47" s="263"/>
      <c r="P47" s="263"/>
      <c r="Q47" s="264"/>
      <c r="R47" s="375" t="str">
        <f t="shared" si="3"/>
        <v/>
      </c>
      <c r="S47" s="268"/>
      <c r="T47" s="268"/>
      <c r="U47" s="269"/>
      <c r="V47" s="374" t="str">
        <f t="shared" si="4"/>
        <v/>
      </c>
      <c r="W47" s="268"/>
      <c r="X47" s="268"/>
      <c r="Y47" s="269"/>
      <c r="Z47" s="376" t="str">
        <f t="shared" si="5"/>
        <v/>
      </c>
      <c r="AA47" s="268"/>
      <c r="AB47" s="377"/>
      <c r="AI47" s="138"/>
      <c r="AK47" s="2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</row>
    <row r="48" spans="1:55" ht="18" customHeight="1">
      <c r="A48" s="208">
        <f>INPUT!A46</f>
        <v>0</v>
      </c>
      <c r="B48" s="208">
        <f>INPUT!C46</f>
        <v>0</v>
      </c>
      <c r="C48" s="142"/>
      <c r="D48" s="142"/>
      <c r="E48" s="142"/>
      <c r="F48" s="374" t="str">
        <f>TERM1!Y47</f>
        <v/>
      </c>
      <c r="G48" s="263"/>
      <c r="H48" s="263"/>
      <c r="I48" s="264"/>
      <c r="J48" s="374" t="str">
        <f>TERM2!Y47</f>
        <v/>
      </c>
      <c r="K48" s="263"/>
      <c r="L48" s="263"/>
      <c r="M48" s="264"/>
      <c r="N48" s="330" t="str">
        <f>TERM3!Y47</f>
        <v/>
      </c>
      <c r="O48" s="263"/>
      <c r="P48" s="263"/>
      <c r="Q48" s="264"/>
      <c r="R48" s="375" t="str">
        <f t="shared" si="3"/>
        <v/>
      </c>
      <c r="S48" s="268"/>
      <c r="T48" s="268"/>
      <c r="U48" s="269"/>
      <c r="V48" s="374" t="str">
        <f t="shared" si="4"/>
        <v/>
      </c>
      <c r="W48" s="268"/>
      <c r="X48" s="268"/>
      <c r="Y48" s="269"/>
      <c r="Z48" s="376" t="str">
        <f t="shared" si="5"/>
        <v/>
      </c>
      <c r="AA48" s="268"/>
      <c r="AB48" s="377"/>
      <c r="AI48" s="138"/>
      <c r="AK48" s="2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</row>
    <row r="49" spans="1:60" ht="18" customHeight="1">
      <c r="A49" s="208">
        <f>INPUT!A47</f>
        <v>0</v>
      </c>
      <c r="B49" s="208">
        <f>INPUT!C47</f>
        <v>0</v>
      </c>
      <c r="C49" s="142"/>
      <c r="D49" s="142"/>
      <c r="E49" s="142"/>
      <c r="F49" s="374" t="str">
        <f>TERM1!Y48</f>
        <v/>
      </c>
      <c r="G49" s="263"/>
      <c r="H49" s="263"/>
      <c r="I49" s="264"/>
      <c r="J49" s="374" t="str">
        <f>TERM2!Y48</f>
        <v/>
      </c>
      <c r="K49" s="263"/>
      <c r="L49" s="263"/>
      <c r="M49" s="264"/>
      <c r="N49" s="330" t="str">
        <f>TERM3!Y48</f>
        <v/>
      </c>
      <c r="O49" s="263"/>
      <c r="P49" s="263"/>
      <c r="Q49" s="264"/>
      <c r="R49" s="375" t="str">
        <f t="shared" si="3"/>
        <v/>
      </c>
      <c r="S49" s="268"/>
      <c r="T49" s="268"/>
      <c r="U49" s="269"/>
      <c r="V49" s="374" t="str">
        <f t="shared" si="4"/>
        <v/>
      </c>
      <c r="W49" s="268"/>
      <c r="X49" s="268"/>
      <c r="Y49" s="269"/>
      <c r="Z49" s="376" t="str">
        <f t="shared" si="5"/>
        <v/>
      </c>
      <c r="AA49" s="268"/>
      <c r="AB49" s="377"/>
      <c r="AI49" s="138"/>
      <c r="AK49" s="2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</row>
    <row r="50" spans="1:60" ht="18" customHeight="1">
      <c r="A50" s="208">
        <f>INPUT!A48</f>
        <v>0</v>
      </c>
      <c r="B50" s="208">
        <f>INPUT!C48</f>
        <v>0</v>
      </c>
      <c r="C50" s="142"/>
      <c r="D50" s="142"/>
      <c r="E50" s="142"/>
      <c r="F50" s="374" t="str">
        <f>TERM1!Y49</f>
        <v/>
      </c>
      <c r="G50" s="263"/>
      <c r="H50" s="263"/>
      <c r="I50" s="264"/>
      <c r="J50" s="374" t="str">
        <f>TERM2!Y49</f>
        <v/>
      </c>
      <c r="K50" s="263"/>
      <c r="L50" s="263"/>
      <c r="M50" s="264"/>
      <c r="N50" s="330" t="str">
        <f>TERM3!Y49</f>
        <v/>
      </c>
      <c r="O50" s="263"/>
      <c r="P50" s="263"/>
      <c r="Q50" s="264"/>
      <c r="R50" s="375" t="str">
        <f t="shared" si="3"/>
        <v/>
      </c>
      <c r="S50" s="268"/>
      <c r="T50" s="268"/>
      <c r="U50" s="269"/>
      <c r="V50" s="374" t="str">
        <f t="shared" si="4"/>
        <v/>
      </c>
      <c r="W50" s="268"/>
      <c r="X50" s="268"/>
      <c r="Y50" s="269"/>
      <c r="Z50" s="376" t="str">
        <f t="shared" si="5"/>
        <v/>
      </c>
      <c r="AA50" s="268"/>
      <c r="AB50" s="377"/>
      <c r="AI50" s="138"/>
      <c r="AK50" s="2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</row>
    <row r="51" spans="1:60" ht="18" customHeight="1">
      <c r="A51" s="208">
        <f>INPUT!A49</f>
        <v>0</v>
      </c>
      <c r="B51" s="208">
        <f>INPUT!C49</f>
        <v>0</v>
      </c>
      <c r="C51" s="142"/>
      <c r="D51" s="142"/>
      <c r="E51" s="142"/>
      <c r="F51" s="374" t="str">
        <f>TERM1!Y50</f>
        <v/>
      </c>
      <c r="G51" s="263"/>
      <c r="H51" s="263"/>
      <c r="I51" s="264"/>
      <c r="J51" s="374" t="str">
        <f>TERM2!Y50</f>
        <v/>
      </c>
      <c r="K51" s="263"/>
      <c r="L51" s="263"/>
      <c r="M51" s="264"/>
      <c r="N51" s="330" t="str">
        <f>TERM3!Y50</f>
        <v/>
      </c>
      <c r="O51" s="263"/>
      <c r="P51" s="263"/>
      <c r="Q51" s="264"/>
      <c r="R51" s="375" t="str">
        <f t="shared" si="3"/>
        <v/>
      </c>
      <c r="S51" s="268"/>
      <c r="T51" s="268"/>
      <c r="U51" s="269"/>
      <c r="V51" s="374" t="str">
        <f t="shared" si="4"/>
        <v/>
      </c>
      <c r="W51" s="268"/>
      <c r="X51" s="268"/>
      <c r="Y51" s="269"/>
      <c r="Z51" s="376" t="str">
        <f t="shared" si="5"/>
        <v/>
      </c>
      <c r="AA51" s="268"/>
      <c r="AB51" s="377"/>
      <c r="AI51" s="138"/>
      <c r="AK51" s="2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</row>
    <row r="52" spans="1:60" ht="18" customHeight="1">
      <c r="A52" s="208">
        <f>INPUT!A50</f>
        <v>0</v>
      </c>
      <c r="B52" s="208">
        <f>INPUT!C50</f>
        <v>0</v>
      </c>
      <c r="C52" s="142"/>
      <c r="D52" s="142"/>
      <c r="E52" s="142"/>
      <c r="F52" s="374" t="str">
        <f>TERM1!Y51</f>
        <v/>
      </c>
      <c r="G52" s="263"/>
      <c r="H52" s="263"/>
      <c r="I52" s="264"/>
      <c r="J52" s="374" t="str">
        <f>TERM2!Y51</f>
        <v/>
      </c>
      <c r="K52" s="263"/>
      <c r="L52" s="263"/>
      <c r="M52" s="264"/>
      <c r="N52" s="330" t="str">
        <f>TERM3!Y51</f>
        <v/>
      </c>
      <c r="O52" s="263"/>
      <c r="P52" s="263"/>
      <c r="Q52" s="264"/>
      <c r="R52" s="375" t="str">
        <f t="shared" si="3"/>
        <v/>
      </c>
      <c r="S52" s="268"/>
      <c r="T52" s="268"/>
      <c r="U52" s="269"/>
      <c r="V52" s="374" t="str">
        <f t="shared" si="4"/>
        <v/>
      </c>
      <c r="W52" s="268"/>
      <c r="X52" s="268"/>
      <c r="Y52" s="269"/>
      <c r="Z52" s="376" t="str">
        <f t="shared" si="5"/>
        <v/>
      </c>
      <c r="AA52" s="268"/>
      <c r="AB52" s="377"/>
      <c r="AI52" s="138"/>
      <c r="AK52" s="2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</row>
    <row r="53" spans="1:60" ht="18" customHeight="1">
      <c r="A53" s="208">
        <f>INPUT!A51</f>
        <v>0</v>
      </c>
      <c r="B53" s="208">
        <f>INPUT!C51</f>
        <v>0</v>
      </c>
      <c r="C53" s="142"/>
      <c r="D53" s="142"/>
      <c r="E53" s="142"/>
      <c r="F53" s="374" t="str">
        <f>TERM1!Y52</f>
        <v/>
      </c>
      <c r="G53" s="263"/>
      <c r="H53" s="263"/>
      <c r="I53" s="264"/>
      <c r="J53" s="374" t="str">
        <f>TERM2!Y52</f>
        <v/>
      </c>
      <c r="K53" s="263"/>
      <c r="L53" s="263"/>
      <c r="M53" s="264"/>
      <c r="N53" s="330" t="str">
        <f>TERM3!Y52</f>
        <v/>
      </c>
      <c r="O53" s="263"/>
      <c r="P53" s="263"/>
      <c r="Q53" s="264"/>
      <c r="R53" s="375" t="str">
        <f t="shared" si="3"/>
        <v/>
      </c>
      <c r="S53" s="268"/>
      <c r="T53" s="268"/>
      <c r="U53" s="269"/>
      <c r="V53" s="374" t="str">
        <f t="shared" si="4"/>
        <v/>
      </c>
      <c r="W53" s="268"/>
      <c r="X53" s="268"/>
      <c r="Y53" s="269"/>
      <c r="Z53" s="376" t="str">
        <f t="shared" si="5"/>
        <v/>
      </c>
      <c r="AA53" s="268"/>
      <c r="AB53" s="377"/>
      <c r="AI53" s="138"/>
      <c r="AK53" s="2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</row>
    <row r="54" spans="1:60" ht="18" customHeight="1">
      <c r="A54" s="208">
        <f>INPUT!A52</f>
        <v>0</v>
      </c>
      <c r="B54" s="208">
        <f>INPUT!C52</f>
        <v>0</v>
      </c>
      <c r="C54" s="142"/>
      <c r="D54" s="142"/>
      <c r="E54" s="142"/>
      <c r="F54" s="374" t="str">
        <f>TERM1!Y53</f>
        <v/>
      </c>
      <c r="G54" s="263"/>
      <c r="H54" s="263"/>
      <c r="I54" s="264"/>
      <c r="J54" s="374" t="str">
        <f>TERM2!Y53</f>
        <v/>
      </c>
      <c r="K54" s="263"/>
      <c r="L54" s="263"/>
      <c r="M54" s="264"/>
      <c r="N54" s="330" t="str">
        <f>TERM3!Y53</f>
        <v/>
      </c>
      <c r="O54" s="263"/>
      <c r="P54" s="263"/>
      <c r="Q54" s="264"/>
      <c r="R54" s="375" t="str">
        <f t="shared" si="3"/>
        <v/>
      </c>
      <c r="S54" s="268"/>
      <c r="T54" s="268"/>
      <c r="U54" s="269"/>
      <c r="V54" s="374" t="str">
        <f t="shared" si="4"/>
        <v/>
      </c>
      <c r="W54" s="268"/>
      <c r="X54" s="268"/>
      <c r="Y54" s="269"/>
      <c r="Z54" s="376" t="str">
        <f t="shared" si="5"/>
        <v/>
      </c>
      <c r="AA54" s="268"/>
      <c r="AB54" s="377"/>
      <c r="AI54" s="138"/>
      <c r="AK54" s="2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</row>
    <row r="55" spans="1:60" ht="18" customHeight="1">
      <c r="A55" s="208">
        <f>INPUT!A53</f>
        <v>0</v>
      </c>
      <c r="B55" s="208">
        <f>INPUT!C53</f>
        <v>0</v>
      </c>
      <c r="C55" s="142"/>
      <c r="D55" s="142"/>
      <c r="E55" s="142"/>
      <c r="F55" s="374" t="str">
        <f>TERM1!Y54</f>
        <v/>
      </c>
      <c r="G55" s="263"/>
      <c r="H55" s="263"/>
      <c r="I55" s="264"/>
      <c r="J55" s="374" t="str">
        <f>TERM2!Y54</f>
        <v/>
      </c>
      <c r="K55" s="263"/>
      <c r="L55" s="263"/>
      <c r="M55" s="264"/>
      <c r="N55" s="330" t="str">
        <f>TERM3!Y54</f>
        <v/>
      </c>
      <c r="O55" s="263"/>
      <c r="P55" s="263"/>
      <c r="Q55" s="264"/>
      <c r="R55" s="375" t="str">
        <f t="shared" si="3"/>
        <v/>
      </c>
      <c r="S55" s="268"/>
      <c r="T55" s="268"/>
      <c r="U55" s="269"/>
      <c r="V55" s="374" t="str">
        <f t="shared" si="4"/>
        <v/>
      </c>
      <c r="W55" s="268"/>
      <c r="X55" s="268"/>
      <c r="Y55" s="269"/>
      <c r="Z55" s="376" t="str">
        <f t="shared" si="5"/>
        <v/>
      </c>
      <c r="AA55" s="268"/>
      <c r="AB55" s="377"/>
      <c r="AI55" s="138"/>
      <c r="AK55" s="2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  <row r="56" spans="1:60" ht="18" customHeight="1">
      <c r="A56" s="208">
        <f>INPUT!A54</f>
        <v>0</v>
      </c>
      <c r="B56" s="208">
        <f>INPUT!C54</f>
        <v>0</v>
      </c>
      <c r="C56" s="142"/>
      <c r="D56" s="142"/>
      <c r="E56" s="142"/>
      <c r="F56" s="374" t="str">
        <f>TERM1!Y55</f>
        <v/>
      </c>
      <c r="G56" s="263"/>
      <c r="H56" s="263"/>
      <c r="I56" s="264"/>
      <c r="J56" s="374" t="str">
        <f>TERM2!Y55</f>
        <v/>
      </c>
      <c r="K56" s="263"/>
      <c r="L56" s="263"/>
      <c r="M56" s="264"/>
      <c r="N56" s="330" t="str">
        <f>TERM3!Y55</f>
        <v/>
      </c>
      <c r="O56" s="263"/>
      <c r="P56" s="263"/>
      <c r="Q56" s="264"/>
      <c r="R56" s="375" t="str">
        <f t="shared" si="3"/>
        <v/>
      </c>
      <c r="S56" s="268"/>
      <c r="T56" s="268"/>
      <c r="U56" s="269"/>
      <c r="V56" s="374" t="str">
        <f t="shared" si="4"/>
        <v/>
      </c>
      <c r="W56" s="268"/>
      <c r="X56" s="268"/>
      <c r="Y56" s="269"/>
      <c r="Z56" s="376" t="str">
        <f t="shared" si="5"/>
        <v/>
      </c>
      <c r="AA56" s="268"/>
      <c r="AB56" s="377"/>
      <c r="AI56" s="138"/>
      <c r="AK56" s="2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</row>
    <row r="57" spans="1:60" ht="18" customHeight="1">
      <c r="A57" s="208">
        <f>INPUT!A55</f>
        <v>0</v>
      </c>
      <c r="B57" s="208">
        <f>INPUT!C55</f>
        <v>0</v>
      </c>
      <c r="C57" s="142"/>
      <c r="D57" s="142"/>
      <c r="E57" s="142"/>
      <c r="F57" s="374" t="str">
        <f>TERM1!Y56</f>
        <v/>
      </c>
      <c r="G57" s="263"/>
      <c r="H57" s="263"/>
      <c r="I57" s="264"/>
      <c r="J57" s="374" t="str">
        <f>TERM2!Y56</f>
        <v/>
      </c>
      <c r="K57" s="263"/>
      <c r="L57" s="263"/>
      <c r="M57" s="264"/>
      <c r="N57" s="330" t="str">
        <f>TERM3!Y56</f>
        <v/>
      </c>
      <c r="O57" s="263"/>
      <c r="P57" s="263"/>
      <c r="Q57" s="264"/>
      <c r="R57" s="375" t="str">
        <f t="shared" si="3"/>
        <v/>
      </c>
      <c r="S57" s="268"/>
      <c r="T57" s="268"/>
      <c r="U57" s="269"/>
      <c r="V57" s="374" t="str">
        <f t="shared" si="4"/>
        <v/>
      </c>
      <c r="W57" s="268"/>
      <c r="X57" s="268"/>
      <c r="Y57" s="269"/>
      <c r="Z57" s="376" t="str">
        <f t="shared" si="5"/>
        <v/>
      </c>
      <c r="AA57" s="268"/>
      <c r="AB57" s="377"/>
      <c r="AI57" s="138"/>
      <c r="AK57" s="2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</row>
    <row r="58" spans="1:60" ht="18" customHeight="1">
      <c r="A58" s="208">
        <f>INPUT!A56</f>
        <v>0</v>
      </c>
      <c r="B58" s="208">
        <f>INPUT!C56</f>
        <v>0</v>
      </c>
      <c r="C58" s="142"/>
      <c r="D58" s="142"/>
      <c r="E58" s="142"/>
      <c r="F58" s="374" t="str">
        <f>TERM1!Y57</f>
        <v/>
      </c>
      <c r="G58" s="263"/>
      <c r="H58" s="263"/>
      <c r="I58" s="264"/>
      <c r="J58" s="374" t="str">
        <f>TERM2!Y57</f>
        <v/>
      </c>
      <c r="K58" s="263"/>
      <c r="L58" s="263"/>
      <c r="M58" s="264"/>
      <c r="N58" s="330" t="str">
        <f>TERM3!Y57</f>
        <v/>
      </c>
      <c r="O58" s="263"/>
      <c r="P58" s="263"/>
      <c r="Q58" s="264"/>
      <c r="R58" s="375" t="str">
        <f t="shared" si="3"/>
        <v/>
      </c>
      <c r="S58" s="268"/>
      <c r="T58" s="268"/>
      <c r="U58" s="269"/>
      <c r="V58" s="374" t="str">
        <f t="shared" si="4"/>
        <v/>
      </c>
      <c r="W58" s="268"/>
      <c r="X58" s="268"/>
      <c r="Y58" s="269"/>
      <c r="Z58" s="376" t="str">
        <f t="shared" si="5"/>
        <v/>
      </c>
      <c r="AA58" s="268"/>
      <c r="AB58" s="377"/>
      <c r="AI58" s="138"/>
      <c r="AK58" s="2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</row>
    <row r="59" spans="1:60" ht="18" customHeight="1">
      <c r="A59" s="208">
        <f>INPUT!A57</f>
        <v>0</v>
      </c>
      <c r="B59" s="208">
        <f>INPUT!C57</f>
        <v>0</v>
      </c>
      <c r="C59" s="142"/>
      <c r="D59" s="142"/>
      <c r="E59" s="142"/>
      <c r="F59" s="374" t="str">
        <f>TERM1!Y58</f>
        <v/>
      </c>
      <c r="G59" s="263"/>
      <c r="H59" s="263"/>
      <c r="I59" s="264"/>
      <c r="J59" s="374" t="str">
        <f>TERM2!Y58</f>
        <v/>
      </c>
      <c r="K59" s="263"/>
      <c r="L59" s="263"/>
      <c r="M59" s="264"/>
      <c r="N59" s="330" t="str">
        <f>TERM3!Y58</f>
        <v/>
      </c>
      <c r="O59" s="263"/>
      <c r="P59" s="263"/>
      <c r="Q59" s="264"/>
      <c r="R59" s="375" t="str">
        <f t="shared" si="3"/>
        <v/>
      </c>
      <c r="S59" s="268"/>
      <c r="T59" s="268"/>
      <c r="U59" s="269"/>
      <c r="V59" s="374" t="str">
        <f t="shared" si="4"/>
        <v/>
      </c>
      <c r="W59" s="268"/>
      <c r="X59" s="268"/>
      <c r="Y59" s="269"/>
      <c r="Z59" s="376" t="str">
        <f t="shared" si="5"/>
        <v/>
      </c>
      <c r="AA59" s="268"/>
      <c r="AB59" s="377"/>
      <c r="AI59" s="138"/>
      <c r="AK59" s="2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</row>
    <row r="60" spans="1:60" ht="18" customHeight="1">
      <c r="A60" s="208">
        <f>INPUT!A58</f>
        <v>0</v>
      </c>
      <c r="B60" s="208">
        <f>INPUT!C58</f>
        <v>0</v>
      </c>
      <c r="C60" s="142"/>
      <c r="D60" s="142"/>
      <c r="E60" s="142"/>
      <c r="F60" s="374" t="str">
        <f>TERM1!Y59</f>
        <v/>
      </c>
      <c r="G60" s="263"/>
      <c r="H60" s="263"/>
      <c r="I60" s="264"/>
      <c r="J60" s="374" t="str">
        <f>TERM2!Y59</f>
        <v/>
      </c>
      <c r="K60" s="263"/>
      <c r="L60" s="263"/>
      <c r="M60" s="264"/>
      <c r="N60" s="330" t="str">
        <f>TERM3!Y59</f>
        <v/>
      </c>
      <c r="O60" s="263"/>
      <c r="P60" s="263"/>
      <c r="Q60" s="264"/>
      <c r="R60" s="375" t="str">
        <f t="shared" si="3"/>
        <v/>
      </c>
      <c r="S60" s="268"/>
      <c r="T60" s="268"/>
      <c r="U60" s="269"/>
      <c r="V60" s="374" t="str">
        <f t="shared" si="4"/>
        <v/>
      </c>
      <c r="W60" s="268"/>
      <c r="X60" s="268"/>
      <c r="Y60" s="269"/>
      <c r="Z60" s="376" t="str">
        <f t="shared" si="5"/>
        <v/>
      </c>
      <c r="AA60" s="268"/>
      <c r="AB60" s="377"/>
      <c r="AI60" s="138"/>
      <c r="AK60" s="2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</row>
    <row r="61" spans="1:60" ht="18" customHeight="1">
      <c r="A61" s="208">
        <f>INPUT!A59</f>
        <v>0</v>
      </c>
      <c r="B61" s="208">
        <f>INPUT!C59</f>
        <v>0</v>
      </c>
      <c r="C61" s="142"/>
      <c r="D61" s="142"/>
      <c r="E61" s="142"/>
      <c r="F61" s="374" t="str">
        <f>TERM1!Y60</f>
        <v/>
      </c>
      <c r="G61" s="263"/>
      <c r="H61" s="263"/>
      <c r="I61" s="264"/>
      <c r="J61" s="374" t="str">
        <f>TERM2!Y60</f>
        <v/>
      </c>
      <c r="K61" s="263"/>
      <c r="L61" s="263"/>
      <c r="M61" s="264"/>
      <c r="N61" s="330" t="str">
        <f>TERM3!Y60</f>
        <v/>
      </c>
      <c r="O61" s="263"/>
      <c r="P61" s="263"/>
      <c r="Q61" s="264"/>
      <c r="R61" s="375" t="str">
        <f t="shared" si="3"/>
        <v/>
      </c>
      <c r="S61" s="268"/>
      <c r="T61" s="268"/>
      <c r="U61" s="269"/>
      <c r="V61" s="374" t="str">
        <f t="shared" si="4"/>
        <v/>
      </c>
      <c r="W61" s="268"/>
      <c r="X61" s="268"/>
      <c r="Y61" s="269"/>
      <c r="Z61" s="376" t="str">
        <f t="shared" si="5"/>
        <v/>
      </c>
      <c r="AA61" s="268"/>
      <c r="AB61" s="377"/>
      <c r="AI61" s="138"/>
      <c r="AK61" s="2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</row>
    <row r="62" spans="1:60" ht="18" customHeight="1">
      <c r="A62" s="208">
        <f>INPUT!A60</f>
        <v>0</v>
      </c>
      <c r="B62" s="208">
        <f>INPUT!C60</f>
        <v>0</v>
      </c>
      <c r="C62" s="142"/>
      <c r="D62" s="142"/>
      <c r="E62" s="142"/>
      <c r="F62" s="374" t="str">
        <f>TERM1!Y61</f>
        <v/>
      </c>
      <c r="G62" s="263"/>
      <c r="H62" s="263"/>
      <c r="I62" s="264"/>
      <c r="J62" s="374" t="str">
        <f>TERM2!Y61</f>
        <v/>
      </c>
      <c r="K62" s="263"/>
      <c r="L62" s="263"/>
      <c r="M62" s="264"/>
      <c r="N62" s="330" t="str">
        <f>TERM3!Y61</f>
        <v/>
      </c>
      <c r="O62" s="263"/>
      <c r="P62" s="263"/>
      <c r="Q62" s="264"/>
      <c r="R62" s="375" t="str">
        <f t="shared" si="3"/>
        <v/>
      </c>
      <c r="S62" s="268"/>
      <c r="T62" s="268"/>
      <c r="U62" s="269"/>
      <c r="V62" s="374" t="str">
        <f t="shared" si="4"/>
        <v/>
      </c>
      <c r="W62" s="268"/>
      <c r="X62" s="268"/>
      <c r="Y62" s="269"/>
      <c r="Z62" s="376" t="str">
        <f t="shared" si="5"/>
        <v/>
      </c>
      <c r="AA62" s="268"/>
      <c r="AB62" s="377"/>
      <c r="AI62" s="138"/>
      <c r="AK62" s="2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</row>
    <row r="63" spans="1:60" ht="18" customHeight="1">
      <c r="A63" s="211"/>
      <c r="B63" s="146"/>
      <c r="C63" s="143">
        <v>0</v>
      </c>
      <c r="D63" s="143"/>
      <c r="E63" s="143"/>
      <c r="F63" s="378" t="str">
        <f>TERM1!Y62</f>
        <v/>
      </c>
      <c r="G63" s="386"/>
      <c r="H63" s="386"/>
      <c r="I63" s="387"/>
      <c r="J63" s="388" t="str">
        <f>TERM2!Y62</f>
        <v/>
      </c>
      <c r="K63" s="386"/>
      <c r="L63" s="386"/>
      <c r="M63" s="387"/>
      <c r="N63" s="388" t="str">
        <f>TERM3!Y62</f>
        <v/>
      </c>
      <c r="O63" s="386"/>
      <c r="P63" s="386"/>
      <c r="Q63" s="387"/>
      <c r="R63" s="389" t="str">
        <f t="shared" si="3"/>
        <v/>
      </c>
      <c r="S63" s="390"/>
      <c r="T63" s="390"/>
      <c r="U63" s="391"/>
      <c r="V63" s="388" t="str">
        <f t="shared" si="4"/>
        <v/>
      </c>
      <c r="W63" s="386"/>
      <c r="X63" s="386"/>
      <c r="Y63" s="387"/>
      <c r="Z63" s="392" t="str">
        <f t="shared" si="5"/>
        <v/>
      </c>
      <c r="AA63" s="393"/>
      <c r="AB63" s="394"/>
      <c r="AI63" s="138"/>
      <c r="AK63" s="2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</row>
    <row r="64" spans="1:60" ht="18" hidden="1" customHeight="1">
      <c r="A64" s="237" t="s">
        <v>66</v>
      </c>
      <c r="B64" s="368" t="s">
        <v>68</v>
      </c>
      <c r="C64" s="369"/>
      <c r="D64" s="370"/>
      <c r="E64" s="215" t="s">
        <v>66</v>
      </c>
      <c r="F64" s="217" t="s">
        <v>68</v>
      </c>
      <c r="G64" s="217"/>
      <c r="H64" s="217"/>
      <c r="I64" s="215" t="s">
        <v>66</v>
      </c>
      <c r="J64" s="217" t="s">
        <v>68</v>
      </c>
      <c r="K64" s="217"/>
      <c r="L64" s="217"/>
      <c r="M64" s="215" t="s">
        <v>66</v>
      </c>
      <c r="N64" s="217" t="s">
        <v>68</v>
      </c>
      <c r="O64" s="217"/>
      <c r="P64" s="217"/>
      <c r="Q64" s="215" t="s">
        <v>66</v>
      </c>
      <c r="R64" s="217" t="s">
        <v>68</v>
      </c>
      <c r="S64" s="217"/>
      <c r="T64" s="217"/>
      <c r="U64" s="215" t="s">
        <v>66</v>
      </c>
      <c r="V64" s="217" t="s">
        <v>68</v>
      </c>
      <c r="W64" s="217"/>
      <c r="X64" s="217"/>
      <c r="Y64" s="215" t="s">
        <v>66</v>
      </c>
      <c r="Z64" s="371" t="s">
        <v>68</v>
      </c>
      <c r="AA64" s="372"/>
      <c r="AB64" s="373"/>
      <c r="AC64" s="215" t="s">
        <v>66</v>
      </c>
      <c r="AD64" s="365" t="s">
        <v>68</v>
      </c>
      <c r="AE64" s="366"/>
      <c r="AF64" s="367"/>
      <c r="AG64" s="215" t="s">
        <v>66</v>
      </c>
      <c r="AH64" s="365" t="s">
        <v>68</v>
      </c>
      <c r="AI64" s="366"/>
      <c r="AJ64" s="367"/>
      <c r="AK64" s="215" t="s">
        <v>66</v>
      </c>
      <c r="AL64" s="365" t="s">
        <v>68</v>
      </c>
      <c r="AM64" s="366"/>
      <c r="AN64" s="367"/>
      <c r="AO64" s="215" t="s">
        <v>66</v>
      </c>
      <c r="AP64" s="365" t="s">
        <v>68</v>
      </c>
      <c r="AQ64" s="366"/>
      <c r="AR64" s="367"/>
      <c r="AS64" s="215" t="s">
        <v>66</v>
      </c>
      <c r="AT64" s="365" t="s">
        <v>68</v>
      </c>
      <c r="AU64" s="366"/>
      <c r="AV64" s="367"/>
      <c r="AW64" s="215" t="s">
        <v>66</v>
      </c>
      <c r="AX64" s="365" t="s">
        <v>68</v>
      </c>
      <c r="AY64" s="366"/>
      <c r="AZ64" s="367"/>
      <c r="BA64" s="215" t="s">
        <v>66</v>
      </c>
      <c r="BB64" s="365" t="s">
        <v>68</v>
      </c>
      <c r="BC64" s="366"/>
      <c r="BD64" s="367"/>
      <c r="BE64" s="215" t="s">
        <v>66</v>
      </c>
      <c r="BF64" s="365" t="s">
        <v>68</v>
      </c>
      <c r="BG64" s="366"/>
      <c r="BH64" s="367"/>
    </row>
    <row r="65" spans="1:55" ht="18" customHeight="1">
      <c r="A65" s="212"/>
      <c r="B65" s="144" t="s">
        <v>69</v>
      </c>
      <c r="C65" s="140"/>
      <c r="D65" s="140"/>
      <c r="E65" s="144"/>
      <c r="F65" s="445"/>
      <c r="G65" s="446"/>
      <c r="H65" s="446"/>
      <c r="I65" s="447"/>
      <c r="J65" s="439"/>
      <c r="K65" s="440"/>
      <c r="L65" s="440"/>
      <c r="M65" s="441"/>
      <c r="N65" s="439"/>
      <c r="O65" s="440"/>
      <c r="P65" s="440"/>
      <c r="Q65" s="441"/>
      <c r="R65" s="442"/>
      <c r="S65" s="443"/>
      <c r="T65" s="443"/>
      <c r="U65" s="444"/>
      <c r="V65" s="442" t="str">
        <f>IF(OR(F65="",J65="",N65="",R65=""),"",IF(ISERROR(ROUND(AVERAGE(F65,J65,N65,R65),0)),"",ROUND(AVERAGE(F65,J65,N65,R65),0)))</f>
        <v/>
      </c>
      <c r="W65" s="443"/>
      <c r="X65" s="443"/>
      <c r="Y65" s="444"/>
      <c r="Z65" s="448" t="str">
        <f>IF(OR($F65="",$J65="",$N65="",$R65="",$V65=""),"",IF($V65&gt;=75,"PASSED","FAILED"))</f>
        <v/>
      </c>
      <c r="AA65" s="449"/>
      <c r="AB65" s="450"/>
      <c r="AI65" s="138"/>
      <c r="AK65" s="2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</row>
    <row r="66" spans="1:55" ht="18" hidden="1" customHeight="1">
      <c r="A66" s="205" t="s">
        <v>70</v>
      </c>
      <c r="B66" s="454" t="s">
        <v>72</v>
      </c>
      <c r="C66" s="304"/>
      <c r="D66" s="305"/>
      <c r="E66" s="204"/>
      <c r="F66" s="458"/>
      <c r="G66" s="459"/>
      <c r="H66" s="459"/>
      <c r="I66" s="460"/>
      <c r="J66" s="202"/>
      <c r="K66" s="200"/>
      <c r="L66" s="200"/>
      <c r="M66" s="201"/>
      <c r="N66" s="202"/>
      <c r="O66" s="200"/>
      <c r="P66" s="200"/>
      <c r="Q66" s="201"/>
      <c r="R66" s="203"/>
      <c r="S66" s="200"/>
      <c r="T66" s="200"/>
      <c r="U66" s="201"/>
      <c r="V66" s="203"/>
      <c r="W66" s="200"/>
      <c r="X66" s="200"/>
      <c r="Y66" s="201"/>
      <c r="Z66" s="206"/>
      <c r="AA66" s="200"/>
      <c r="AB66" s="191"/>
      <c r="AI66" s="138"/>
      <c r="AK66" s="2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</row>
    <row r="67" spans="1:55" ht="18" customHeight="1">
      <c r="A67" s="145" t="str">
        <f>INPUT!B64</f>
        <v>2022-00020</v>
      </c>
      <c r="B67" s="145" t="str">
        <f>INPUT!C64</f>
        <v>Araquil, Jheane Joel</v>
      </c>
      <c r="C67" s="141"/>
      <c r="D67" s="141"/>
      <c r="E67" s="141"/>
      <c r="F67" s="395">
        <f>TERM1!Y66</f>
        <v>100</v>
      </c>
      <c r="G67" s="396"/>
      <c r="H67" s="396"/>
      <c r="I67" s="397"/>
      <c r="J67" s="398" t="str">
        <f>TERM2!Y66</f>
        <v/>
      </c>
      <c r="K67" s="396"/>
      <c r="L67" s="396"/>
      <c r="M67" s="397"/>
      <c r="N67" s="398" t="str">
        <f>TERM3!Y66</f>
        <v/>
      </c>
      <c r="O67" s="396"/>
      <c r="P67" s="396"/>
      <c r="Q67" s="397"/>
      <c r="R67" s="399" t="str">
        <f t="shared" ref="R67:R98" si="6">IF(OR(F67="",J67="",N67=""),"",IF(ISERROR(ROUND(AVERAGE(F67,J67,N67),0)),"",ROUND(AVERAGE(F67,J67,N67),0)))</f>
        <v/>
      </c>
      <c r="S67" s="400"/>
      <c r="T67" s="400"/>
      <c r="U67" s="401"/>
      <c r="V67" s="398" t="str">
        <f t="shared" ref="V67:V98" si="7">IF(ISERROR(IF(R67="","",VLOOKUP(R67,DESCRIPTORS,4,TRUE))),"",IF(R67="","",VLOOKUP(R67,DESCRIPTORS,4,TRUE)))</f>
        <v/>
      </c>
      <c r="W67" s="396"/>
      <c r="X67" s="396"/>
      <c r="Y67" s="397"/>
      <c r="Z67" s="402" t="str">
        <f t="shared" ref="Z67:Z98" si="8">IF(OR($F67="",$J67="",$N67="",$R67=""),"",IF($R67&gt;=75,"PASSED","FAILED"))</f>
        <v/>
      </c>
      <c r="AA67" s="403"/>
      <c r="AB67" s="404"/>
      <c r="AI67" s="138"/>
      <c r="AK67" s="2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</row>
    <row r="68" spans="1:55" ht="18" customHeight="1">
      <c r="A68" s="145" t="str">
        <f>INPUT!B65</f>
        <v>2022-00021</v>
      </c>
      <c r="B68" s="145" t="str">
        <f>INPUT!C65</f>
        <v>Balacuit, Kyle Anjheilee</v>
      </c>
      <c r="C68" s="142"/>
      <c r="D68" s="142"/>
      <c r="E68" s="142"/>
      <c r="F68" s="374">
        <f>TERM1!Y67</f>
        <v>100</v>
      </c>
      <c r="G68" s="263"/>
      <c r="H68" s="263"/>
      <c r="I68" s="264"/>
      <c r="J68" s="374" t="str">
        <f>TERM2!Y67</f>
        <v/>
      </c>
      <c r="K68" s="263"/>
      <c r="L68" s="263"/>
      <c r="M68" s="264"/>
      <c r="N68" s="374" t="str">
        <f>TERM3!Y67</f>
        <v/>
      </c>
      <c r="O68" s="263"/>
      <c r="P68" s="263"/>
      <c r="Q68" s="264"/>
      <c r="R68" s="375" t="str">
        <f t="shared" si="6"/>
        <v/>
      </c>
      <c r="S68" s="268"/>
      <c r="T68" s="268"/>
      <c r="U68" s="269"/>
      <c r="V68" s="374" t="str">
        <f t="shared" si="7"/>
        <v/>
      </c>
      <c r="W68" s="268"/>
      <c r="X68" s="268"/>
      <c r="Y68" s="269"/>
      <c r="Z68" s="376" t="str">
        <f t="shared" si="8"/>
        <v/>
      </c>
      <c r="AA68" s="268"/>
      <c r="AB68" s="377"/>
      <c r="AI68" s="138"/>
      <c r="AK68" s="2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</row>
    <row r="69" spans="1:55" ht="18" customHeight="1">
      <c r="A69" s="145" t="str">
        <f>INPUT!B66</f>
        <v>2022-00022</v>
      </c>
      <c r="B69" s="145" t="str">
        <f>INPUT!C66</f>
        <v>Barcelona, Jannah  Grich</v>
      </c>
      <c r="C69" s="142"/>
      <c r="D69" s="142"/>
      <c r="E69" s="142"/>
      <c r="F69" s="374">
        <f>TERM1!Y68</f>
        <v>100</v>
      </c>
      <c r="G69" s="263"/>
      <c r="H69" s="263"/>
      <c r="I69" s="264"/>
      <c r="J69" s="374" t="str">
        <f>TERM2!Y68</f>
        <v/>
      </c>
      <c r="K69" s="263"/>
      <c r="L69" s="263"/>
      <c r="M69" s="264"/>
      <c r="N69" s="374" t="str">
        <f>TERM3!Y68</f>
        <v/>
      </c>
      <c r="O69" s="263"/>
      <c r="P69" s="263"/>
      <c r="Q69" s="264"/>
      <c r="R69" s="375" t="str">
        <f t="shared" si="6"/>
        <v/>
      </c>
      <c r="S69" s="268"/>
      <c r="T69" s="268"/>
      <c r="U69" s="269"/>
      <c r="V69" s="374" t="str">
        <f t="shared" si="7"/>
        <v/>
      </c>
      <c r="W69" s="268"/>
      <c r="X69" s="268"/>
      <c r="Y69" s="269"/>
      <c r="Z69" s="376" t="str">
        <f t="shared" si="8"/>
        <v/>
      </c>
      <c r="AA69" s="268"/>
      <c r="AB69" s="377"/>
      <c r="AI69" s="138"/>
      <c r="AK69" s="2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</row>
    <row r="70" spans="1:55" ht="18" customHeight="1">
      <c r="A70" s="145" t="str">
        <f>INPUT!B67</f>
        <v>2022-00421</v>
      </c>
      <c r="B70" s="145" t="str">
        <f>INPUT!C67</f>
        <v>Bartonico, Flenzeu</v>
      </c>
      <c r="C70" s="142"/>
      <c r="D70" s="142"/>
      <c r="E70" s="142"/>
      <c r="F70" s="374">
        <f>TERM1!Y69</f>
        <v>100</v>
      </c>
      <c r="G70" s="263"/>
      <c r="H70" s="263"/>
      <c r="I70" s="264"/>
      <c r="J70" s="374" t="str">
        <f>TERM2!Y69</f>
        <v/>
      </c>
      <c r="K70" s="263"/>
      <c r="L70" s="263"/>
      <c r="M70" s="264"/>
      <c r="N70" s="374" t="str">
        <f>TERM3!Y69</f>
        <v/>
      </c>
      <c r="O70" s="263"/>
      <c r="P70" s="263"/>
      <c r="Q70" s="264"/>
      <c r="R70" s="375" t="str">
        <f t="shared" si="6"/>
        <v/>
      </c>
      <c r="S70" s="268"/>
      <c r="T70" s="268"/>
      <c r="U70" s="269"/>
      <c r="V70" s="374" t="str">
        <f t="shared" si="7"/>
        <v/>
      </c>
      <c r="W70" s="268"/>
      <c r="X70" s="268"/>
      <c r="Y70" s="269"/>
      <c r="Z70" s="376" t="str">
        <f t="shared" si="8"/>
        <v/>
      </c>
      <c r="AA70" s="268"/>
      <c r="AB70" s="377"/>
      <c r="AI70" s="138"/>
      <c r="AK70" s="2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</row>
    <row r="71" spans="1:55" ht="18" customHeight="1">
      <c r="A71" s="145" t="str">
        <f>INPUT!B68</f>
        <v>2022-00422</v>
      </c>
      <c r="B71" s="145" t="str">
        <f>INPUT!C68</f>
        <v>Bernaldo, Rutchyl Gem</v>
      </c>
      <c r="C71" s="142"/>
      <c r="D71" s="142"/>
      <c r="E71" s="142"/>
      <c r="F71" s="374">
        <f>TERM1!Y70</f>
        <v>100</v>
      </c>
      <c r="G71" s="263"/>
      <c r="H71" s="263"/>
      <c r="I71" s="264"/>
      <c r="J71" s="374" t="str">
        <f>TERM2!Y70</f>
        <v/>
      </c>
      <c r="K71" s="263"/>
      <c r="L71" s="263"/>
      <c r="M71" s="264"/>
      <c r="N71" s="374" t="str">
        <f>TERM3!Y70</f>
        <v/>
      </c>
      <c r="O71" s="263"/>
      <c r="P71" s="263"/>
      <c r="Q71" s="264"/>
      <c r="R71" s="375" t="str">
        <f t="shared" si="6"/>
        <v/>
      </c>
      <c r="S71" s="268"/>
      <c r="T71" s="268"/>
      <c r="U71" s="269"/>
      <c r="V71" s="374" t="str">
        <f t="shared" si="7"/>
        <v/>
      </c>
      <c r="W71" s="268"/>
      <c r="X71" s="268"/>
      <c r="Y71" s="269"/>
      <c r="Z71" s="376" t="str">
        <f t="shared" si="8"/>
        <v/>
      </c>
      <c r="AA71" s="268"/>
      <c r="AB71" s="377"/>
      <c r="AI71" s="138"/>
      <c r="AK71" s="2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</row>
    <row r="72" spans="1:55" ht="18" customHeight="1">
      <c r="A72" s="145" t="str">
        <f>INPUT!B69</f>
        <v>2022-00023</v>
      </c>
      <c r="B72" s="145" t="str">
        <f>INPUT!C69</f>
        <v>Borja, Wins Daughter</v>
      </c>
      <c r="C72" s="142"/>
      <c r="D72" s="142"/>
      <c r="E72" s="142"/>
      <c r="F72" s="374">
        <f>TERM1!Y71</f>
        <v>100</v>
      </c>
      <c r="G72" s="263"/>
      <c r="H72" s="263"/>
      <c r="I72" s="264"/>
      <c r="J72" s="374" t="str">
        <f>TERM2!Y71</f>
        <v/>
      </c>
      <c r="K72" s="263"/>
      <c r="L72" s="263"/>
      <c r="M72" s="264"/>
      <c r="N72" s="374" t="str">
        <f>TERM3!Y71</f>
        <v/>
      </c>
      <c r="O72" s="263"/>
      <c r="P72" s="263"/>
      <c r="Q72" s="264"/>
      <c r="R72" s="375" t="str">
        <f t="shared" si="6"/>
        <v/>
      </c>
      <c r="S72" s="268"/>
      <c r="T72" s="268"/>
      <c r="U72" s="269"/>
      <c r="V72" s="374" t="str">
        <f t="shared" si="7"/>
        <v/>
      </c>
      <c r="W72" s="268"/>
      <c r="X72" s="268"/>
      <c r="Y72" s="269"/>
      <c r="Z72" s="376" t="str">
        <f t="shared" si="8"/>
        <v/>
      </c>
      <c r="AA72" s="268"/>
      <c r="AB72" s="377"/>
      <c r="AI72" s="138"/>
      <c r="AK72" s="2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</row>
    <row r="73" spans="1:55" ht="18" customHeight="1">
      <c r="A73" s="145" t="str">
        <f>INPUT!B70</f>
        <v>2023-00520</v>
      </c>
      <c r="B73" s="145" t="str">
        <f>INPUT!C70</f>
        <v>CABIGAS, HUETTE EVANNY</v>
      </c>
      <c r="C73" s="142"/>
      <c r="D73" s="142"/>
      <c r="E73" s="142"/>
      <c r="F73" s="374">
        <f>TERM1!Y72</f>
        <v>100</v>
      </c>
      <c r="G73" s="263"/>
      <c r="H73" s="263"/>
      <c r="I73" s="264"/>
      <c r="J73" s="374" t="str">
        <f>TERM2!Y72</f>
        <v/>
      </c>
      <c r="K73" s="263"/>
      <c r="L73" s="263"/>
      <c r="M73" s="264"/>
      <c r="N73" s="374" t="str">
        <f>TERM3!Y72</f>
        <v/>
      </c>
      <c r="O73" s="263"/>
      <c r="P73" s="263"/>
      <c r="Q73" s="264"/>
      <c r="R73" s="375" t="str">
        <f t="shared" si="6"/>
        <v/>
      </c>
      <c r="S73" s="268"/>
      <c r="T73" s="268"/>
      <c r="U73" s="269"/>
      <c r="V73" s="374" t="str">
        <f t="shared" si="7"/>
        <v/>
      </c>
      <c r="W73" s="268"/>
      <c r="X73" s="268"/>
      <c r="Y73" s="269"/>
      <c r="Z73" s="376" t="str">
        <f t="shared" si="8"/>
        <v/>
      </c>
      <c r="AA73" s="268"/>
      <c r="AB73" s="377"/>
      <c r="AI73" s="138"/>
      <c r="AK73" s="2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</row>
    <row r="74" spans="1:55" ht="18" customHeight="1">
      <c r="A74" s="145" t="str">
        <f>INPUT!B71</f>
        <v>2023-00518</v>
      </c>
      <c r="B74" s="145" t="str">
        <f>INPUT!C71</f>
        <v>CAHANAP, ALESSA KRISTINE</v>
      </c>
      <c r="C74" s="142"/>
      <c r="D74" s="142"/>
      <c r="E74" s="142"/>
      <c r="F74" s="374">
        <f>TERM1!Y73</f>
        <v>100</v>
      </c>
      <c r="G74" s="263"/>
      <c r="H74" s="263"/>
      <c r="I74" s="264"/>
      <c r="J74" s="374" t="str">
        <f>TERM2!Y73</f>
        <v/>
      </c>
      <c r="K74" s="263"/>
      <c r="L74" s="263"/>
      <c r="M74" s="264"/>
      <c r="N74" s="374" t="str">
        <f>TERM3!Y73</f>
        <v/>
      </c>
      <c r="O74" s="263"/>
      <c r="P74" s="263"/>
      <c r="Q74" s="264"/>
      <c r="R74" s="375" t="str">
        <f t="shared" si="6"/>
        <v/>
      </c>
      <c r="S74" s="268"/>
      <c r="T74" s="268"/>
      <c r="U74" s="269"/>
      <c r="V74" s="374" t="str">
        <f t="shared" si="7"/>
        <v/>
      </c>
      <c r="W74" s="268"/>
      <c r="X74" s="268"/>
      <c r="Y74" s="269"/>
      <c r="Z74" s="376" t="str">
        <f t="shared" si="8"/>
        <v/>
      </c>
      <c r="AA74" s="268"/>
      <c r="AB74" s="377"/>
      <c r="AI74" s="138"/>
      <c r="AK74" s="2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</row>
    <row r="75" spans="1:55" ht="18" customHeight="1">
      <c r="A75" s="145" t="str">
        <f>INPUT!B72</f>
        <v>2022-00025</v>
      </c>
      <c r="B75" s="145" t="str">
        <f>INPUT!C72</f>
        <v>Catubay, Cyril Jhean</v>
      </c>
      <c r="C75" s="142"/>
      <c r="D75" s="142"/>
      <c r="E75" s="142"/>
      <c r="F75" s="374">
        <f>TERM1!Y74</f>
        <v>100</v>
      </c>
      <c r="G75" s="263"/>
      <c r="H75" s="263"/>
      <c r="I75" s="264"/>
      <c r="J75" s="374" t="str">
        <f>TERM2!Y74</f>
        <v/>
      </c>
      <c r="K75" s="263"/>
      <c r="L75" s="263"/>
      <c r="M75" s="264"/>
      <c r="N75" s="374" t="str">
        <f>TERM3!Y74</f>
        <v/>
      </c>
      <c r="O75" s="263"/>
      <c r="P75" s="263"/>
      <c r="Q75" s="264"/>
      <c r="R75" s="375" t="str">
        <f t="shared" si="6"/>
        <v/>
      </c>
      <c r="S75" s="268"/>
      <c r="T75" s="268"/>
      <c r="U75" s="269"/>
      <c r="V75" s="374" t="str">
        <f t="shared" si="7"/>
        <v/>
      </c>
      <c r="W75" s="268"/>
      <c r="X75" s="268"/>
      <c r="Y75" s="269"/>
      <c r="Z75" s="376" t="str">
        <f t="shared" si="8"/>
        <v/>
      </c>
      <c r="AA75" s="268"/>
      <c r="AB75" s="377"/>
      <c r="AI75" s="138"/>
      <c r="AK75" s="2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</row>
    <row r="76" spans="1:55" ht="18" customHeight="1">
      <c r="A76" s="145" t="str">
        <f>INPUT!B73</f>
        <v>2022-00026</v>
      </c>
      <c r="B76" s="145" t="str">
        <f>INPUT!C73</f>
        <v>Dolotallas, Ashanti Leigh</v>
      </c>
      <c r="C76" s="142"/>
      <c r="D76" s="142"/>
      <c r="E76" s="142"/>
      <c r="F76" s="374">
        <f>TERM1!Y75</f>
        <v>100</v>
      </c>
      <c r="G76" s="263"/>
      <c r="H76" s="263"/>
      <c r="I76" s="264"/>
      <c r="J76" s="374" t="str">
        <f>TERM2!Y75</f>
        <v/>
      </c>
      <c r="K76" s="263"/>
      <c r="L76" s="263"/>
      <c r="M76" s="264"/>
      <c r="N76" s="374" t="str">
        <f>TERM3!Y75</f>
        <v/>
      </c>
      <c r="O76" s="263"/>
      <c r="P76" s="263"/>
      <c r="Q76" s="264"/>
      <c r="R76" s="375" t="str">
        <f t="shared" si="6"/>
        <v/>
      </c>
      <c r="S76" s="268"/>
      <c r="T76" s="268"/>
      <c r="U76" s="269"/>
      <c r="V76" s="374" t="str">
        <f t="shared" si="7"/>
        <v/>
      </c>
      <c r="W76" s="268"/>
      <c r="X76" s="268"/>
      <c r="Y76" s="269"/>
      <c r="Z76" s="376" t="str">
        <f t="shared" si="8"/>
        <v/>
      </c>
      <c r="AA76" s="268"/>
      <c r="AB76" s="377"/>
      <c r="AI76" s="138"/>
      <c r="AK76" s="2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</row>
    <row r="77" spans="1:55" ht="18" customHeight="1">
      <c r="A77" s="145" t="str">
        <f>INPUT!B74</f>
        <v>2022-00027</v>
      </c>
      <c r="B77" s="145" t="str">
        <f>INPUT!C74</f>
        <v>Egay, Charice</v>
      </c>
      <c r="C77" s="142"/>
      <c r="D77" s="142"/>
      <c r="E77" s="142"/>
      <c r="F77" s="374">
        <f>TERM1!Y76</f>
        <v>100</v>
      </c>
      <c r="G77" s="263"/>
      <c r="H77" s="263"/>
      <c r="I77" s="264"/>
      <c r="J77" s="374" t="str">
        <f>TERM2!Y76</f>
        <v/>
      </c>
      <c r="K77" s="263"/>
      <c r="L77" s="263"/>
      <c r="M77" s="264"/>
      <c r="N77" s="374" t="str">
        <f>TERM3!Y76</f>
        <v/>
      </c>
      <c r="O77" s="263"/>
      <c r="P77" s="263"/>
      <c r="Q77" s="264"/>
      <c r="R77" s="375" t="str">
        <f t="shared" si="6"/>
        <v/>
      </c>
      <c r="S77" s="268"/>
      <c r="T77" s="268"/>
      <c r="U77" s="269"/>
      <c r="V77" s="374" t="str">
        <f t="shared" si="7"/>
        <v/>
      </c>
      <c r="W77" s="268"/>
      <c r="X77" s="268"/>
      <c r="Y77" s="269"/>
      <c r="Z77" s="376" t="str">
        <f t="shared" si="8"/>
        <v/>
      </c>
      <c r="AA77" s="268"/>
      <c r="AB77" s="377"/>
      <c r="AI77" s="138"/>
      <c r="AK77" s="2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</row>
    <row r="78" spans="1:55" ht="18" customHeight="1">
      <c r="A78" s="145" t="str">
        <f>INPUT!B75</f>
        <v>2022-00028</v>
      </c>
      <c r="B78" s="145" t="str">
        <f>INPUT!C75</f>
        <v>Ferraren, Abegail Jane</v>
      </c>
      <c r="C78" s="142"/>
      <c r="D78" s="142"/>
      <c r="E78" s="142"/>
      <c r="F78" s="374">
        <f>TERM1!Y77</f>
        <v>100</v>
      </c>
      <c r="G78" s="263"/>
      <c r="H78" s="263"/>
      <c r="I78" s="264"/>
      <c r="J78" s="374" t="str">
        <f>TERM2!Y77</f>
        <v/>
      </c>
      <c r="K78" s="263"/>
      <c r="L78" s="263"/>
      <c r="M78" s="264"/>
      <c r="N78" s="374" t="str">
        <f>TERM3!Y77</f>
        <v/>
      </c>
      <c r="O78" s="263"/>
      <c r="P78" s="263"/>
      <c r="Q78" s="264"/>
      <c r="R78" s="375" t="str">
        <f t="shared" si="6"/>
        <v/>
      </c>
      <c r="S78" s="268"/>
      <c r="T78" s="268"/>
      <c r="U78" s="269"/>
      <c r="V78" s="374" t="str">
        <f t="shared" si="7"/>
        <v/>
      </c>
      <c r="W78" s="268"/>
      <c r="X78" s="268"/>
      <c r="Y78" s="269"/>
      <c r="Z78" s="376" t="str">
        <f t="shared" si="8"/>
        <v/>
      </c>
      <c r="AA78" s="268"/>
      <c r="AB78" s="377"/>
      <c r="AI78" s="138"/>
      <c r="AK78" s="2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</row>
    <row r="79" spans="1:55" ht="18" customHeight="1">
      <c r="A79" s="145" t="str">
        <f>INPUT!B76</f>
        <v>2022-00029</v>
      </c>
      <c r="B79" s="145" t="str">
        <f>INPUT!C76</f>
        <v>Gales, Jillian</v>
      </c>
      <c r="C79" s="142"/>
      <c r="D79" s="142"/>
      <c r="E79" s="142"/>
      <c r="F79" s="374">
        <f>TERM1!Y78</f>
        <v>100</v>
      </c>
      <c r="G79" s="263"/>
      <c r="H79" s="263"/>
      <c r="I79" s="264"/>
      <c r="J79" s="374" t="str">
        <f>TERM2!Y78</f>
        <v/>
      </c>
      <c r="K79" s="263"/>
      <c r="L79" s="263"/>
      <c r="M79" s="264"/>
      <c r="N79" s="374" t="str">
        <f>TERM3!Y78</f>
        <v/>
      </c>
      <c r="O79" s="263"/>
      <c r="P79" s="263"/>
      <c r="Q79" s="264"/>
      <c r="R79" s="375" t="str">
        <f t="shared" si="6"/>
        <v/>
      </c>
      <c r="S79" s="268"/>
      <c r="T79" s="268"/>
      <c r="U79" s="269"/>
      <c r="V79" s="374" t="str">
        <f t="shared" si="7"/>
        <v/>
      </c>
      <c r="W79" s="268"/>
      <c r="X79" s="268"/>
      <c r="Y79" s="269"/>
      <c r="Z79" s="376" t="str">
        <f t="shared" si="8"/>
        <v/>
      </c>
      <c r="AA79" s="268"/>
      <c r="AB79" s="377"/>
      <c r="AI79" s="138"/>
      <c r="AK79" s="2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</row>
    <row r="80" spans="1:55" ht="18" customHeight="1">
      <c r="A80" s="145" t="str">
        <f>INPUT!B77</f>
        <v>2022-00030</v>
      </c>
      <c r="B80" s="145" t="str">
        <f>INPUT!C77</f>
        <v>Logronio, Cherry Pearl</v>
      </c>
      <c r="C80" s="142"/>
      <c r="D80" s="142"/>
      <c r="E80" s="142"/>
      <c r="F80" s="374">
        <f>TERM1!Y79</f>
        <v>100</v>
      </c>
      <c r="G80" s="263"/>
      <c r="H80" s="263"/>
      <c r="I80" s="264"/>
      <c r="J80" s="374" t="str">
        <f>TERM2!Y79</f>
        <v/>
      </c>
      <c r="K80" s="263"/>
      <c r="L80" s="263"/>
      <c r="M80" s="264"/>
      <c r="N80" s="374" t="str">
        <f>TERM3!Y79</f>
        <v/>
      </c>
      <c r="O80" s="263"/>
      <c r="P80" s="263"/>
      <c r="Q80" s="264"/>
      <c r="R80" s="375" t="str">
        <f t="shared" si="6"/>
        <v/>
      </c>
      <c r="S80" s="268"/>
      <c r="T80" s="268"/>
      <c r="U80" s="269"/>
      <c r="V80" s="374" t="str">
        <f t="shared" si="7"/>
        <v/>
      </c>
      <c r="W80" s="268"/>
      <c r="X80" s="268"/>
      <c r="Y80" s="269"/>
      <c r="Z80" s="376" t="str">
        <f t="shared" si="8"/>
        <v/>
      </c>
      <c r="AA80" s="268"/>
      <c r="AB80" s="377"/>
      <c r="AI80" s="138"/>
      <c r="AK80" s="2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</row>
    <row r="81" spans="1:55" ht="18" customHeight="1">
      <c r="A81" s="145" t="str">
        <f>INPUT!B78</f>
        <v>2022-00031</v>
      </c>
      <c r="B81" s="145" t="str">
        <f>INPUT!C78</f>
        <v>Mayo, Hershey Lhe</v>
      </c>
      <c r="C81" s="142"/>
      <c r="D81" s="142"/>
      <c r="E81" s="142"/>
      <c r="F81" s="374">
        <f>TERM1!Y80</f>
        <v>100</v>
      </c>
      <c r="G81" s="263"/>
      <c r="H81" s="263"/>
      <c r="I81" s="264"/>
      <c r="J81" s="374" t="str">
        <f>TERM2!Y80</f>
        <v/>
      </c>
      <c r="K81" s="263"/>
      <c r="L81" s="263"/>
      <c r="M81" s="264"/>
      <c r="N81" s="374" t="str">
        <f>TERM3!Y80</f>
        <v/>
      </c>
      <c r="O81" s="263"/>
      <c r="P81" s="263"/>
      <c r="Q81" s="264"/>
      <c r="R81" s="375" t="str">
        <f t="shared" si="6"/>
        <v/>
      </c>
      <c r="S81" s="268"/>
      <c r="T81" s="268"/>
      <c r="U81" s="269"/>
      <c r="V81" s="374" t="str">
        <f t="shared" si="7"/>
        <v/>
      </c>
      <c r="W81" s="268"/>
      <c r="X81" s="268"/>
      <c r="Y81" s="269"/>
      <c r="Z81" s="376" t="str">
        <f t="shared" si="8"/>
        <v/>
      </c>
      <c r="AA81" s="268"/>
      <c r="AB81" s="377"/>
      <c r="AI81" s="138"/>
      <c r="AK81" s="2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</row>
    <row r="82" spans="1:55" ht="18" customHeight="1">
      <c r="A82" s="145" t="str">
        <f>INPUT!B79</f>
        <v>2023-00591</v>
      </c>
      <c r="B82" s="145" t="str">
        <f>INPUT!C79</f>
        <v>Minguito, Vibriel</v>
      </c>
      <c r="C82" s="142"/>
      <c r="D82" s="142"/>
      <c r="E82" s="142"/>
      <c r="F82" s="374">
        <f>TERM1!Y81</f>
        <v>100</v>
      </c>
      <c r="G82" s="263"/>
      <c r="H82" s="263"/>
      <c r="I82" s="264"/>
      <c r="J82" s="374" t="str">
        <f>TERM2!Y81</f>
        <v/>
      </c>
      <c r="K82" s="263"/>
      <c r="L82" s="263"/>
      <c r="M82" s="264"/>
      <c r="N82" s="374" t="str">
        <f>TERM3!Y81</f>
        <v/>
      </c>
      <c r="O82" s="263"/>
      <c r="P82" s="263"/>
      <c r="Q82" s="264"/>
      <c r="R82" s="375" t="str">
        <f t="shared" si="6"/>
        <v/>
      </c>
      <c r="S82" s="268"/>
      <c r="T82" s="268"/>
      <c r="U82" s="269"/>
      <c r="V82" s="374" t="str">
        <f t="shared" si="7"/>
        <v/>
      </c>
      <c r="W82" s="268"/>
      <c r="X82" s="268"/>
      <c r="Y82" s="269"/>
      <c r="Z82" s="376" t="str">
        <f t="shared" si="8"/>
        <v/>
      </c>
      <c r="AA82" s="268"/>
      <c r="AB82" s="377"/>
      <c r="AI82" s="138"/>
      <c r="AK82" s="2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</row>
    <row r="83" spans="1:55" ht="18" customHeight="1">
      <c r="A83" s="145" t="str">
        <f>INPUT!B80</f>
        <v>2023-00513</v>
      </c>
      <c r="B83" s="145" t="str">
        <f>INPUT!C80</f>
        <v>OCASION, ELISHA MAE</v>
      </c>
      <c r="C83" s="142"/>
      <c r="D83" s="142"/>
      <c r="E83" s="142"/>
      <c r="F83" s="374">
        <f>TERM1!Y82</f>
        <v>100</v>
      </c>
      <c r="G83" s="263"/>
      <c r="H83" s="263"/>
      <c r="I83" s="264"/>
      <c r="J83" s="374" t="str">
        <f>TERM2!Y82</f>
        <v/>
      </c>
      <c r="K83" s="263"/>
      <c r="L83" s="263"/>
      <c r="M83" s="264"/>
      <c r="N83" s="374" t="str">
        <f>TERM3!Y82</f>
        <v/>
      </c>
      <c r="O83" s="263"/>
      <c r="P83" s="263"/>
      <c r="Q83" s="264"/>
      <c r="R83" s="375" t="str">
        <f t="shared" si="6"/>
        <v/>
      </c>
      <c r="S83" s="268"/>
      <c r="T83" s="268"/>
      <c r="U83" s="269"/>
      <c r="V83" s="374" t="str">
        <f t="shared" si="7"/>
        <v/>
      </c>
      <c r="W83" s="268"/>
      <c r="X83" s="268"/>
      <c r="Y83" s="269"/>
      <c r="Z83" s="376" t="str">
        <f t="shared" si="8"/>
        <v/>
      </c>
      <c r="AA83" s="268"/>
      <c r="AB83" s="377"/>
      <c r="AI83" s="138"/>
      <c r="AK83" s="2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</row>
    <row r="84" spans="1:55" ht="18" customHeight="1">
      <c r="A84" s="145" t="str">
        <f>INPUT!B81</f>
        <v>2022-00032</v>
      </c>
      <c r="B84" s="145" t="str">
        <f>INPUT!C81</f>
        <v>Omega, Jabeah Kharla</v>
      </c>
      <c r="C84" s="142"/>
      <c r="D84" s="142"/>
      <c r="E84" s="142"/>
      <c r="F84" s="374">
        <f>TERM1!Y83</f>
        <v>100</v>
      </c>
      <c r="G84" s="263"/>
      <c r="H84" s="263"/>
      <c r="I84" s="264"/>
      <c r="J84" s="374" t="str">
        <f>TERM2!Y83</f>
        <v/>
      </c>
      <c r="K84" s="263"/>
      <c r="L84" s="263"/>
      <c r="M84" s="264"/>
      <c r="N84" s="374" t="str">
        <f>TERM3!Y83</f>
        <v/>
      </c>
      <c r="O84" s="263"/>
      <c r="P84" s="263"/>
      <c r="Q84" s="264"/>
      <c r="R84" s="375" t="str">
        <f t="shared" si="6"/>
        <v/>
      </c>
      <c r="S84" s="268"/>
      <c r="T84" s="268"/>
      <c r="U84" s="269"/>
      <c r="V84" s="374" t="str">
        <f t="shared" si="7"/>
        <v/>
      </c>
      <c r="W84" s="268"/>
      <c r="X84" s="268"/>
      <c r="Y84" s="269"/>
      <c r="Z84" s="376" t="str">
        <f t="shared" si="8"/>
        <v/>
      </c>
      <c r="AA84" s="268"/>
      <c r="AB84" s="377"/>
      <c r="AI84" s="138"/>
      <c r="AK84" s="2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</row>
    <row r="85" spans="1:55" ht="18" customHeight="1">
      <c r="A85" s="145" t="str">
        <f>INPUT!B82</f>
        <v>2022-00077</v>
      </c>
      <c r="B85" s="145" t="str">
        <f>INPUT!C82</f>
        <v>Pacli-an, Quennie Joy</v>
      </c>
      <c r="C85" s="142"/>
      <c r="D85" s="142"/>
      <c r="E85" s="142"/>
      <c r="F85" s="374">
        <f>TERM1!Y84</f>
        <v>100</v>
      </c>
      <c r="G85" s="263"/>
      <c r="H85" s="263"/>
      <c r="I85" s="264"/>
      <c r="J85" s="374" t="str">
        <f>TERM2!Y84</f>
        <v/>
      </c>
      <c r="K85" s="263"/>
      <c r="L85" s="263"/>
      <c r="M85" s="264"/>
      <c r="N85" s="374" t="str">
        <f>TERM3!Y84</f>
        <v/>
      </c>
      <c r="O85" s="263"/>
      <c r="P85" s="263"/>
      <c r="Q85" s="264"/>
      <c r="R85" s="375" t="str">
        <f t="shared" si="6"/>
        <v/>
      </c>
      <c r="S85" s="268"/>
      <c r="T85" s="268"/>
      <c r="U85" s="269"/>
      <c r="V85" s="374" t="str">
        <f t="shared" si="7"/>
        <v/>
      </c>
      <c r="W85" s="268"/>
      <c r="X85" s="268"/>
      <c r="Y85" s="269"/>
      <c r="Z85" s="376" t="str">
        <f t="shared" si="8"/>
        <v/>
      </c>
      <c r="AA85" s="268"/>
      <c r="AB85" s="377"/>
      <c r="AI85" s="138"/>
      <c r="AK85" s="2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</row>
    <row r="86" spans="1:55" ht="18" customHeight="1">
      <c r="A86" s="145" t="str">
        <f>INPUT!B83</f>
        <v>2022-00033</v>
      </c>
      <c r="B86" s="145" t="str">
        <f>INPUT!C83</f>
        <v>Pasco, Raechelle Vyene</v>
      </c>
      <c r="C86" s="142"/>
      <c r="D86" s="142"/>
      <c r="E86" s="142"/>
      <c r="F86" s="374">
        <f>TERM1!Y85</f>
        <v>100</v>
      </c>
      <c r="G86" s="263"/>
      <c r="H86" s="263"/>
      <c r="I86" s="264"/>
      <c r="J86" s="374" t="str">
        <f>TERM2!Y85</f>
        <v/>
      </c>
      <c r="K86" s="263"/>
      <c r="L86" s="263"/>
      <c r="M86" s="264"/>
      <c r="N86" s="374" t="str">
        <f>TERM3!Y85</f>
        <v/>
      </c>
      <c r="O86" s="263"/>
      <c r="P86" s="263"/>
      <c r="Q86" s="264"/>
      <c r="R86" s="375" t="str">
        <f t="shared" si="6"/>
        <v/>
      </c>
      <c r="S86" s="268"/>
      <c r="T86" s="268"/>
      <c r="U86" s="269"/>
      <c r="V86" s="374" t="str">
        <f t="shared" si="7"/>
        <v/>
      </c>
      <c r="W86" s="268"/>
      <c r="X86" s="268"/>
      <c r="Y86" s="269"/>
      <c r="Z86" s="376" t="str">
        <f t="shared" si="8"/>
        <v/>
      </c>
      <c r="AA86" s="268"/>
      <c r="AB86" s="377"/>
      <c r="AI86" s="138"/>
      <c r="AK86" s="2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</row>
    <row r="87" spans="1:55" ht="18" customHeight="1">
      <c r="A87" s="145" t="str">
        <f>INPUT!B84</f>
        <v>2022-00036</v>
      </c>
      <c r="B87" s="145" t="str">
        <f>INPUT!C84</f>
        <v>Sagadsad, Daphney</v>
      </c>
      <c r="C87" s="142"/>
      <c r="D87" s="142"/>
      <c r="E87" s="142"/>
      <c r="F87" s="374">
        <f>TERM1!Y86</f>
        <v>100</v>
      </c>
      <c r="G87" s="263"/>
      <c r="H87" s="263"/>
      <c r="I87" s="264"/>
      <c r="J87" s="374" t="str">
        <f>TERM2!Y86</f>
        <v/>
      </c>
      <c r="K87" s="263"/>
      <c r="L87" s="263"/>
      <c r="M87" s="264"/>
      <c r="N87" s="374" t="str">
        <f>TERM3!Y86</f>
        <v/>
      </c>
      <c r="O87" s="263"/>
      <c r="P87" s="263"/>
      <c r="Q87" s="264"/>
      <c r="R87" s="375" t="str">
        <f t="shared" si="6"/>
        <v/>
      </c>
      <c r="S87" s="268"/>
      <c r="T87" s="268"/>
      <c r="U87" s="269"/>
      <c r="V87" s="374" t="str">
        <f t="shared" si="7"/>
        <v/>
      </c>
      <c r="W87" s="268"/>
      <c r="X87" s="268"/>
      <c r="Y87" s="269"/>
      <c r="Z87" s="376" t="str">
        <f t="shared" si="8"/>
        <v/>
      </c>
      <c r="AA87" s="268"/>
      <c r="AB87" s="377"/>
      <c r="AI87" s="138"/>
      <c r="AK87" s="2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</row>
    <row r="88" spans="1:55" ht="18" customHeight="1">
      <c r="A88" s="145" t="str">
        <f>INPUT!B85</f>
        <v>2022-00037</v>
      </c>
      <c r="B88" s="145" t="str">
        <f>INPUT!C85</f>
        <v>Sendrijas, Zeleen</v>
      </c>
      <c r="C88" s="142"/>
      <c r="D88" s="142"/>
      <c r="E88" s="142"/>
      <c r="F88" s="374">
        <f>TERM1!Y87</f>
        <v>100</v>
      </c>
      <c r="G88" s="263"/>
      <c r="H88" s="263"/>
      <c r="I88" s="264"/>
      <c r="J88" s="374" t="str">
        <f>TERM2!Y87</f>
        <v/>
      </c>
      <c r="K88" s="263"/>
      <c r="L88" s="263"/>
      <c r="M88" s="264"/>
      <c r="N88" s="374" t="str">
        <f>TERM3!Y87</f>
        <v/>
      </c>
      <c r="O88" s="263"/>
      <c r="P88" s="263"/>
      <c r="Q88" s="264"/>
      <c r="R88" s="375" t="str">
        <f t="shared" si="6"/>
        <v/>
      </c>
      <c r="S88" s="268"/>
      <c r="T88" s="268"/>
      <c r="U88" s="269"/>
      <c r="V88" s="374" t="str">
        <f t="shared" si="7"/>
        <v/>
      </c>
      <c r="W88" s="268"/>
      <c r="X88" s="268"/>
      <c r="Y88" s="269"/>
      <c r="Z88" s="376" t="str">
        <f t="shared" si="8"/>
        <v/>
      </c>
      <c r="AA88" s="268"/>
      <c r="AB88" s="377"/>
      <c r="AI88" s="138"/>
      <c r="AK88" s="2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</row>
    <row r="89" spans="1:55" ht="18" customHeight="1">
      <c r="A89" s="145" t="str">
        <f>INPUT!B86</f>
        <v>2023-00429</v>
      </c>
      <c r="B89" s="145" t="str">
        <f>INPUT!C86</f>
        <v>Tero, Samantha Nichole</v>
      </c>
      <c r="C89" s="142"/>
      <c r="D89" s="142"/>
      <c r="E89" s="142"/>
      <c r="F89" s="374">
        <f>TERM1!Y88</f>
        <v>100</v>
      </c>
      <c r="G89" s="263"/>
      <c r="H89" s="263"/>
      <c r="I89" s="264"/>
      <c r="J89" s="374" t="str">
        <f>TERM2!Y88</f>
        <v/>
      </c>
      <c r="K89" s="263"/>
      <c r="L89" s="263"/>
      <c r="M89" s="264"/>
      <c r="N89" s="374" t="str">
        <f>TERM3!Y88</f>
        <v/>
      </c>
      <c r="O89" s="263"/>
      <c r="P89" s="263"/>
      <c r="Q89" s="264"/>
      <c r="R89" s="375" t="str">
        <f t="shared" si="6"/>
        <v/>
      </c>
      <c r="S89" s="268"/>
      <c r="T89" s="268"/>
      <c r="U89" s="269"/>
      <c r="V89" s="374" t="str">
        <f t="shared" si="7"/>
        <v/>
      </c>
      <c r="W89" s="268"/>
      <c r="X89" s="268"/>
      <c r="Y89" s="269"/>
      <c r="Z89" s="376" t="str">
        <f t="shared" si="8"/>
        <v/>
      </c>
      <c r="AA89" s="268"/>
      <c r="AB89" s="377"/>
      <c r="AI89" s="138"/>
      <c r="AK89" s="2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</row>
    <row r="90" spans="1:55" ht="18" customHeight="1">
      <c r="A90" s="145" t="str">
        <f>INPUT!B87</f>
        <v>2022-00039</v>
      </c>
      <c r="B90" s="145" t="str">
        <f>INPUT!C87</f>
        <v>Toledo, Sarah Mae</v>
      </c>
      <c r="C90" s="142"/>
      <c r="D90" s="142"/>
      <c r="E90" s="142"/>
      <c r="F90" s="374">
        <f>TERM1!Y89</f>
        <v>100</v>
      </c>
      <c r="G90" s="263"/>
      <c r="H90" s="263"/>
      <c r="I90" s="264"/>
      <c r="J90" s="374" t="str">
        <f>TERM2!Y89</f>
        <v/>
      </c>
      <c r="K90" s="263"/>
      <c r="L90" s="263"/>
      <c r="M90" s="264"/>
      <c r="N90" s="374" t="str">
        <f>TERM3!Y89</f>
        <v/>
      </c>
      <c r="O90" s="263"/>
      <c r="P90" s="263"/>
      <c r="Q90" s="264"/>
      <c r="R90" s="375" t="str">
        <f t="shared" si="6"/>
        <v/>
      </c>
      <c r="S90" s="268"/>
      <c r="T90" s="268"/>
      <c r="U90" s="269"/>
      <c r="V90" s="374" t="str">
        <f t="shared" si="7"/>
        <v/>
      </c>
      <c r="W90" s="268"/>
      <c r="X90" s="268"/>
      <c r="Y90" s="269"/>
      <c r="Z90" s="376" t="str">
        <f t="shared" si="8"/>
        <v/>
      </c>
      <c r="AA90" s="268"/>
      <c r="AB90" s="377"/>
      <c r="AI90" s="138"/>
      <c r="AK90" s="2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</row>
    <row r="91" spans="1:55" ht="18" customHeight="1">
      <c r="A91" s="145" t="str">
        <f>INPUT!B88</f>
        <v>2022-00040</v>
      </c>
      <c r="B91" s="145" t="str">
        <f>INPUT!C88</f>
        <v>Urdaneta, Khloue Aysel</v>
      </c>
      <c r="C91" s="142"/>
      <c r="D91" s="142"/>
      <c r="E91" s="142"/>
      <c r="F91" s="374">
        <f>TERM1!Y90</f>
        <v>100</v>
      </c>
      <c r="G91" s="263"/>
      <c r="H91" s="263"/>
      <c r="I91" s="264"/>
      <c r="J91" s="374" t="str">
        <f>TERM2!Y90</f>
        <v/>
      </c>
      <c r="K91" s="263"/>
      <c r="L91" s="263"/>
      <c r="M91" s="264"/>
      <c r="N91" s="374" t="str">
        <f>TERM3!Y90</f>
        <v/>
      </c>
      <c r="O91" s="263"/>
      <c r="P91" s="263"/>
      <c r="Q91" s="264"/>
      <c r="R91" s="375" t="str">
        <f t="shared" si="6"/>
        <v/>
      </c>
      <c r="S91" s="268"/>
      <c r="T91" s="268"/>
      <c r="U91" s="269"/>
      <c r="V91" s="374" t="str">
        <f t="shared" si="7"/>
        <v/>
      </c>
      <c r="W91" s="268"/>
      <c r="X91" s="268"/>
      <c r="Y91" s="269"/>
      <c r="Z91" s="376" t="str">
        <f t="shared" si="8"/>
        <v/>
      </c>
      <c r="AA91" s="268"/>
      <c r="AB91" s="377"/>
      <c r="AI91" s="138"/>
      <c r="AK91" s="2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</row>
    <row r="92" spans="1:55" ht="18" customHeight="1">
      <c r="A92" s="145" t="str">
        <f>INPUT!B89</f>
        <v>2022-00042</v>
      </c>
      <c r="B92" s="145" t="str">
        <f>INPUT!C89</f>
        <v>Villacencio, Kharla</v>
      </c>
      <c r="C92" s="142"/>
      <c r="D92" s="142"/>
      <c r="E92" s="142"/>
      <c r="F92" s="374">
        <f>TERM1!Y91</f>
        <v>100</v>
      </c>
      <c r="G92" s="263"/>
      <c r="H92" s="263"/>
      <c r="I92" s="264"/>
      <c r="J92" s="374" t="str">
        <f>TERM2!Y91</f>
        <v/>
      </c>
      <c r="K92" s="263"/>
      <c r="L92" s="263"/>
      <c r="M92" s="264"/>
      <c r="N92" s="374" t="str">
        <f>TERM3!Y91</f>
        <v/>
      </c>
      <c r="O92" s="263"/>
      <c r="P92" s="263"/>
      <c r="Q92" s="264"/>
      <c r="R92" s="375" t="str">
        <f t="shared" si="6"/>
        <v/>
      </c>
      <c r="S92" s="268"/>
      <c r="T92" s="268"/>
      <c r="U92" s="269"/>
      <c r="V92" s="374" t="str">
        <f t="shared" si="7"/>
        <v/>
      </c>
      <c r="W92" s="268"/>
      <c r="X92" s="268"/>
      <c r="Y92" s="269"/>
      <c r="Z92" s="376" t="str">
        <f t="shared" si="8"/>
        <v/>
      </c>
      <c r="AA92" s="268"/>
      <c r="AB92" s="377"/>
      <c r="AI92" s="138"/>
      <c r="AK92" s="2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</row>
    <row r="93" spans="1:55" ht="18" customHeight="1">
      <c r="A93" s="145">
        <f>INPUT!B90</f>
        <v>0</v>
      </c>
      <c r="B93" s="145">
        <f>INPUT!C90</f>
        <v>0</v>
      </c>
      <c r="C93" s="142"/>
      <c r="D93" s="142"/>
      <c r="E93" s="142"/>
      <c r="F93" s="374" t="str">
        <f>TERM1!Y92</f>
        <v/>
      </c>
      <c r="G93" s="263"/>
      <c r="H93" s="263"/>
      <c r="I93" s="264"/>
      <c r="J93" s="374" t="str">
        <f>TERM2!Y92</f>
        <v/>
      </c>
      <c r="K93" s="263"/>
      <c r="L93" s="263"/>
      <c r="M93" s="264"/>
      <c r="N93" s="374" t="str">
        <f>TERM3!Y92</f>
        <v/>
      </c>
      <c r="O93" s="263"/>
      <c r="P93" s="263"/>
      <c r="Q93" s="264"/>
      <c r="R93" s="375" t="str">
        <f t="shared" si="6"/>
        <v/>
      </c>
      <c r="S93" s="268"/>
      <c r="T93" s="268"/>
      <c r="U93" s="269"/>
      <c r="V93" s="374" t="str">
        <f t="shared" si="7"/>
        <v/>
      </c>
      <c r="W93" s="268"/>
      <c r="X93" s="268"/>
      <c r="Y93" s="269"/>
      <c r="Z93" s="376" t="str">
        <f t="shared" si="8"/>
        <v/>
      </c>
      <c r="AA93" s="268"/>
      <c r="AB93" s="377"/>
      <c r="AI93" s="138"/>
      <c r="AK93" s="2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</row>
    <row r="94" spans="1:55" ht="18" customHeight="1">
      <c r="A94" s="145">
        <f>INPUT!B91</f>
        <v>0</v>
      </c>
      <c r="B94" s="145">
        <f>INPUT!C91</f>
        <v>0</v>
      </c>
      <c r="C94" s="142"/>
      <c r="D94" s="142"/>
      <c r="E94" s="142"/>
      <c r="F94" s="374" t="str">
        <f>TERM1!Y93</f>
        <v/>
      </c>
      <c r="G94" s="263"/>
      <c r="H94" s="263"/>
      <c r="I94" s="264"/>
      <c r="J94" s="374" t="str">
        <f>TERM2!Y93</f>
        <v/>
      </c>
      <c r="K94" s="263"/>
      <c r="L94" s="263"/>
      <c r="M94" s="264"/>
      <c r="N94" s="374" t="str">
        <f>TERM3!Y93</f>
        <v/>
      </c>
      <c r="O94" s="263"/>
      <c r="P94" s="263"/>
      <c r="Q94" s="264"/>
      <c r="R94" s="375" t="str">
        <f t="shared" si="6"/>
        <v/>
      </c>
      <c r="S94" s="268"/>
      <c r="T94" s="268"/>
      <c r="U94" s="269"/>
      <c r="V94" s="374" t="str">
        <f t="shared" si="7"/>
        <v/>
      </c>
      <c r="W94" s="268"/>
      <c r="X94" s="268"/>
      <c r="Y94" s="269"/>
      <c r="Z94" s="376" t="str">
        <f t="shared" si="8"/>
        <v/>
      </c>
      <c r="AA94" s="268"/>
      <c r="AB94" s="377"/>
      <c r="AI94" s="138"/>
      <c r="AK94" s="2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</row>
    <row r="95" spans="1:55" ht="18" customHeight="1">
      <c r="A95" s="145">
        <f>INPUT!B92</f>
        <v>0</v>
      </c>
      <c r="B95" s="145">
        <f>INPUT!C92</f>
        <v>0</v>
      </c>
      <c r="C95" s="142"/>
      <c r="D95" s="142"/>
      <c r="E95" s="142"/>
      <c r="F95" s="374" t="str">
        <f>TERM1!Y94</f>
        <v/>
      </c>
      <c r="G95" s="263"/>
      <c r="H95" s="263"/>
      <c r="I95" s="264"/>
      <c r="J95" s="374" t="str">
        <f>TERM2!Y94</f>
        <v/>
      </c>
      <c r="K95" s="263"/>
      <c r="L95" s="263"/>
      <c r="M95" s="264"/>
      <c r="N95" s="374" t="str">
        <f>TERM3!Y94</f>
        <v/>
      </c>
      <c r="O95" s="263"/>
      <c r="P95" s="263"/>
      <c r="Q95" s="264"/>
      <c r="R95" s="375" t="str">
        <f t="shared" si="6"/>
        <v/>
      </c>
      <c r="S95" s="268"/>
      <c r="T95" s="268"/>
      <c r="U95" s="269"/>
      <c r="V95" s="374" t="str">
        <f t="shared" si="7"/>
        <v/>
      </c>
      <c r="W95" s="268"/>
      <c r="X95" s="268"/>
      <c r="Y95" s="269"/>
      <c r="Z95" s="376" t="str">
        <f t="shared" si="8"/>
        <v/>
      </c>
      <c r="AA95" s="268"/>
      <c r="AB95" s="377"/>
      <c r="AI95" s="138"/>
      <c r="AK95" s="2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</row>
    <row r="96" spans="1:55" ht="18" customHeight="1">
      <c r="A96" s="145">
        <f>INPUT!B93</f>
        <v>0</v>
      </c>
      <c r="B96" s="145">
        <f>INPUT!C93</f>
        <v>0</v>
      </c>
      <c r="C96" s="142"/>
      <c r="D96" s="142"/>
      <c r="E96" s="142"/>
      <c r="F96" s="374" t="str">
        <f>TERM1!Y95</f>
        <v/>
      </c>
      <c r="G96" s="263"/>
      <c r="H96" s="263"/>
      <c r="I96" s="264"/>
      <c r="J96" s="374" t="str">
        <f>TERM2!Y95</f>
        <v/>
      </c>
      <c r="K96" s="263"/>
      <c r="L96" s="263"/>
      <c r="M96" s="264"/>
      <c r="N96" s="374" t="str">
        <f>TERM3!Y95</f>
        <v/>
      </c>
      <c r="O96" s="263"/>
      <c r="P96" s="263"/>
      <c r="Q96" s="264"/>
      <c r="R96" s="375" t="str">
        <f t="shared" si="6"/>
        <v/>
      </c>
      <c r="S96" s="268"/>
      <c r="T96" s="268"/>
      <c r="U96" s="269"/>
      <c r="V96" s="374" t="str">
        <f t="shared" si="7"/>
        <v/>
      </c>
      <c r="W96" s="268"/>
      <c r="X96" s="268"/>
      <c r="Y96" s="269"/>
      <c r="Z96" s="376" t="str">
        <f t="shared" si="8"/>
        <v/>
      </c>
      <c r="AA96" s="268"/>
      <c r="AB96" s="377"/>
      <c r="AI96" s="138"/>
      <c r="AK96" s="2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</row>
    <row r="97" spans="1:55" ht="18" customHeight="1">
      <c r="A97" s="145">
        <f>INPUT!B94</f>
        <v>0</v>
      </c>
      <c r="B97" s="145">
        <f>INPUT!C94</f>
        <v>0</v>
      </c>
      <c r="C97" s="142"/>
      <c r="D97" s="142"/>
      <c r="E97" s="142"/>
      <c r="F97" s="374" t="str">
        <f>TERM1!Y96</f>
        <v/>
      </c>
      <c r="G97" s="263"/>
      <c r="H97" s="263"/>
      <c r="I97" s="264"/>
      <c r="J97" s="374" t="str">
        <f>TERM2!Y96</f>
        <v/>
      </c>
      <c r="K97" s="263"/>
      <c r="L97" s="263"/>
      <c r="M97" s="264"/>
      <c r="N97" s="374" t="str">
        <f>TERM3!Y96</f>
        <v/>
      </c>
      <c r="O97" s="263"/>
      <c r="P97" s="263"/>
      <c r="Q97" s="264"/>
      <c r="R97" s="375" t="str">
        <f t="shared" si="6"/>
        <v/>
      </c>
      <c r="S97" s="268"/>
      <c r="T97" s="268"/>
      <c r="U97" s="269"/>
      <c r="V97" s="374" t="str">
        <f t="shared" si="7"/>
        <v/>
      </c>
      <c r="W97" s="268"/>
      <c r="X97" s="268"/>
      <c r="Y97" s="269"/>
      <c r="Z97" s="376" t="str">
        <f t="shared" si="8"/>
        <v/>
      </c>
      <c r="AA97" s="268"/>
      <c r="AB97" s="377"/>
      <c r="AI97" s="138"/>
      <c r="AK97" s="2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</row>
    <row r="98" spans="1:55" ht="18" customHeight="1">
      <c r="A98" s="145">
        <f>INPUT!B95</f>
        <v>0</v>
      </c>
      <c r="B98" s="145">
        <f>INPUT!C95</f>
        <v>0</v>
      </c>
      <c r="C98" s="142"/>
      <c r="D98" s="142"/>
      <c r="E98" s="142"/>
      <c r="F98" s="374" t="str">
        <f>TERM1!Y97</f>
        <v/>
      </c>
      <c r="G98" s="263"/>
      <c r="H98" s="263"/>
      <c r="I98" s="264"/>
      <c r="J98" s="374" t="str">
        <f>TERM2!Y97</f>
        <v/>
      </c>
      <c r="K98" s="263"/>
      <c r="L98" s="263"/>
      <c r="M98" s="264"/>
      <c r="N98" s="374" t="str">
        <f>TERM3!Y97</f>
        <v/>
      </c>
      <c r="O98" s="263"/>
      <c r="P98" s="263"/>
      <c r="Q98" s="264"/>
      <c r="R98" s="375" t="str">
        <f t="shared" si="6"/>
        <v/>
      </c>
      <c r="S98" s="268"/>
      <c r="T98" s="268"/>
      <c r="U98" s="269"/>
      <c r="V98" s="374" t="str">
        <f t="shared" si="7"/>
        <v/>
      </c>
      <c r="W98" s="268"/>
      <c r="X98" s="268"/>
      <c r="Y98" s="269"/>
      <c r="Z98" s="376" t="str">
        <f t="shared" si="8"/>
        <v/>
      </c>
      <c r="AA98" s="268"/>
      <c r="AB98" s="377"/>
      <c r="AI98" s="138"/>
      <c r="AK98" s="2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</row>
    <row r="99" spans="1:55" ht="18" customHeight="1">
      <c r="A99" s="145">
        <f>INPUT!B96</f>
        <v>0</v>
      </c>
      <c r="B99" s="145">
        <f>INPUT!C96</f>
        <v>0</v>
      </c>
      <c r="C99" s="142"/>
      <c r="D99" s="142"/>
      <c r="E99" s="142"/>
      <c r="F99" s="374" t="str">
        <f>TERM1!Y98</f>
        <v/>
      </c>
      <c r="G99" s="263"/>
      <c r="H99" s="263"/>
      <c r="I99" s="264"/>
      <c r="J99" s="374" t="str">
        <f>TERM2!Y98</f>
        <v/>
      </c>
      <c r="K99" s="263"/>
      <c r="L99" s="263"/>
      <c r="M99" s="264"/>
      <c r="N99" s="374" t="str">
        <f>TERM3!Y98</f>
        <v/>
      </c>
      <c r="O99" s="263"/>
      <c r="P99" s="263"/>
      <c r="Q99" s="264"/>
      <c r="R99" s="375" t="str">
        <f t="shared" ref="R99:R116" si="9">IF(OR(F99="",J99="",N99=""),"",IF(ISERROR(ROUND(AVERAGE(F99,J99,N99),0)),"",ROUND(AVERAGE(F99,J99,N99),0)))</f>
        <v/>
      </c>
      <c r="S99" s="268"/>
      <c r="T99" s="268"/>
      <c r="U99" s="269"/>
      <c r="V99" s="374" t="str">
        <f t="shared" ref="V99:V116" si="10">IF(ISERROR(IF(R99="","",VLOOKUP(R99,DESCRIPTORS,4,TRUE))),"",IF(R99="","",VLOOKUP(R99,DESCRIPTORS,4,TRUE)))</f>
        <v/>
      </c>
      <c r="W99" s="268"/>
      <c r="X99" s="268"/>
      <c r="Y99" s="269"/>
      <c r="Z99" s="376" t="str">
        <f t="shared" ref="Z99:Z116" si="11">IF(OR($F99="",$J99="",$N99="",$R99=""),"",IF($R99&gt;=75,"PASSED","FAILED"))</f>
        <v/>
      </c>
      <c r="AA99" s="268"/>
      <c r="AB99" s="377"/>
      <c r="AI99" s="138"/>
      <c r="AK99" s="2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</row>
    <row r="100" spans="1:55" ht="18" customHeight="1">
      <c r="A100" s="145">
        <f>INPUT!B97</f>
        <v>0</v>
      </c>
      <c r="B100" s="145">
        <f>INPUT!C97</f>
        <v>0</v>
      </c>
      <c r="C100" s="142"/>
      <c r="D100" s="142"/>
      <c r="E100" s="142"/>
      <c r="F100" s="374" t="str">
        <f>TERM1!Y99</f>
        <v/>
      </c>
      <c r="G100" s="263"/>
      <c r="H100" s="263"/>
      <c r="I100" s="264"/>
      <c r="J100" s="374" t="str">
        <f>TERM2!Y99</f>
        <v/>
      </c>
      <c r="K100" s="263"/>
      <c r="L100" s="263"/>
      <c r="M100" s="264"/>
      <c r="N100" s="374" t="str">
        <f>TERM3!Y99</f>
        <v/>
      </c>
      <c r="O100" s="263"/>
      <c r="P100" s="263"/>
      <c r="Q100" s="264"/>
      <c r="R100" s="375" t="str">
        <f t="shared" si="9"/>
        <v/>
      </c>
      <c r="S100" s="268"/>
      <c r="T100" s="268"/>
      <c r="U100" s="269"/>
      <c r="V100" s="374" t="str">
        <f t="shared" si="10"/>
        <v/>
      </c>
      <c r="W100" s="268"/>
      <c r="X100" s="268"/>
      <c r="Y100" s="269"/>
      <c r="Z100" s="376" t="str">
        <f t="shared" si="11"/>
        <v/>
      </c>
      <c r="AA100" s="268"/>
      <c r="AB100" s="377"/>
      <c r="AI100" s="138"/>
      <c r="AK100" s="2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</row>
    <row r="101" spans="1:55" ht="18" customHeight="1">
      <c r="A101" s="145">
        <f>INPUT!B98</f>
        <v>0</v>
      </c>
      <c r="B101" s="145">
        <f>INPUT!C98</f>
        <v>0</v>
      </c>
      <c r="C101" s="142"/>
      <c r="D101" s="142"/>
      <c r="E101" s="142"/>
      <c r="F101" s="374" t="str">
        <f>TERM1!Y100</f>
        <v/>
      </c>
      <c r="G101" s="263"/>
      <c r="H101" s="263"/>
      <c r="I101" s="264"/>
      <c r="J101" s="374" t="str">
        <f>TERM2!Y100</f>
        <v/>
      </c>
      <c r="K101" s="263"/>
      <c r="L101" s="263"/>
      <c r="M101" s="264"/>
      <c r="N101" s="374" t="str">
        <f>TERM3!Y100</f>
        <v/>
      </c>
      <c r="O101" s="263"/>
      <c r="P101" s="263"/>
      <c r="Q101" s="264"/>
      <c r="R101" s="375" t="str">
        <f t="shared" si="9"/>
        <v/>
      </c>
      <c r="S101" s="268"/>
      <c r="T101" s="268"/>
      <c r="U101" s="269"/>
      <c r="V101" s="374" t="str">
        <f t="shared" si="10"/>
        <v/>
      </c>
      <c r="W101" s="268"/>
      <c r="X101" s="268"/>
      <c r="Y101" s="269"/>
      <c r="Z101" s="376" t="str">
        <f t="shared" si="11"/>
        <v/>
      </c>
      <c r="AA101" s="268"/>
      <c r="AB101" s="377"/>
      <c r="AI101" s="138"/>
      <c r="AK101" s="2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</row>
    <row r="102" spans="1:55" ht="18" customHeight="1">
      <c r="A102" s="145">
        <f>INPUT!B99</f>
        <v>0</v>
      </c>
      <c r="B102" s="145">
        <f>INPUT!C99</f>
        <v>0</v>
      </c>
      <c r="C102" s="142"/>
      <c r="D102" s="142"/>
      <c r="E102" s="142"/>
      <c r="F102" s="374" t="str">
        <f>TERM1!Y101</f>
        <v/>
      </c>
      <c r="G102" s="263"/>
      <c r="H102" s="263"/>
      <c r="I102" s="264"/>
      <c r="J102" s="374" t="str">
        <f>TERM2!Y101</f>
        <v/>
      </c>
      <c r="K102" s="263"/>
      <c r="L102" s="263"/>
      <c r="M102" s="264"/>
      <c r="N102" s="374" t="str">
        <f>TERM3!Y101</f>
        <v/>
      </c>
      <c r="O102" s="263"/>
      <c r="P102" s="263"/>
      <c r="Q102" s="264"/>
      <c r="R102" s="375" t="str">
        <f t="shared" si="9"/>
        <v/>
      </c>
      <c r="S102" s="268"/>
      <c r="T102" s="268"/>
      <c r="U102" s="269"/>
      <c r="V102" s="374" t="str">
        <f t="shared" si="10"/>
        <v/>
      </c>
      <c r="W102" s="268"/>
      <c r="X102" s="268"/>
      <c r="Y102" s="269"/>
      <c r="Z102" s="376" t="str">
        <f t="shared" si="11"/>
        <v/>
      </c>
      <c r="AA102" s="268"/>
      <c r="AB102" s="377"/>
      <c r="AI102" s="138"/>
      <c r="AK102" s="2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</row>
    <row r="103" spans="1:55" ht="18" customHeight="1">
      <c r="A103" s="145">
        <f>INPUT!B100</f>
        <v>0</v>
      </c>
      <c r="B103" s="145">
        <f>INPUT!C100</f>
        <v>0</v>
      </c>
      <c r="C103" s="142"/>
      <c r="D103" s="142"/>
      <c r="E103" s="142"/>
      <c r="F103" s="374" t="str">
        <f>TERM1!Y102</f>
        <v/>
      </c>
      <c r="G103" s="263"/>
      <c r="H103" s="263"/>
      <c r="I103" s="264"/>
      <c r="J103" s="374" t="str">
        <f>TERM2!Y102</f>
        <v/>
      </c>
      <c r="K103" s="263"/>
      <c r="L103" s="263"/>
      <c r="M103" s="264"/>
      <c r="N103" s="374" t="str">
        <f>TERM3!Y102</f>
        <v/>
      </c>
      <c r="O103" s="263"/>
      <c r="P103" s="263"/>
      <c r="Q103" s="264"/>
      <c r="R103" s="375" t="str">
        <f t="shared" si="9"/>
        <v/>
      </c>
      <c r="S103" s="268"/>
      <c r="T103" s="268"/>
      <c r="U103" s="269"/>
      <c r="V103" s="374" t="str">
        <f t="shared" si="10"/>
        <v/>
      </c>
      <c r="W103" s="268"/>
      <c r="X103" s="268"/>
      <c r="Y103" s="269"/>
      <c r="Z103" s="376" t="str">
        <f t="shared" si="11"/>
        <v/>
      </c>
      <c r="AA103" s="268"/>
      <c r="AB103" s="377"/>
      <c r="AI103" s="138"/>
      <c r="AK103" s="2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</row>
    <row r="104" spans="1:55" ht="18" customHeight="1">
      <c r="A104" s="145">
        <f>INPUT!B101</f>
        <v>0</v>
      </c>
      <c r="B104" s="145">
        <f>INPUT!C101</f>
        <v>0</v>
      </c>
      <c r="C104" s="142"/>
      <c r="D104" s="142"/>
      <c r="E104" s="142"/>
      <c r="F104" s="374" t="str">
        <f>TERM1!Y103</f>
        <v/>
      </c>
      <c r="G104" s="263"/>
      <c r="H104" s="263"/>
      <c r="I104" s="264"/>
      <c r="J104" s="374" t="str">
        <f>TERM2!Y103</f>
        <v/>
      </c>
      <c r="K104" s="263"/>
      <c r="L104" s="263"/>
      <c r="M104" s="264"/>
      <c r="N104" s="374" t="str">
        <f>TERM3!Y103</f>
        <v/>
      </c>
      <c r="O104" s="263"/>
      <c r="P104" s="263"/>
      <c r="Q104" s="264"/>
      <c r="R104" s="375" t="str">
        <f t="shared" si="9"/>
        <v/>
      </c>
      <c r="S104" s="268"/>
      <c r="T104" s="268"/>
      <c r="U104" s="269"/>
      <c r="V104" s="374" t="str">
        <f t="shared" si="10"/>
        <v/>
      </c>
      <c r="W104" s="268"/>
      <c r="X104" s="268"/>
      <c r="Y104" s="269"/>
      <c r="Z104" s="376" t="str">
        <f t="shared" si="11"/>
        <v/>
      </c>
      <c r="AA104" s="268"/>
      <c r="AB104" s="377"/>
      <c r="AI104" s="138"/>
      <c r="AK104" s="2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</row>
    <row r="105" spans="1:55" ht="18" customHeight="1">
      <c r="A105" s="145">
        <f>INPUT!B102</f>
        <v>0</v>
      </c>
      <c r="B105" s="145">
        <f>INPUT!C102</f>
        <v>0</v>
      </c>
      <c r="C105" s="142"/>
      <c r="D105" s="142"/>
      <c r="E105" s="142"/>
      <c r="F105" s="374" t="str">
        <f>TERM1!Y104</f>
        <v/>
      </c>
      <c r="G105" s="263"/>
      <c r="H105" s="263"/>
      <c r="I105" s="264"/>
      <c r="J105" s="374" t="str">
        <f>TERM2!Y104</f>
        <v/>
      </c>
      <c r="K105" s="263"/>
      <c r="L105" s="263"/>
      <c r="M105" s="264"/>
      <c r="N105" s="374" t="str">
        <f>TERM3!Y104</f>
        <v/>
      </c>
      <c r="O105" s="263"/>
      <c r="P105" s="263"/>
      <c r="Q105" s="264"/>
      <c r="R105" s="375" t="str">
        <f t="shared" si="9"/>
        <v/>
      </c>
      <c r="S105" s="268"/>
      <c r="T105" s="268"/>
      <c r="U105" s="269"/>
      <c r="V105" s="374" t="str">
        <f t="shared" si="10"/>
        <v/>
      </c>
      <c r="W105" s="268"/>
      <c r="X105" s="268"/>
      <c r="Y105" s="269"/>
      <c r="Z105" s="376" t="str">
        <f t="shared" si="11"/>
        <v/>
      </c>
      <c r="AA105" s="268"/>
      <c r="AB105" s="377"/>
      <c r="AI105" s="138"/>
      <c r="AK105" s="2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</row>
    <row r="106" spans="1:55" ht="18" customHeight="1">
      <c r="A106" s="145">
        <f>INPUT!B103</f>
        <v>0</v>
      </c>
      <c r="B106" s="145">
        <f>INPUT!C103</f>
        <v>0</v>
      </c>
      <c r="C106" s="142"/>
      <c r="D106" s="142"/>
      <c r="E106" s="142"/>
      <c r="F106" s="374" t="str">
        <f>TERM1!Y105</f>
        <v/>
      </c>
      <c r="G106" s="263"/>
      <c r="H106" s="263"/>
      <c r="I106" s="264"/>
      <c r="J106" s="374" t="str">
        <f>TERM2!Y105</f>
        <v/>
      </c>
      <c r="K106" s="263"/>
      <c r="L106" s="263"/>
      <c r="M106" s="264"/>
      <c r="N106" s="374" t="str">
        <f>TERM3!Y105</f>
        <v/>
      </c>
      <c r="O106" s="263"/>
      <c r="P106" s="263"/>
      <c r="Q106" s="264"/>
      <c r="R106" s="375" t="str">
        <f t="shared" si="9"/>
        <v/>
      </c>
      <c r="S106" s="268"/>
      <c r="T106" s="268"/>
      <c r="U106" s="269"/>
      <c r="V106" s="374" t="str">
        <f t="shared" si="10"/>
        <v/>
      </c>
      <c r="W106" s="268"/>
      <c r="X106" s="268"/>
      <c r="Y106" s="269"/>
      <c r="Z106" s="376" t="str">
        <f t="shared" si="11"/>
        <v/>
      </c>
      <c r="AA106" s="268"/>
      <c r="AB106" s="377"/>
      <c r="AI106" s="138"/>
      <c r="AK106" s="2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</row>
    <row r="107" spans="1:55" ht="18" customHeight="1">
      <c r="A107" s="145">
        <f>INPUT!B104</f>
        <v>0</v>
      </c>
      <c r="B107" s="145">
        <f>INPUT!C104</f>
        <v>0</v>
      </c>
      <c r="C107" s="142"/>
      <c r="D107" s="142"/>
      <c r="E107" s="142"/>
      <c r="F107" s="374" t="str">
        <f>TERM1!Y106</f>
        <v/>
      </c>
      <c r="G107" s="263"/>
      <c r="H107" s="263"/>
      <c r="I107" s="264"/>
      <c r="J107" s="374" t="str">
        <f>TERM2!Y106</f>
        <v/>
      </c>
      <c r="K107" s="263"/>
      <c r="L107" s="263"/>
      <c r="M107" s="264"/>
      <c r="N107" s="374" t="str">
        <f>TERM3!Y106</f>
        <v/>
      </c>
      <c r="O107" s="263"/>
      <c r="P107" s="263"/>
      <c r="Q107" s="264"/>
      <c r="R107" s="375" t="str">
        <f t="shared" si="9"/>
        <v/>
      </c>
      <c r="S107" s="268"/>
      <c r="T107" s="268"/>
      <c r="U107" s="269"/>
      <c r="V107" s="374" t="str">
        <f t="shared" si="10"/>
        <v/>
      </c>
      <c r="W107" s="268"/>
      <c r="X107" s="268"/>
      <c r="Y107" s="269"/>
      <c r="Z107" s="376" t="str">
        <f t="shared" si="11"/>
        <v/>
      </c>
      <c r="AA107" s="268"/>
      <c r="AB107" s="377"/>
      <c r="AI107" s="138"/>
      <c r="AK107" s="2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</row>
    <row r="108" spans="1:55" ht="18" customHeight="1">
      <c r="A108" s="145">
        <f>INPUT!B105</f>
        <v>0</v>
      </c>
      <c r="B108" s="145">
        <f>INPUT!C105</f>
        <v>0</v>
      </c>
      <c r="C108" s="142"/>
      <c r="D108" s="142"/>
      <c r="E108" s="142"/>
      <c r="F108" s="374" t="str">
        <f>TERM1!Y107</f>
        <v/>
      </c>
      <c r="G108" s="263"/>
      <c r="H108" s="263"/>
      <c r="I108" s="264"/>
      <c r="J108" s="374" t="str">
        <f>TERM2!Y107</f>
        <v/>
      </c>
      <c r="K108" s="263"/>
      <c r="L108" s="263"/>
      <c r="M108" s="264"/>
      <c r="N108" s="374" t="str">
        <f>TERM3!Y107</f>
        <v/>
      </c>
      <c r="O108" s="263"/>
      <c r="P108" s="263"/>
      <c r="Q108" s="264"/>
      <c r="R108" s="375" t="str">
        <f t="shared" si="9"/>
        <v/>
      </c>
      <c r="S108" s="268"/>
      <c r="T108" s="268"/>
      <c r="U108" s="269"/>
      <c r="V108" s="374" t="str">
        <f t="shared" si="10"/>
        <v/>
      </c>
      <c r="W108" s="268"/>
      <c r="X108" s="268"/>
      <c r="Y108" s="269"/>
      <c r="Z108" s="376" t="str">
        <f t="shared" si="11"/>
        <v/>
      </c>
      <c r="AA108" s="268"/>
      <c r="AB108" s="377"/>
      <c r="AI108" s="138"/>
      <c r="AK108" s="2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</row>
    <row r="109" spans="1:55" ht="18" customHeight="1">
      <c r="A109" s="145">
        <f>INPUT!B106</f>
        <v>0</v>
      </c>
      <c r="B109" s="145">
        <f>INPUT!C106</f>
        <v>0</v>
      </c>
      <c r="C109" s="142"/>
      <c r="D109" s="142"/>
      <c r="E109" s="142"/>
      <c r="F109" s="374" t="str">
        <f>TERM1!Y108</f>
        <v/>
      </c>
      <c r="G109" s="263"/>
      <c r="H109" s="263"/>
      <c r="I109" s="264"/>
      <c r="J109" s="374" t="str">
        <f>TERM2!Y108</f>
        <v/>
      </c>
      <c r="K109" s="263"/>
      <c r="L109" s="263"/>
      <c r="M109" s="264"/>
      <c r="N109" s="374" t="str">
        <f>TERM3!Y108</f>
        <v/>
      </c>
      <c r="O109" s="263"/>
      <c r="P109" s="263"/>
      <c r="Q109" s="264"/>
      <c r="R109" s="375" t="str">
        <f t="shared" si="9"/>
        <v/>
      </c>
      <c r="S109" s="268"/>
      <c r="T109" s="268"/>
      <c r="U109" s="269"/>
      <c r="V109" s="374" t="str">
        <f t="shared" si="10"/>
        <v/>
      </c>
      <c r="W109" s="268"/>
      <c r="X109" s="268"/>
      <c r="Y109" s="269"/>
      <c r="Z109" s="376" t="str">
        <f t="shared" si="11"/>
        <v/>
      </c>
      <c r="AA109" s="268"/>
      <c r="AB109" s="377"/>
      <c r="AI109" s="138"/>
      <c r="AK109" s="2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</row>
    <row r="110" spans="1:55" ht="18" customHeight="1">
      <c r="A110" s="145">
        <f>INPUT!B107</f>
        <v>0</v>
      </c>
      <c r="B110" s="145">
        <f>INPUT!C107</f>
        <v>0</v>
      </c>
      <c r="C110" s="142"/>
      <c r="D110" s="142"/>
      <c r="E110" s="142"/>
      <c r="F110" s="374" t="str">
        <f>TERM1!Y109</f>
        <v/>
      </c>
      <c r="G110" s="263"/>
      <c r="H110" s="263"/>
      <c r="I110" s="264"/>
      <c r="J110" s="374" t="str">
        <f>TERM2!Y109</f>
        <v/>
      </c>
      <c r="K110" s="263"/>
      <c r="L110" s="263"/>
      <c r="M110" s="264"/>
      <c r="N110" s="374" t="str">
        <f>TERM3!Y109</f>
        <v/>
      </c>
      <c r="O110" s="263"/>
      <c r="P110" s="263"/>
      <c r="Q110" s="264"/>
      <c r="R110" s="375" t="str">
        <f t="shared" si="9"/>
        <v/>
      </c>
      <c r="S110" s="268"/>
      <c r="T110" s="268"/>
      <c r="U110" s="269"/>
      <c r="V110" s="374" t="str">
        <f t="shared" si="10"/>
        <v/>
      </c>
      <c r="W110" s="268"/>
      <c r="X110" s="268"/>
      <c r="Y110" s="269"/>
      <c r="Z110" s="376" t="str">
        <f t="shared" si="11"/>
        <v/>
      </c>
      <c r="AA110" s="268"/>
      <c r="AB110" s="377"/>
      <c r="AI110" s="138"/>
      <c r="AK110" s="2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</row>
    <row r="111" spans="1:55" ht="18" customHeight="1">
      <c r="A111" s="145">
        <f>INPUT!B108</f>
        <v>0</v>
      </c>
      <c r="B111" s="145">
        <f>INPUT!C108</f>
        <v>0</v>
      </c>
      <c r="C111" s="142"/>
      <c r="D111" s="142"/>
      <c r="E111" s="142"/>
      <c r="F111" s="374" t="str">
        <f>TERM1!Y110</f>
        <v/>
      </c>
      <c r="G111" s="263"/>
      <c r="H111" s="263"/>
      <c r="I111" s="264"/>
      <c r="J111" s="374" t="str">
        <f>TERM2!Y110</f>
        <v/>
      </c>
      <c r="K111" s="263"/>
      <c r="L111" s="263"/>
      <c r="M111" s="264"/>
      <c r="N111" s="374" t="str">
        <f>TERM3!Y110</f>
        <v/>
      </c>
      <c r="O111" s="263"/>
      <c r="P111" s="263"/>
      <c r="Q111" s="264"/>
      <c r="R111" s="375" t="str">
        <f t="shared" si="9"/>
        <v/>
      </c>
      <c r="S111" s="268"/>
      <c r="T111" s="268"/>
      <c r="U111" s="269"/>
      <c r="V111" s="374" t="str">
        <f t="shared" si="10"/>
        <v/>
      </c>
      <c r="W111" s="268"/>
      <c r="X111" s="268"/>
      <c r="Y111" s="269"/>
      <c r="Z111" s="376" t="str">
        <f t="shared" si="11"/>
        <v/>
      </c>
      <c r="AA111" s="268"/>
      <c r="AB111" s="377"/>
      <c r="AI111" s="138"/>
      <c r="AK111" s="2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</row>
    <row r="112" spans="1:55" ht="18" customHeight="1">
      <c r="A112" s="145">
        <f>INPUT!B109</f>
        <v>0</v>
      </c>
      <c r="B112" s="145">
        <f>INPUT!C109</f>
        <v>0</v>
      </c>
      <c r="C112" s="142"/>
      <c r="D112" s="142"/>
      <c r="E112" s="142"/>
      <c r="F112" s="374" t="str">
        <f>TERM1!Y111</f>
        <v/>
      </c>
      <c r="G112" s="263"/>
      <c r="H112" s="263"/>
      <c r="I112" s="264"/>
      <c r="J112" s="374" t="str">
        <f>TERM2!Y111</f>
        <v/>
      </c>
      <c r="K112" s="263"/>
      <c r="L112" s="263"/>
      <c r="M112" s="264"/>
      <c r="N112" s="374" t="str">
        <f>TERM3!Y111</f>
        <v/>
      </c>
      <c r="O112" s="263"/>
      <c r="P112" s="263"/>
      <c r="Q112" s="264"/>
      <c r="R112" s="375" t="str">
        <f t="shared" si="9"/>
        <v/>
      </c>
      <c r="S112" s="268"/>
      <c r="T112" s="268"/>
      <c r="U112" s="269"/>
      <c r="V112" s="374" t="str">
        <f t="shared" si="10"/>
        <v/>
      </c>
      <c r="W112" s="268"/>
      <c r="X112" s="268"/>
      <c r="Y112" s="269"/>
      <c r="Z112" s="376" t="str">
        <f t="shared" si="11"/>
        <v/>
      </c>
      <c r="AA112" s="268"/>
      <c r="AB112" s="377"/>
      <c r="AI112" s="138"/>
      <c r="AK112" s="2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</row>
    <row r="113" spans="1:55" ht="18" customHeight="1">
      <c r="A113" s="145">
        <f>INPUT!B110</f>
        <v>0</v>
      </c>
      <c r="B113" s="145">
        <f>INPUT!C110</f>
        <v>0</v>
      </c>
      <c r="C113" s="142"/>
      <c r="D113" s="142"/>
      <c r="E113" s="142"/>
      <c r="F113" s="374" t="str">
        <f>TERM1!Y112</f>
        <v/>
      </c>
      <c r="G113" s="263"/>
      <c r="H113" s="263"/>
      <c r="I113" s="264"/>
      <c r="J113" s="374" t="str">
        <f>TERM2!Y112</f>
        <v/>
      </c>
      <c r="K113" s="263"/>
      <c r="L113" s="263"/>
      <c r="M113" s="264"/>
      <c r="N113" s="374" t="str">
        <f>TERM3!Y112</f>
        <v/>
      </c>
      <c r="O113" s="263"/>
      <c r="P113" s="263"/>
      <c r="Q113" s="264"/>
      <c r="R113" s="375" t="str">
        <f t="shared" si="9"/>
        <v/>
      </c>
      <c r="S113" s="268"/>
      <c r="T113" s="268"/>
      <c r="U113" s="269"/>
      <c r="V113" s="374" t="str">
        <f t="shared" si="10"/>
        <v/>
      </c>
      <c r="W113" s="268"/>
      <c r="X113" s="268"/>
      <c r="Y113" s="269"/>
      <c r="Z113" s="376" t="str">
        <f t="shared" si="11"/>
        <v/>
      </c>
      <c r="AA113" s="268"/>
      <c r="AB113" s="377"/>
      <c r="AI113" s="138"/>
      <c r="AK113" s="2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</row>
    <row r="114" spans="1:55" ht="18" customHeight="1">
      <c r="A114" s="145">
        <f>INPUT!B111</f>
        <v>0</v>
      </c>
      <c r="B114" s="145">
        <f>INPUT!C111</f>
        <v>0</v>
      </c>
      <c r="C114" s="142"/>
      <c r="D114" s="142"/>
      <c r="E114" s="142"/>
      <c r="F114" s="374" t="str">
        <f>TERM1!Y113</f>
        <v/>
      </c>
      <c r="G114" s="263"/>
      <c r="H114" s="263"/>
      <c r="I114" s="264"/>
      <c r="J114" s="374" t="str">
        <f>TERM2!Y113</f>
        <v/>
      </c>
      <c r="K114" s="263"/>
      <c r="L114" s="263"/>
      <c r="M114" s="264"/>
      <c r="N114" s="374" t="str">
        <f>TERM3!Y113</f>
        <v/>
      </c>
      <c r="O114" s="263"/>
      <c r="P114" s="263"/>
      <c r="Q114" s="264"/>
      <c r="R114" s="375" t="str">
        <f t="shared" si="9"/>
        <v/>
      </c>
      <c r="S114" s="268"/>
      <c r="T114" s="268"/>
      <c r="U114" s="269"/>
      <c r="V114" s="374" t="str">
        <f t="shared" si="10"/>
        <v/>
      </c>
      <c r="W114" s="268"/>
      <c r="X114" s="268"/>
      <c r="Y114" s="269"/>
      <c r="Z114" s="376" t="str">
        <f t="shared" si="11"/>
        <v/>
      </c>
      <c r="AA114" s="268"/>
      <c r="AB114" s="377"/>
      <c r="AI114" s="138"/>
      <c r="AK114" s="2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</row>
    <row r="115" spans="1:55" ht="19.5" customHeight="1">
      <c r="A115" s="210"/>
      <c r="B115" s="146">
        <f>INPUT!C110</f>
        <v>0</v>
      </c>
      <c r="C115" s="142"/>
      <c r="D115" s="142"/>
      <c r="E115" s="142"/>
      <c r="F115" s="374" t="str">
        <f>TERM1!Y114</f>
        <v/>
      </c>
      <c r="G115" s="263"/>
      <c r="H115" s="263"/>
      <c r="I115" s="264"/>
      <c r="J115" s="374" t="str">
        <f>TERM2!Y114</f>
        <v/>
      </c>
      <c r="K115" s="263"/>
      <c r="L115" s="263"/>
      <c r="M115" s="264"/>
      <c r="N115" s="374" t="str">
        <f>TERM3!Y114</f>
        <v/>
      </c>
      <c r="O115" s="263"/>
      <c r="P115" s="263"/>
      <c r="Q115" s="264"/>
      <c r="R115" s="375" t="str">
        <f t="shared" si="9"/>
        <v/>
      </c>
      <c r="S115" s="268"/>
      <c r="T115" s="268"/>
      <c r="U115" s="269"/>
      <c r="V115" s="374" t="str">
        <f t="shared" si="10"/>
        <v/>
      </c>
      <c r="W115" s="268"/>
      <c r="X115" s="268"/>
      <c r="Y115" s="269"/>
      <c r="Z115" s="376" t="str">
        <f t="shared" si="11"/>
        <v/>
      </c>
      <c r="AA115" s="268"/>
      <c r="AB115" s="377"/>
      <c r="AI115" s="138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</row>
    <row r="116" spans="1:55" ht="18" hidden="1" customHeight="1">
      <c r="A116" s="213"/>
      <c r="B116" s="209"/>
      <c r="C116" s="147"/>
      <c r="D116" s="147"/>
      <c r="E116" s="147"/>
      <c r="F116" s="378" t="str">
        <f>TERM1!Y115</f>
        <v/>
      </c>
      <c r="G116" s="379"/>
      <c r="H116" s="379"/>
      <c r="I116" s="380"/>
      <c r="J116" s="378" t="str">
        <f>TERM2!Y115</f>
        <v/>
      </c>
      <c r="K116" s="379"/>
      <c r="L116" s="379"/>
      <c r="M116" s="380"/>
      <c r="N116" s="378" t="str">
        <f>TERM3!Y116</f>
        <v/>
      </c>
      <c r="O116" s="379"/>
      <c r="P116" s="379"/>
      <c r="Q116" s="380"/>
      <c r="R116" s="381" t="str">
        <f t="shared" si="9"/>
        <v/>
      </c>
      <c r="S116" s="382"/>
      <c r="T116" s="382"/>
      <c r="U116" s="383"/>
      <c r="V116" s="378" t="str">
        <f t="shared" si="10"/>
        <v/>
      </c>
      <c r="W116" s="382"/>
      <c r="X116" s="382"/>
      <c r="Y116" s="383"/>
      <c r="Z116" s="384" t="str">
        <f t="shared" si="11"/>
        <v/>
      </c>
      <c r="AA116" s="382"/>
      <c r="AB116" s="385"/>
      <c r="AI116" s="138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</row>
    <row r="117" spans="1:55" ht="19.5" hidden="1" customHeight="1">
      <c r="A117" s="220" t="s">
        <v>125</v>
      </c>
      <c r="B117" s="302" t="s">
        <v>127</v>
      </c>
      <c r="C117" s="302"/>
      <c r="D117" s="302"/>
      <c r="E117" s="216"/>
      <c r="F117" s="8"/>
      <c r="G117" s="200"/>
      <c r="H117" s="200"/>
      <c r="I117" s="200"/>
      <c r="J117" s="8"/>
      <c r="K117" s="200"/>
      <c r="L117" s="200"/>
      <c r="M117" s="200"/>
      <c r="N117" s="8"/>
      <c r="O117" s="200"/>
      <c r="P117" s="200"/>
      <c r="Q117" s="200"/>
      <c r="R117" s="218"/>
      <c r="S117" s="200"/>
      <c r="T117" s="200"/>
      <c r="U117" s="200"/>
      <c r="V117" s="8"/>
      <c r="W117" s="200"/>
      <c r="X117" s="200"/>
      <c r="Y117" s="200"/>
      <c r="Z117" s="219"/>
      <c r="AA117" s="200"/>
      <c r="AB117" s="200"/>
      <c r="AI117" s="138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</row>
    <row r="118" spans="1:55" ht="15" hidden="1" customHeight="1"/>
    <row r="124" spans="1:55" s="2" customFormat="1">
      <c r="Q124" s="3"/>
      <c r="R124" s="3"/>
      <c r="AC124" s="3"/>
      <c r="AD124" s="3"/>
      <c r="AF124" s="3"/>
      <c r="AG124" s="3"/>
      <c r="AH124" s="3"/>
      <c r="AI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</row>
  </sheetData>
  <sheetProtection formatCells="0" formatColumns="0" formatRows="0" insertColumns="0" insertRows="0" insertHyperlinks="0" deleteColumns="0" deleteRows="0" sort="0" autoFilter="0" pivotTables="0"/>
  <autoFilter ref="B12:B116" xr:uid="{00000000-0009-0000-0000-000004000000}"/>
  <mergeCells count="659">
    <mergeCell ref="Z65:AB65"/>
    <mergeCell ref="B13:D13"/>
    <mergeCell ref="B66:D66"/>
    <mergeCell ref="R13:U13"/>
    <mergeCell ref="Z13:AB13"/>
    <mergeCell ref="V13:Y13"/>
    <mergeCell ref="N13:Q13"/>
    <mergeCell ref="J13:M13"/>
    <mergeCell ref="F13:I13"/>
    <mergeCell ref="F66:I66"/>
    <mergeCell ref="F15:I15"/>
    <mergeCell ref="J15:M15"/>
    <mergeCell ref="N15:Q15"/>
    <mergeCell ref="R15:U15"/>
    <mergeCell ref="V15:Y15"/>
    <mergeCell ref="Z15:AB15"/>
    <mergeCell ref="J65:M65"/>
    <mergeCell ref="N65:Q65"/>
    <mergeCell ref="R65:U65"/>
    <mergeCell ref="V65:Y65"/>
    <mergeCell ref="F65:I65"/>
    <mergeCell ref="S9:V9"/>
    <mergeCell ref="W9:AB9"/>
    <mergeCell ref="F10:I11"/>
    <mergeCell ref="J10:M11"/>
    <mergeCell ref="N10:Q11"/>
    <mergeCell ref="R10:U11"/>
    <mergeCell ref="V10:Y11"/>
    <mergeCell ref="Z10:AB11"/>
    <mergeCell ref="F17:I17"/>
    <mergeCell ref="J17:M17"/>
    <mergeCell ref="N17:Q17"/>
    <mergeCell ref="A8:A11"/>
    <mergeCell ref="B8:E11"/>
    <mergeCell ref="F8:J8"/>
    <mergeCell ref="K8:R8"/>
    <mergeCell ref="F9:J9"/>
    <mergeCell ref="K9:R9"/>
    <mergeCell ref="F16:I16"/>
    <mergeCell ref="J16:M16"/>
    <mergeCell ref="N16:Q16"/>
    <mergeCell ref="R16:U16"/>
    <mergeCell ref="V16:Y16"/>
    <mergeCell ref="Z16:AB16"/>
    <mergeCell ref="A1:AB2"/>
    <mergeCell ref="B5:F5"/>
    <mergeCell ref="G5:J5"/>
    <mergeCell ref="L5:N5"/>
    <mergeCell ref="O5:R5"/>
    <mergeCell ref="S5:V5"/>
    <mergeCell ref="W5:AB5"/>
    <mergeCell ref="B6:F6"/>
    <mergeCell ref="G6:R6"/>
    <mergeCell ref="S6:V6"/>
    <mergeCell ref="W6:AB6"/>
    <mergeCell ref="S8:V8"/>
    <mergeCell ref="W8:AB8"/>
    <mergeCell ref="F18:I18"/>
    <mergeCell ref="J18:M18"/>
    <mergeCell ref="N18:Q18"/>
    <mergeCell ref="R18:U18"/>
    <mergeCell ref="V18:Y18"/>
    <mergeCell ref="Z18:AB18"/>
    <mergeCell ref="F12:I12"/>
    <mergeCell ref="J12:M12"/>
    <mergeCell ref="N12:Q12"/>
    <mergeCell ref="R12:U12"/>
    <mergeCell ref="V12:Y12"/>
    <mergeCell ref="Z12:AB12"/>
    <mergeCell ref="F14:I14"/>
    <mergeCell ref="J14:M14"/>
    <mergeCell ref="N14:Q14"/>
    <mergeCell ref="R14:U14"/>
    <mergeCell ref="V14:Y14"/>
    <mergeCell ref="Z14:AB14"/>
    <mergeCell ref="R17:U17"/>
    <mergeCell ref="V17:Y17"/>
    <mergeCell ref="Z17:AB17"/>
    <mergeCell ref="Z21:AB21"/>
    <mergeCell ref="F22:I22"/>
    <mergeCell ref="J22:M22"/>
    <mergeCell ref="N22:Q22"/>
    <mergeCell ref="R22:U22"/>
    <mergeCell ref="V22:Y22"/>
    <mergeCell ref="Z22:AB22"/>
    <mergeCell ref="F21:I21"/>
    <mergeCell ref="J21:M21"/>
    <mergeCell ref="N21:Q21"/>
    <mergeCell ref="R21:U21"/>
    <mergeCell ref="V21:Y21"/>
    <mergeCell ref="Z19:AB19"/>
    <mergeCell ref="F20:I20"/>
    <mergeCell ref="J20:M20"/>
    <mergeCell ref="N20:Q20"/>
    <mergeCell ref="R20:U20"/>
    <mergeCell ref="V20:Y20"/>
    <mergeCell ref="Z20:AB20"/>
    <mergeCell ref="F19:I19"/>
    <mergeCell ref="J19:M19"/>
    <mergeCell ref="N19:Q19"/>
    <mergeCell ref="R19:U19"/>
    <mergeCell ref="V19:Y19"/>
    <mergeCell ref="Z25:AB25"/>
    <mergeCell ref="F26:I26"/>
    <mergeCell ref="J26:M26"/>
    <mergeCell ref="N26:Q26"/>
    <mergeCell ref="R26:U26"/>
    <mergeCell ref="V26:Y26"/>
    <mergeCell ref="Z26:AB26"/>
    <mergeCell ref="F25:I25"/>
    <mergeCell ref="J25:M25"/>
    <mergeCell ref="N25:Q25"/>
    <mergeCell ref="R25:U25"/>
    <mergeCell ref="V25:Y25"/>
    <mergeCell ref="Z23:AB23"/>
    <mergeCell ref="F24:I24"/>
    <mergeCell ref="J24:M24"/>
    <mergeCell ref="N24:Q24"/>
    <mergeCell ref="R24:U24"/>
    <mergeCell ref="V24:Y24"/>
    <mergeCell ref="Z24:AB24"/>
    <mergeCell ref="F23:I23"/>
    <mergeCell ref="J23:M23"/>
    <mergeCell ref="N23:Q23"/>
    <mergeCell ref="R23:U23"/>
    <mergeCell ref="V23:Y23"/>
    <mergeCell ref="Z29:AB29"/>
    <mergeCell ref="F30:I30"/>
    <mergeCell ref="J30:M30"/>
    <mergeCell ref="N30:Q30"/>
    <mergeCell ref="R30:U30"/>
    <mergeCell ref="V30:Y30"/>
    <mergeCell ref="Z30:AB30"/>
    <mergeCell ref="F29:I29"/>
    <mergeCell ref="J29:M29"/>
    <mergeCell ref="N29:Q29"/>
    <mergeCell ref="R29:U29"/>
    <mergeCell ref="V29:Y29"/>
    <mergeCell ref="Z27:AB27"/>
    <mergeCell ref="F28:I28"/>
    <mergeCell ref="J28:M28"/>
    <mergeCell ref="N28:Q28"/>
    <mergeCell ref="R28:U28"/>
    <mergeCell ref="V28:Y28"/>
    <mergeCell ref="Z28:AB28"/>
    <mergeCell ref="F27:I27"/>
    <mergeCell ref="J27:M27"/>
    <mergeCell ref="N27:Q27"/>
    <mergeCell ref="R27:U27"/>
    <mergeCell ref="V27:Y27"/>
    <mergeCell ref="Z33:AB33"/>
    <mergeCell ref="F34:I34"/>
    <mergeCell ref="J34:M34"/>
    <mergeCell ref="N34:Q34"/>
    <mergeCell ref="R34:U34"/>
    <mergeCell ref="V34:Y34"/>
    <mergeCell ref="Z34:AB34"/>
    <mergeCell ref="F33:I33"/>
    <mergeCell ref="J33:M33"/>
    <mergeCell ref="N33:Q33"/>
    <mergeCell ref="R33:U33"/>
    <mergeCell ref="V33:Y33"/>
    <mergeCell ref="Z31:AB31"/>
    <mergeCell ref="F32:I32"/>
    <mergeCell ref="J32:M32"/>
    <mergeCell ref="N32:Q32"/>
    <mergeCell ref="R32:U32"/>
    <mergeCell ref="V32:Y32"/>
    <mergeCell ref="Z32:AB32"/>
    <mergeCell ref="F31:I31"/>
    <mergeCell ref="J31:M31"/>
    <mergeCell ref="N31:Q31"/>
    <mergeCell ref="R31:U31"/>
    <mergeCell ref="V31:Y31"/>
    <mergeCell ref="Z37:AB37"/>
    <mergeCell ref="F38:I38"/>
    <mergeCell ref="J38:M38"/>
    <mergeCell ref="N38:Q38"/>
    <mergeCell ref="R38:U38"/>
    <mergeCell ref="V38:Y38"/>
    <mergeCell ref="Z38:AB38"/>
    <mergeCell ref="F37:I37"/>
    <mergeCell ref="J37:M37"/>
    <mergeCell ref="N37:Q37"/>
    <mergeCell ref="R37:U37"/>
    <mergeCell ref="V37:Y37"/>
    <mergeCell ref="Z35:AB35"/>
    <mergeCell ref="F36:I36"/>
    <mergeCell ref="J36:M36"/>
    <mergeCell ref="N36:Q36"/>
    <mergeCell ref="R36:U36"/>
    <mergeCell ref="V36:Y36"/>
    <mergeCell ref="Z36:AB36"/>
    <mergeCell ref="F35:I35"/>
    <mergeCell ref="J35:M35"/>
    <mergeCell ref="N35:Q35"/>
    <mergeCell ref="R35:U35"/>
    <mergeCell ref="V35:Y35"/>
    <mergeCell ref="Z41:AB41"/>
    <mergeCell ref="F42:I42"/>
    <mergeCell ref="J42:M42"/>
    <mergeCell ref="N42:Q42"/>
    <mergeCell ref="R42:U42"/>
    <mergeCell ref="V42:Y42"/>
    <mergeCell ref="Z42:AB42"/>
    <mergeCell ref="F41:I41"/>
    <mergeCell ref="J41:M41"/>
    <mergeCell ref="N41:Q41"/>
    <mergeCell ref="R41:U41"/>
    <mergeCell ref="V41:Y41"/>
    <mergeCell ref="Z39:AB39"/>
    <mergeCell ref="F40:I40"/>
    <mergeCell ref="J40:M40"/>
    <mergeCell ref="N40:Q40"/>
    <mergeCell ref="R40:U40"/>
    <mergeCell ref="V40:Y40"/>
    <mergeCell ref="Z40:AB40"/>
    <mergeCell ref="F39:I39"/>
    <mergeCell ref="J39:M39"/>
    <mergeCell ref="N39:Q39"/>
    <mergeCell ref="R39:U39"/>
    <mergeCell ref="V39:Y39"/>
    <mergeCell ref="Z45:AB45"/>
    <mergeCell ref="F46:I46"/>
    <mergeCell ref="J46:M46"/>
    <mergeCell ref="N46:Q46"/>
    <mergeCell ref="R46:U46"/>
    <mergeCell ref="V46:Y46"/>
    <mergeCell ref="Z46:AB46"/>
    <mergeCell ref="F45:I45"/>
    <mergeCell ref="J45:M45"/>
    <mergeCell ref="N45:Q45"/>
    <mergeCell ref="R45:U45"/>
    <mergeCell ref="V45:Y45"/>
    <mergeCell ref="Z43:AB43"/>
    <mergeCell ref="F44:I44"/>
    <mergeCell ref="J44:M44"/>
    <mergeCell ref="N44:Q44"/>
    <mergeCell ref="R44:U44"/>
    <mergeCell ref="V44:Y44"/>
    <mergeCell ref="Z44:AB44"/>
    <mergeCell ref="F43:I43"/>
    <mergeCell ref="J43:M43"/>
    <mergeCell ref="N43:Q43"/>
    <mergeCell ref="R43:U43"/>
    <mergeCell ref="V43:Y43"/>
    <mergeCell ref="Z49:AB49"/>
    <mergeCell ref="F50:I50"/>
    <mergeCell ref="J50:M50"/>
    <mergeCell ref="N50:Q50"/>
    <mergeCell ref="R50:U50"/>
    <mergeCell ref="V50:Y50"/>
    <mergeCell ref="Z50:AB50"/>
    <mergeCell ref="F49:I49"/>
    <mergeCell ref="J49:M49"/>
    <mergeCell ref="N49:Q49"/>
    <mergeCell ref="R49:U49"/>
    <mergeCell ref="V49:Y49"/>
    <mergeCell ref="Z47:AB47"/>
    <mergeCell ref="F48:I48"/>
    <mergeCell ref="J48:M48"/>
    <mergeCell ref="N48:Q48"/>
    <mergeCell ref="R48:U48"/>
    <mergeCell ref="V48:Y48"/>
    <mergeCell ref="Z48:AB48"/>
    <mergeCell ref="F47:I47"/>
    <mergeCell ref="J47:M47"/>
    <mergeCell ref="N47:Q47"/>
    <mergeCell ref="R47:U47"/>
    <mergeCell ref="V47:Y47"/>
    <mergeCell ref="Z53:AB53"/>
    <mergeCell ref="F54:I54"/>
    <mergeCell ref="J54:M54"/>
    <mergeCell ref="N54:Q54"/>
    <mergeCell ref="R54:U54"/>
    <mergeCell ref="V54:Y54"/>
    <mergeCell ref="Z54:AB54"/>
    <mergeCell ref="F53:I53"/>
    <mergeCell ref="J53:M53"/>
    <mergeCell ref="N53:Q53"/>
    <mergeCell ref="R53:U53"/>
    <mergeCell ref="V53:Y53"/>
    <mergeCell ref="Z51:AB51"/>
    <mergeCell ref="F52:I52"/>
    <mergeCell ref="J52:M52"/>
    <mergeCell ref="N52:Q52"/>
    <mergeCell ref="R52:U52"/>
    <mergeCell ref="V52:Y52"/>
    <mergeCell ref="Z52:AB52"/>
    <mergeCell ref="F51:I51"/>
    <mergeCell ref="J51:M51"/>
    <mergeCell ref="N51:Q51"/>
    <mergeCell ref="R51:U51"/>
    <mergeCell ref="V51:Y51"/>
    <mergeCell ref="R57:U57"/>
    <mergeCell ref="V57:Y57"/>
    <mergeCell ref="Z57:AB57"/>
    <mergeCell ref="F58:I58"/>
    <mergeCell ref="J58:M58"/>
    <mergeCell ref="N58:Q58"/>
    <mergeCell ref="R58:U58"/>
    <mergeCell ref="V58:Y58"/>
    <mergeCell ref="Z58:AB58"/>
    <mergeCell ref="Z62:AB62"/>
    <mergeCell ref="F55:I55"/>
    <mergeCell ref="J55:M55"/>
    <mergeCell ref="N55:Q55"/>
    <mergeCell ref="R55:U55"/>
    <mergeCell ref="V55:Y55"/>
    <mergeCell ref="Z55:AB55"/>
    <mergeCell ref="F56:I56"/>
    <mergeCell ref="J56:M56"/>
    <mergeCell ref="N56:Q56"/>
    <mergeCell ref="R56:U56"/>
    <mergeCell ref="V56:Y56"/>
    <mergeCell ref="Z56:AB56"/>
    <mergeCell ref="F57:I57"/>
    <mergeCell ref="J57:M57"/>
    <mergeCell ref="N57:Q57"/>
    <mergeCell ref="F62:I62"/>
    <mergeCell ref="J62:M62"/>
    <mergeCell ref="N62:Q62"/>
    <mergeCell ref="R62:U62"/>
    <mergeCell ref="V62:Y62"/>
    <mergeCell ref="J61:M61"/>
    <mergeCell ref="N61:Q61"/>
    <mergeCell ref="R61:U61"/>
    <mergeCell ref="V61:Y61"/>
    <mergeCell ref="Z61:AB61"/>
    <mergeCell ref="R68:U68"/>
    <mergeCell ref="V68:Y68"/>
    <mergeCell ref="Z68:AB68"/>
    <mergeCell ref="F59:I59"/>
    <mergeCell ref="J59:M59"/>
    <mergeCell ref="N59:Q59"/>
    <mergeCell ref="R59:U59"/>
    <mergeCell ref="V59:Y59"/>
    <mergeCell ref="Z59:AB59"/>
    <mergeCell ref="F60:I60"/>
    <mergeCell ref="J60:M60"/>
    <mergeCell ref="N60:Q60"/>
    <mergeCell ref="R60:U60"/>
    <mergeCell ref="V60:Y60"/>
    <mergeCell ref="Z60:AB60"/>
    <mergeCell ref="F61:I61"/>
    <mergeCell ref="Z63:AB63"/>
    <mergeCell ref="F71:I71"/>
    <mergeCell ref="J71:M71"/>
    <mergeCell ref="N71:Q71"/>
    <mergeCell ref="R71:U71"/>
    <mergeCell ref="V71:Y71"/>
    <mergeCell ref="Z71:AB71"/>
    <mergeCell ref="F67:I67"/>
    <mergeCell ref="J67:M67"/>
    <mergeCell ref="N67:Q67"/>
    <mergeCell ref="R67:U67"/>
    <mergeCell ref="V67:Y67"/>
    <mergeCell ref="Z67:AB67"/>
    <mergeCell ref="F68:I68"/>
    <mergeCell ref="J68:M68"/>
    <mergeCell ref="N68:Q68"/>
    <mergeCell ref="F63:I63"/>
    <mergeCell ref="J63:M63"/>
    <mergeCell ref="N63:Q63"/>
    <mergeCell ref="R63:U63"/>
    <mergeCell ref="V63:Y63"/>
    <mergeCell ref="Z72:AB72"/>
    <mergeCell ref="F69:I69"/>
    <mergeCell ref="J69:M69"/>
    <mergeCell ref="N69:Q69"/>
    <mergeCell ref="R69:U69"/>
    <mergeCell ref="V69:Y69"/>
    <mergeCell ref="Z69:AB69"/>
    <mergeCell ref="F70:I70"/>
    <mergeCell ref="J70:M70"/>
    <mergeCell ref="N70:Q70"/>
    <mergeCell ref="R70:U70"/>
    <mergeCell ref="V70:Y70"/>
    <mergeCell ref="Z70:AB70"/>
    <mergeCell ref="F72:I72"/>
    <mergeCell ref="J72:M72"/>
    <mergeCell ref="N72:Q72"/>
    <mergeCell ref="R72:U72"/>
    <mergeCell ref="V72:Y72"/>
    <mergeCell ref="Z75:AB75"/>
    <mergeCell ref="F76:I76"/>
    <mergeCell ref="J76:M76"/>
    <mergeCell ref="N76:Q76"/>
    <mergeCell ref="R76:U76"/>
    <mergeCell ref="V76:Y76"/>
    <mergeCell ref="Z76:AB76"/>
    <mergeCell ref="F75:I75"/>
    <mergeCell ref="J75:M75"/>
    <mergeCell ref="N75:Q75"/>
    <mergeCell ref="R75:U75"/>
    <mergeCell ref="V75:Y75"/>
    <mergeCell ref="Z73:AB73"/>
    <mergeCell ref="F74:I74"/>
    <mergeCell ref="J74:M74"/>
    <mergeCell ref="N74:Q74"/>
    <mergeCell ref="R74:U74"/>
    <mergeCell ref="V74:Y74"/>
    <mergeCell ref="Z74:AB74"/>
    <mergeCell ref="F73:I73"/>
    <mergeCell ref="J73:M73"/>
    <mergeCell ref="N73:Q73"/>
    <mergeCell ref="R73:U73"/>
    <mergeCell ref="V73:Y73"/>
    <mergeCell ref="Z79:AB79"/>
    <mergeCell ref="F80:I80"/>
    <mergeCell ref="J80:M80"/>
    <mergeCell ref="N80:Q80"/>
    <mergeCell ref="R80:U80"/>
    <mergeCell ref="V80:Y80"/>
    <mergeCell ref="Z80:AB80"/>
    <mergeCell ref="F79:I79"/>
    <mergeCell ref="J79:M79"/>
    <mergeCell ref="N79:Q79"/>
    <mergeCell ref="R79:U79"/>
    <mergeCell ref="V79:Y79"/>
    <mergeCell ref="Z77:AB77"/>
    <mergeCell ref="F78:I78"/>
    <mergeCell ref="J78:M78"/>
    <mergeCell ref="N78:Q78"/>
    <mergeCell ref="R78:U78"/>
    <mergeCell ref="V78:Y78"/>
    <mergeCell ref="Z78:AB78"/>
    <mergeCell ref="F77:I77"/>
    <mergeCell ref="J77:M77"/>
    <mergeCell ref="N77:Q77"/>
    <mergeCell ref="R77:U77"/>
    <mergeCell ref="V77:Y77"/>
    <mergeCell ref="Z83:AB83"/>
    <mergeCell ref="F84:I84"/>
    <mergeCell ref="J84:M84"/>
    <mergeCell ref="N84:Q84"/>
    <mergeCell ref="R84:U84"/>
    <mergeCell ref="V84:Y84"/>
    <mergeCell ref="Z84:AB84"/>
    <mergeCell ref="F83:I83"/>
    <mergeCell ref="J83:M83"/>
    <mergeCell ref="N83:Q83"/>
    <mergeCell ref="R83:U83"/>
    <mergeCell ref="V83:Y83"/>
    <mergeCell ref="Z81:AB81"/>
    <mergeCell ref="F82:I82"/>
    <mergeCell ref="J82:M82"/>
    <mergeCell ref="N82:Q82"/>
    <mergeCell ref="R82:U82"/>
    <mergeCell ref="V82:Y82"/>
    <mergeCell ref="Z82:AB82"/>
    <mergeCell ref="F81:I81"/>
    <mergeCell ref="J81:M81"/>
    <mergeCell ref="N81:Q81"/>
    <mergeCell ref="R81:U81"/>
    <mergeCell ref="V81:Y81"/>
    <mergeCell ref="Z87:AB87"/>
    <mergeCell ref="F88:I88"/>
    <mergeCell ref="J88:M88"/>
    <mergeCell ref="N88:Q88"/>
    <mergeCell ref="R88:U88"/>
    <mergeCell ref="V88:Y88"/>
    <mergeCell ref="Z88:AB88"/>
    <mergeCell ref="F87:I87"/>
    <mergeCell ref="J87:M87"/>
    <mergeCell ref="N87:Q87"/>
    <mergeCell ref="R87:U87"/>
    <mergeCell ref="V87:Y87"/>
    <mergeCell ref="Z85:AB85"/>
    <mergeCell ref="F86:I86"/>
    <mergeCell ref="J86:M86"/>
    <mergeCell ref="N86:Q86"/>
    <mergeCell ref="R86:U86"/>
    <mergeCell ref="V86:Y86"/>
    <mergeCell ref="Z86:AB86"/>
    <mergeCell ref="F85:I85"/>
    <mergeCell ref="J85:M85"/>
    <mergeCell ref="N85:Q85"/>
    <mergeCell ref="R85:U85"/>
    <mergeCell ref="V85:Y85"/>
    <mergeCell ref="Z91:AB91"/>
    <mergeCell ref="F92:I92"/>
    <mergeCell ref="J92:M92"/>
    <mergeCell ref="N92:Q92"/>
    <mergeCell ref="R92:U92"/>
    <mergeCell ref="V92:Y92"/>
    <mergeCell ref="Z92:AB92"/>
    <mergeCell ref="F91:I91"/>
    <mergeCell ref="J91:M91"/>
    <mergeCell ref="N91:Q91"/>
    <mergeCell ref="R91:U91"/>
    <mergeCell ref="V91:Y91"/>
    <mergeCell ref="Z89:AB89"/>
    <mergeCell ref="F90:I90"/>
    <mergeCell ref="J90:M90"/>
    <mergeCell ref="N90:Q90"/>
    <mergeCell ref="R90:U90"/>
    <mergeCell ref="V90:Y90"/>
    <mergeCell ref="Z90:AB90"/>
    <mergeCell ref="F89:I89"/>
    <mergeCell ref="J89:M89"/>
    <mergeCell ref="N89:Q89"/>
    <mergeCell ref="R89:U89"/>
    <mergeCell ref="V89:Y89"/>
    <mergeCell ref="Z95:AB95"/>
    <mergeCell ref="F96:I96"/>
    <mergeCell ref="J96:M96"/>
    <mergeCell ref="N96:Q96"/>
    <mergeCell ref="R96:U96"/>
    <mergeCell ref="V96:Y96"/>
    <mergeCell ref="Z96:AB96"/>
    <mergeCell ref="F95:I95"/>
    <mergeCell ref="J95:M95"/>
    <mergeCell ref="N95:Q95"/>
    <mergeCell ref="R95:U95"/>
    <mergeCell ref="V95:Y95"/>
    <mergeCell ref="Z93:AB93"/>
    <mergeCell ref="F94:I94"/>
    <mergeCell ref="J94:M94"/>
    <mergeCell ref="N94:Q94"/>
    <mergeCell ref="R94:U94"/>
    <mergeCell ref="V94:Y94"/>
    <mergeCell ref="Z94:AB94"/>
    <mergeCell ref="F93:I93"/>
    <mergeCell ref="J93:M93"/>
    <mergeCell ref="N93:Q93"/>
    <mergeCell ref="R93:U93"/>
    <mergeCell ref="V93:Y93"/>
    <mergeCell ref="Z99:AB99"/>
    <mergeCell ref="F100:I100"/>
    <mergeCell ref="J100:M100"/>
    <mergeCell ref="N100:Q100"/>
    <mergeCell ref="R100:U100"/>
    <mergeCell ref="V100:Y100"/>
    <mergeCell ref="Z100:AB100"/>
    <mergeCell ref="F99:I99"/>
    <mergeCell ref="J99:M99"/>
    <mergeCell ref="N99:Q99"/>
    <mergeCell ref="R99:U99"/>
    <mergeCell ref="V99:Y99"/>
    <mergeCell ref="Z97:AB97"/>
    <mergeCell ref="F98:I98"/>
    <mergeCell ref="J98:M98"/>
    <mergeCell ref="N98:Q98"/>
    <mergeCell ref="R98:U98"/>
    <mergeCell ref="V98:Y98"/>
    <mergeCell ref="Z98:AB98"/>
    <mergeCell ref="F97:I97"/>
    <mergeCell ref="J97:M97"/>
    <mergeCell ref="N97:Q97"/>
    <mergeCell ref="R97:U97"/>
    <mergeCell ref="V97:Y97"/>
    <mergeCell ref="Z103:AB103"/>
    <mergeCell ref="F104:I104"/>
    <mergeCell ref="J104:M104"/>
    <mergeCell ref="N104:Q104"/>
    <mergeCell ref="R104:U104"/>
    <mergeCell ref="V104:Y104"/>
    <mergeCell ref="Z104:AB104"/>
    <mergeCell ref="F103:I103"/>
    <mergeCell ref="J103:M103"/>
    <mergeCell ref="N103:Q103"/>
    <mergeCell ref="R103:U103"/>
    <mergeCell ref="V103:Y103"/>
    <mergeCell ref="Z101:AB101"/>
    <mergeCell ref="F102:I102"/>
    <mergeCell ref="J102:M102"/>
    <mergeCell ref="N102:Q102"/>
    <mergeCell ref="R102:U102"/>
    <mergeCell ref="V102:Y102"/>
    <mergeCell ref="Z102:AB102"/>
    <mergeCell ref="F101:I101"/>
    <mergeCell ref="J101:M101"/>
    <mergeCell ref="N101:Q101"/>
    <mergeCell ref="R101:U101"/>
    <mergeCell ref="V101:Y101"/>
    <mergeCell ref="Z107:AB107"/>
    <mergeCell ref="F108:I108"/>
    <mergeCell ref="J108:M108"/>
    <mergeCell ref="N108:Q108"/>
    <mergeCell ref="R108:U108"/>
    <mergeCell ref="V108:Y108"/>
    <mergeCell ref="Z108:AB108"/>
    <mergeCell ref="F107:I107"/>
    <mergeCell ref="J107:M107"/>
    <mergeCell ref="N107:Q107"/>
    <mergeCell ref="R107:U107"/>
    <mergeCell ref="V107:Y107"/>
    <mergeCell ref="Z105:AB105"/>
    <mergeCell ref="F106:I106"/>
    <mergeCell ref="J106:M106"/>
    <mergeCell ref="N106:Q106"/>
    <mergeCell ref="R106:U106"/>
    <mergeCell ref="V106:Y106"/>
    <mergeCell ref="Z106:AB106"/>
    <mergeCell ref="F105:I105"/>
    <mergeCell ref="J105:M105"/>
    <mergeCell ref="N105:Q105"/>
    <mergeCell ref="R105:U105"/>
    <mergeCell ref="V105:Y105"/>
    <mergeCell ref="Z111:AB111"/>
    <mergeCell ref="F112:I112"/>
    <mergeCell ref="J112:M112"/>
    <mergeCell ref="N112:Q112"/>
    <mergeCell ref="R112:U112"/>
    <mergeCell ref="V112:Y112"/>
    <mergeCell ref="Z112:AB112"/>
    <mergeCell ref="F111:I111"/>
    <mergeCell ref="J111:M111"/>
    <mergeCell ref="N111:Q111"/>
    <mergeCell ref="R111:U111"/>
    <mergeCell ref="V111:Y111"/>
    <mergeCell ref="Z109:AB109"/>
    <mergeCell ref="F110:I110"/>
    <mergeCell ref="J110:M110"/>
    <mergeCell ref="N110:Q110"/>
    <mergeCell ref="R110:U110"/>
    <mergeCell ref="V110:Y110"/>
    <mergeCell ref="Z110:AB110"/>
    <mergeCell ref="F109:I109"/>
    <mergeCell ref="J109:M109"/>
    <mergeCell ref="N109:Q109"/>
    <mergeCell ref="R109:U109"/>
    <mergeCell ref="V109:Y109"/>
    <mergeCell ref="Z115:AB115"/>
    <mergeCell ref="F116:I116"/>
    <mergeCell ref="J116:M116"/>
    <mergeCell ref="N116:Q116"/>
    <mergeCell ref="R116:U116"/>
    <mergeCell ref="V116:Y116"/>
    <mergeCell ref="Z116:AB116"/>
    <mergeCell ref="F115:I115"/>
    <mergeCell ref="J115:M115"/>
    <mergeCell ref="N115:Q115"/>
    <mergeCell ref="R115:U115"/>
    <mergeCell ref="V115:Y115"/>
    <mergeCell ref="Z113:AB113"/>
    <mergeCell ref="F114:I114"/>
    <mergeCell ref="J114:M114"/>
    <mergeCell ref="N114:Q114"/>
    <mergeCell ref="R114:U114"/>
    <mergeCell ref="V114:Y114"/>
    <mergeCell ref="Z114:AB114"/>
    <mergeCell ref="BF64:BH64"/>
    <mergeCell ref="B117:D117"/>
    <mergeCell ref="B64:D64"/>
    <mergeCell ref="Z64:AB64"/>
    <mergeCell ref="AD64:AF64"/>
    <mergeCell ref="AH64:AJ64"/>
    <mergeCell ref="AL64:AN64"/>
    <mergeCell ref="AP64:AR64"/>
    <mergeCell ref="AT64:AV64"/>
    <mergeCell ref="AX64:AZ64"/>
    <mergeCell ref="BB64:BD64"/>
    <mergeCell ref="F113:I113"/>
    <mergeCell ref="J113:M113"/>
    <mergeCell ref="N113:Q113"/>
    <mergeCell ref="R113:U113"/>
    <mergeCell ref="V113:Y113"/>
  </mergeCells>
  <conditionalFormatting sqref="R14:U63">
    <cfRule type="cellIs" dxfId="7" priority="1" operator="lessThan">
      <formula>75</formula>
    </cfRule>
  </conditionalFormatting>
  <conditionalFormatting sqref="R67:U117">
    <cfRule type="cellIs" dxfId="6" priority="2" operator="lessThan">
      <formula>75</formula>
    </cfRule>
  </conditionalFormatting>
  <conditionalFormatting sqref="V14:Y63">
    <cfRule type="containsText" dxfId="5" priority="3" operator="containsText" text="Developing">
      <formula>NOT(ISERROR(SEARCH("Developing",V14:Y63)))</formula>
    </cfRule>
    <cfRule type="containsText" dxfId="4" priority="4" operator="containsText" text="Emerging">
      <formula>NOT(ISERROR(SEARCH("Emerging",V14:Y63)))</formula>
    </cfRule>
  </conditionalFormatting>
  <conditionalFormatting sqref="V65:Y117">
    <cfRule type="containsText" dxfId="3" priority="5" operator="containsText" text="Developing">
      <formula>NOT(ISERROR(SEARCH("Developing",V65:Y117)))</formula>
    </cfRule>
    <cfRule type="containsText" dxfId="2" priority="6" operator="containsText" text="Emerging">
      <formula>NOT(ISERROR(SEARCH("Emerging",V65:Y117)))</formula>
    </cfRule>
  </conditionalFormatting>
  <conditionalFormatting sqref="Z14:AB63">
    <cfRule type="containsText" dxfId="1" priority="7" operator="containsText" text="FAILED">
      <formula>NOT(ISERROR(SEARCH("FAILED",Z14:AB63)))</formula>
    </cfRule>
  </conditionalFormatting>
  <conditionalFormatting sqref="Z65:AB117">
    <cfRule type="containsText" dxfId="0" priority="8" operator="containsText" text="FAILED">
      <formula>NOT(ISERROR(SEARCH("FAILED",Z65:AB117)))</formula>
    </cfRule>
  </conditionalFormatting>
  <printOptions horizontalCentered="1"/>
  <pageMargins left="0.7" right="0.7" top="0.75" bottom="0.75" header="0.3" footer="0.3"/>
  <rowBreaks count="1" manualBreakCount="1">
    <brk id="64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9933"/>
  </sheetPr>
  <dimension ref="A1"/>
  <sheetViews>
    <sheetView workbookViewId="0"/>
  </sheetViews>
  <sheetFormatPr defaultRowHeight="1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3"/>
  <sheetViews>
    <sheetView workbookViewId="0">
      <selection activeCell="M30" sqref="M30"/>
    </sheetView>
  </sheetViews>
  <sheetFormatPr defaultRowHeight="15"/>
  <cols>
    <col min="1" max="1" width="23.85546875" customWidth="1"/>
    <col min="2" max="2" width="27.140625" customWidth="1"/>
  </cols>
  <sheetData>
    <row r="1" spans="1:2">
      <c r="A1" s="148" t="s">
        <v>129</v>
      </c>
      <c r="B1" s="148" t="s">
        <v>176</v>
      </c>
    </row>
    <row r="2" spans="1:2">
      <c r="A2" s="148" t="s">
        <v>177</v>
      </c>
      <c r="B2" s="148">
        <v>100</v>
      </c>
    </row>
    <row r="3" spans="1:2">
      <c r="A3" s="148" t="s">
        <v>178</v>
      </c>
      <c r="B3" s="148">
        <v>99</v>
      </c>
    </row>
    <row r="4" spans="1:2">
      <c r="A4" s="148" t="s">
        <v>179</v>
      </c>
      <c r="B4" s="148">
        <v>98</v>
      </c>
    </row>
    <row r="5" spans="1:2">
      <c r="A5" s="148" t="s">
        <v>180</v>
      </c>
      <c r="B5" s="148">
        <v>97</v>
      </c>
    </row>
    <row r="6" spans="1:2">
      <c r="A6" s="148" t="s">
        <v>181</v>
      </c>
      <c r="B6" s="148">
        <v>96</v>
      </c>
    </row>
    <row r="7" spans="1:2">
      <c r="A7" s="148" t="s">
        <v>182</v>
      </c>
      <c r="B7" s="148">
        <v>95</v>
      </c>
    </row>
    <row r="8" spans="1:2">
      <c r="A8" s="148" t="s">
        <v>183</v>
      </c>
      <c r="B8" s="148">
        <v>94</v>
      </c>
    </row>
    <row r="9" spans="1:2">
      <c r="A9" s="148" t="s">
        <v>184</v>
      </c>
      <c r="B9" s="148">
        <v>93</v>
      </c>
    </row>
    <row r="10" spans="1:2">
      <c r="A10" s="148" t="s">
        <v>185</v>
      </c>
      <c r="B10" s="148">
        <v>92</v>
      </c>
    </row>
    <row r="11" spans="1:2">
      <c r="A11" s="148" t="s">
        <v>186</v>
      </c>
      <c r="B11" s="148">
        <v>91</v>
      </c>
    </row>
    <row r="12" spans="1:2">
      <c r="A12" s="148" t="s">
        <v>187</v>
      </c>
      <c r="B12" s="148">
        <v>90</v>
      </c>
    </row>
    <row r="13" spans="1:2">
      <c r="A13" s="148" t="s">
        <v>188</v>
      </c>
      <c r="B13" s="148">
        <v>89</v>
      </c>
    </row>
    <row r="14" spans="1:2">
      <c r="A14" s="148" t="s">
        <v>189</v>
      </c>
      <c r="B14" s="148">
        <v>88</v>
      </c>
    </row>
    <row r="15" spans="1:2">
      <c r="A15" s="148" t="s">
        <v>190</v>
      </c>
      <c r="B15" s="148">
        <v>87</v>
      </c>
    </row>
    <row r="16" spans="1:2">
      <c r="A16" s="148" t="s">
        <v>191</v>
      </c>
      <c r="B16" s="148">
        <v>86</v>
      </c>
    </row>
    <row r="17" spans="1:2">
      <c r="A17" s="148" t="s">
        <v>192</v>
      </c>
      <c r="B17" s="148">
        <v>85</v>
      </c>
    </row>
    <row r="18" spans="1:2">
      <c r="A18" s="148" t="s">
        <v>193</v>
      </c>
      <c r="B18" s="148">
        <v>84</v>
      </c>
    </row>
    <row r="19" spans="1:2">
      <c r="A19" s="148" t="s">
        <v>194</v>
      </c>
      <c r="B19" s="148">
        <v>83</v>
      </c>
    </row>
    <row r="20" spans="1:2">
      <c r="A20" s="148" t="s">
        <v>195</v>
      </c>
      <c r="B20" s="148">
        <v>82</v>
      </c>
    </row>
    <row r="21" spans="1:2">
      <c r="A21" s="148" t="s">
        <v>196</v>
      </c>
      <c r="B21" s="148">
        <v>81</v>
      </c>
    </row>
    <row r="22" spans="1:2">
      <c r="A22" s="148" t="s">
        <v>197</v>
      </c>
      <c r="B22" s="148">
        <v>80</v>
      </c>
    </row>
    <row r="23" spans="1:2">
      <c r="A23" s="148" t="s">
        <v>198</v>
      </c>
      <c r="B23" s="148">
        <v>79</v>
      </c>
    </row>
    <row r="24" spans="1:2">
      <c r="A24" s="148" t="s">
        <v>199</v>
      </c>
      <c r="B24" s="148">
        <v>78</v>
      </c>
    </row>
    <row r="25" spans="1:2">
      <c r="A25" s="148" t="s">
        <v>200</v>
      </c>
      <c r="B25" s="148">
        <v>77</v>
      </c>
    </row>
    <row r="26" spans="1:2">
      <c r="A26" s="148" t="s">
        <v>201</v>
      </c>
      <c r="B26" s="148">
        <v>76</v>
      </c>
    </row>
    <row r="27" spans="1:2">
      <c r="A27" s="148" t="s">
        <v>202</v>
      </c>
      <c r="B27" s="148">
        <v>75</v>
      </c>
    </row>
    <row r="28" spans="1:2">
      <c r="A28" s="148" t="s">
        <v>203</v>
      </c>
      <c r="B28" s="148">
        <v>74</v>
      </c>
    </row>
    <row r="29" spans="1:2">
      <c r="A29" s="148" t="s">
        <v>204</v>
      </c>
      <c r="B29" s="148">
        <v>73</v>
      </c>
    </row>
    <row r="30" spans="1:2">
      <c r="A30" s="148" t="s">
        <v>205</v>
      </c>
      <c r="B30" s="148">
        <v>72</v>
      </c>
    </row>
    <row r="31" spans="1:2">
      <c r="A31" s="148" t="s">
        <v>206</v>
      </c>
      <c r="B31" s="148">
        <v>71</v>
      </c>
    </row>
    <row r="32" spans="1:2">
      <c r="A32" s="148" t="s">
        <v>207</v>
      </c>
      <c r="B32" s="148">
        <v>70</v>
      </c>
    </row>
    <row r="33" spans="1:2">
      <c r="A33" s="148" t="s">
        <v>208</v>
      </c>
      <c r="B33" s="148">
        <v>69</v>
      </c>
    </row>
    <row r="34" spans="1:2">
      <c r="A34" s="148" t="s">
        <v>209</v>
      </c>
      <c r="B34" s="148">
        <v>68</v>
      </c>
    </row>
    <row r="35" spans="1:2">
      <c r="A35" s="148" t="s">
        <v>210</v>
      </c>
      <c r="B35" s="148">
        <v>67</v>
      </c>
    </row>
    <row r="36" spans="1:2">
      <c r="A36" s="148" t="s">
        <v>211</v>
      </c>
      <c r="B36" s="148">
        <v>66</v>
      </c>
    </row>
    <row r="37" spans="1:2">
      <c r="A37" s="148" t="s">
        <v>212</v>
      </c>
      <c r="B37" s="148">
        <v>65</v>
      </c>
    </row>
    <row r="38" spans="1:2">
      <c r="A38" s="148" t="s">
        <v>213</v>
      </c>
      <c r="B38" s="148">
        <v>64</v>
      </c>
    </row>
    <row r="39" spans="1:2">
      <c r="A39" s="148" t="s">
        <v>214</v>
      </c>
      <c r="B39" s="148">
        <v>63</v>
      </c>
    </row>
    <row r="40" spans="1:2">
      <c r="A40" s="148" t="s">
        <v>215</v>
      </c>
      <c r="B40" s="148">
        <v>62</v>
      </c>
    </row>
    <row r="41" spans="1:2">
      <c r="A41" s="148" t="s">
        <v>216</v>
      </c>
      <c r="B41" s="148">
        <v>61</v>
      </c>
    </row>
    <row r="42" spans="1:2">
      <c r="A42" s="148" t="s">
        <v>217</v>
      </c>
      <c r="B42" s="148">
        <v>60</v>
      </c>
    </row>
    <row r="43" spans="1:2">
      <c r="A43" s="148" t="s">
        <v>218</v>
      </c>
      <c r="B43" s="148" t="s">
        <v>219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H43"/>
  <sheetViews>
    <sheetView workbookViewId="0">
      <selection activeCell="B10" sqref="B10"/>
    </sheetView>
  </sheetViews>
  <sheetFormatPr defaultColWidth="8.85546875" defaultRowHeight="15"/>
  <cols>
    <col min="1" max="1" width="2" style="149" customWidth="1"/>
    <col min="2" max="2" width="25.28515625" style="149" customWidth="1"/>
    <col min="3" max="5" width="10.7109375" style="149" customWidth="1"/>
    <col min="6" max="6" width="10.140625" style="149" customWidth="1"/>
    <col min="7" max="7" width="8.85546875" style="149"/>
    <col min="8" max="8" width="10.7109375" style="149" customWidth="1"/>
    <col min="9" max="9" width="4.140625" style="149" customWidth="1"/>
    <col min="10" max="11" width="10.7109375" style="149" customWidth="1"/>
    <col min="12" max="19" width="8.85546875" style="149"/>
    <col min="20" max="20" width="8.7109375" style="150" customWidth="1"/>
    <col min="21" max="21" width="2.5703125" style="150" customWidth="1"/>
    <col min="22" max="22" width="8.7109375" style="150" customWidth="1"/>
    <col min="23" max="23" width="20.28515625" style="150" customWidth="1"/>
    <col min="24" max="60" width="8.85546875" style="149"/>
  </cols>
  <sheetData>
    <row r="1" spans="2:23" ht="9" customHeight="1"/>
    <row r="2" spans="2:23" ht="19.899999999999999" customHeight="1">
      <c r="B2" s="151" t="s">
        <v>220</v>
      </c>
      <c r="C2" s="152" t="s">
        <v>221</v>
      </c>
      <c r="D2" s="152" t="s">
        <v>222</v>
      </c>
      <c r="E2" s="152" t="s">
        <v>223</v>
      </c>
      <c r="F2" s="153" t="s">
        <v>224</v>
      </c>
      <c r="H2" s="461" t="s">
        <v>225</v>
      </c>
      <c r="I2" s="253"/>
      <c r="J2" s="253"/>
      <c r="K2" s="253"/>
      <c r="T2" s="462" t="s">
        <v>226</v>
      </c>
      <c r="U2" s="462"/>
      <c r="V2" s="462"/>
      <c r="W2" s="462"/>
    </row>
    <row r="3" spans="2:23" ht="19.899999999999999" customHeight="1">
      <c r="B3" s="154" t="s">
        <v>227</v>
      </c>
      <c r="C3" s="155">
        <v>0.2</v>
      </c>
      <c r="D3" s="155">
        <v>0.5</v>
      </c>
      <c r="E3" s="155">
        <v>0.3</v>
      </c>
      <c r="F3" s="156">
        <f t="shared" ref="F3:F11" si="0">SUM(C3:E3)</f>
        <v>1</v>
      </c>
      <c r="H3" s="157">
        <v>0</v>
      </c>
      <c r="I3" s="157" t="s">
        <v>228</v>
      </c>
      <c r="J3" s="157">
        <v>39.99</v>
      </c>
      <c r="K3" s="158">
        <v>60</v>
      </c>
      <c r="T3" s="159">
        <v>0</v>
      </c>
      <c r="U3" s="159" t="s">
        <v>228</v>
      </c>
      <c r="V3" s="159">
        <v>64</v>
      </c>
      <c r="W3" s="160" t="s">
        <v>229</v>
      </c>
    </row>
    <row r="4" spans="2:23" ht="19.899999999999999" customHeight="1">
      <c r="B4" s="154" t="s">
        <v>230</v>
      </c>
      <c r="C4" s="155">
        <v>0.2</v>
      </c>
      <c r="D4" s="155">
        <v>0.5</v>
      </c>
      <c r="E4" s="155">
        <v>0.3</v>
      </c>
      <c r="F4" s="156">
        <f t="shared" si="0"/>
        <v>1</v>
      </c>
      <c r="H4" s="157">
        <v>40</v>
      </c>
      <c r="I4" s="157" t="s">
        <v>228</v>
      </c>
      <c r="J4" s="157">
        <v>42.99</v>
      </c>
      <c r="K4" s="158">
        <v>61</v>
      </c>
      <c r="T4" s="159">
        <v>65</v>
      </c>
      <c r="U4" s="159" t="s">
        <v>228</v>
      </c>
      <c r="V4" s="159">
        <v>74</v>
      </c>
      <c r="W4" s="160" t="s">
        <v>231</v>
      </c>
    </row>
    <row r="5" spans="2:23" ht="19.899999999999999" customHeight="1">
      <c r="B5" s="154" t="s">
        <v>232</v>
      </c>
      <c r="C5" s="155">
        <v>0.2</v>
      </c>
      <c r="D5" s="155">
        <v>0.5</v>
      </c>
      <c r="E5" s="155">
        <v>0.3</v>
      </c>
      <c r="F5" s="156">
        <f t="shared" si="0"/>
        <v>1</v>
      </c>
      <c r="H5" s="157">
        <v>43</v>
      </c>
      <c r="I5" s="157" t="s">
        <v>228</v>
      </c>
      <c r="J5" s="157">
        <v>45.99</v>
      </c>
      <c r="K5" s="158">
        <v>62</v>
      </c>
      <c r="T5" s="159">
        <v>75</v>
      </c>
      <c r="U5" s="159" t="s">
        <v>228</v>
      </c>
      <c r="V5" s="159">
        <v>79</v>
      </c>
      <c r="W5" s="160" t="s">
        <v>233</v>
      </c>
    </row>
    <row r="6" spans="2:23" ht="19.899999999999999" customHeight="1">
      <c r="B6" s="154" t="s">
        <v>234</v>
      </c>
      <c r="C6" s="155">
        <v>0.2</v>
      </c>
      <c r="D6" s="155">
        <v>0.5</v>
      </c>
      <c r="E6" s="155">
        <v>0.3</v>
      </c>
      <c r="F6" s="156">
        <f t="shared" si="0"/>
        <v>1</v>
      </c>
      <c r="H6" s="157">
        <v>46</v>
      </c>
      <c r="I6" s="157" t="s">
        <v>228</v>
      </c>
      <c r="J6" s="157">
        <v>47.99</v>
      </c>
      <c r="K6" s="158">
        <v>63</v>
      </c>
      <c r="T6" s="159">
        <v>80</v>
      </c>
      <c r="U6" s="159" t="s">
        <v>228</v>
      </c>
      <c r="V6" s="159">
        <v>89</v>
      </c>
      <c r="W6" s="160" t="s">
        <v>235</v>
      </c>
    </row>
    <row r="7" spans="2:23" ht="19.899999999999999" customHeight="1">
      <c r="B7" s="154" t="s">
        <v>236</v>
      </c>
      <c r="C7" s="155">
        <v>0.2</v>
      </c>
      <c r="D7" s="155">
        <v>0.5</v>
      </c>
      <c r="E7" s="155">
        <v>0.3</v>
      </c>
      <c r="F7" s="156">
        <f t="shared" si="0"/>
        <v>1</v>
      </c>
      <c r="H7" s="157">
        <v>48</v>
      </c>
      <c r="I7" s="157" t="s">
        <v>228</v>
      </c>
      <c r="J7" s="157">
        <v>49.99</v>
      </c>
      <c r="K7" s="158">
        <v>64</v>
      </c>
      <c r="T7" s="159">
        <v>90</v>
      </c>
      <c r="U7" s="159" t="s">
        <v>228</v>
      </c>
      <c r="V7" s="159">
        <v>100</v>
      </c>
      <c r="W7" s="160" t="s">
        <v>237</v>
      </c>
    </row>
    <row r="8" spans="2:23" ht="19.899999999999999" customHeight="1">
      <c r="B8" s="154" t="s">
        <v>238</v>
      </c>
      <c r="C8" s="155">
        <v>0.2</v>
      </c>
      <c r="D8" s="155">
        <v>0.5</v>
      </c>
      <c r="E8" s="155">
        <v>0.3</v>
      </c>
      <c r="F8" s="156">
        <f t="shared" si="0"/>
        <v>1</v>
      </c>
      <c r="H8" s="157">
        <v>50</v>
      </c>
      <c r="I8" s="157" t="s">
        <v>228</v>
      </c>
      <c r="J8" s="157">
        <v>51.99</v>
      </c>
      <c r="K8" s="158">
        <v>65</v>
      </c>
    </row>
    <row r="9" spans="2:23" ht="19.899999999999999" customHeight="1">
      <c r="B9" s="161" t="s">
        <v>239</v>
      </c>
      <c r="C9" s="162">
        <v>0.2</v>
      </c>
      <c r="D9" s="162">
        <v>0.6</v>
      </c>
      <c r="E9" s="162">
        <v>0.2</v>
      </c>
      <c r="F9" s="163">
        <f t="shared" si="0"/>
        <v>1</v>
      </c>
      <c r="H9" s="157">
        <v>52</v>
      </c>
      <c r="I9" s="157" t="s">
        <v>228</v>
      </c>
      <c r="J9" s="157">
        <v>53.99</v>
      </c>
      <c r="K9" s="158">
        <v>66</v>
      </c>
    </row>
    <row r="10" spans="2:23" ht="19.899999999999999" customHeight="1">
      <c r="B10" s="161" t="s">
        <v>240</v>
      </c>
      <c r="C10" s="162">
        <v>0.2</v>
      </c>
      <c r="D10" s="162">
        <v>0.6</v>
      </c>
      <c r="E10" s="162">
        <v>0.2</v>
      </c>
      <c r="F10" s="163">
        <f t="shared" si="0"/>
        <v>1</v>
      </c>
      <c r="H10" s="157">
        <v>54</v>
      </c>
      <c r="I10" s="157" t="s">
        <v>228</v>
      </c>
      <c r="J10" s="157">
        <v>55.99</v>
      </c>
      <c r="K10" s="158">
        <v>67</v>
      </c>
    </row>
    <row r="11" spans="2:23" ht="19.899999999999999" customHeight="1">
      <c r="B11" s="161" t="s">
        <v>241</v>
      </c>
      <c r="C11" s="162">
        <v>0.2</v>
      </c>
      <c r="D11" s="162">
        <v>0.5</v>
      </c>
      <c r="E11" s="162">
        <v>0.3</v>
      </c>
      <c r="F11" s="163">
        <f t="shared" si="0"/>
        <v>1</v>
      </c>
      <c r="H11" s="157">
        <v>56</v>
      </c>
      <c r="I11" s="157" t="s">
        <v>228</v>
      </c>
      <c r="J11" s="157">
        <v>57.99</v>
      </c>
      <c r="K11" s="158">
        <v>68</v>
      </c>
    </row>
    <row r="12" spans="2:23" ht="19.899999999999999" customHeight="1">
      <c r="H12" s="157">
        <v>58</v>
      </c>
      <c r="I12" s="157" t="s">
        <v>228</v>
      </c>
      <c r="J12" s="157">
        <v>59.99</v>
      </c>
      <c r="K12" s="158">
        <v>69</v>
      </c>
    </row>
    <row r="13" spans="2:23" ht="19.899999999999999" customHeight="1">
      <c r="H13" s="157">
        <v>60</v>
      </c>
      <c r="I13" s="157" t="s">
        <v>228</v>
      </c>
      <c r="J13" s="157">
        <v>61.99</v>
      </c>
      <c r="K13" s="158">
        <v>70</v>
      </c>
    </row>
    <row r="14" spans="2:23" ht="19.899999999999999" customHeight="1">
      <c r="H14" s="157">
        <v>62</v>
      </c>
      <c r="I14" s="157" t="s">
        <v>228</v>
      </c>
      <c r="J14" s="157">
        <v>63.99</v>
      </c>
      <c r="K14" s="158">
        <v>71</v>
      </c>
    </row>
    <row r="15" spans="2:23" ht="19.899999999999999" customHeight="1">
      <c r="H15" s="157">
        <v>64</v>
      </c>
      <c r="I15" s="157" t="s">
        <v>228</v>
      </c>
      <c r="J15" s="157">
        <v>65.989999999999995</v>
      </c>
      <c r="K15" s="158">
        <v>72</v>
      </c>
    </row>
    <row r="16" spans="2:23" ht="19.899999999999999" customHeight="1">
      <c r="H16" s="157">
        <v>66</v>
      </c>
      <c r="I16" s="157" t="s">
        <v>228</v>
      </c>
      <c r="J16" s="157">
        <v>67.989999999999995</v>
      </c>
      <c r="K16" s="158">
        <v>73</v>
      </c>
    </row>
    <row r="17" spans="8:11" ht="19.899999999999999" customHeight="1">
      <c r="H17" s="157">
        <v>68</v>
      </c>
      <c r="I17" s="157" t="s">
        <v>228</v>
      </c>
      <c r="J17" s="157">
        <v>69.989999999999995</v>
      </c>
      <c r="K17" s="158">
        <v>74</v>
      </c>
    </row>
    <row r="18" spans="8:11" ht="19.899999999999999" customHeight="1">
      <c r="H18" s="157">
        <v>70</v>
      </c>
      <c r="I18" s="157" t="s">
        <v>228</v>
      </c>
      <c r="J18" s="157">
        <v>72.989999999999995</v>
      </c>
      <c r="K18" s="158">
        <v>75</v>
      </c>
    </row>
    <row r="19" spans="8:11" ht="19.899999999999999" customHeight="1">
      <c r="H19" s="157">
        <v>73</v>
      </c>
      <c r="I19" s="157" t="s">
        <v>228</v>
      </c>
      <c r="J19" s="157">
        <v>74.989999999999995</v>
      </c>
      <c r="K19" s="158">
        <v>76</v>
      </c>
    </row>
    <row r="20" spans="8:11" ht="19.899999999999999" customHeight="1">
      <c r="H20" s="157">
        <v>75</v>
      </c>
      <c r="I20" s="157" t="s">
        <v>228</v>
      </c>
      <c r="J20" s="157">
        <v>75.989999999999995</v>
      </c>
      <c r="K20" s="158">
        <v>77</v>
      </c>
    </row>
    <row r="21" spans="8:11" ht="19.899999999999999" customHeight="1">
      <c r="H21" s="157">
        <v>76</v>
      </c>
      <c r="I21" s="157" t="s">
        <v>228</v>
      </c>
      <c r="J21" s="157">
        <v>76.989999999999995</v>
      </c>
      <c r="K21" s="158">
        <v>78</v>
      </c>
    </row>
    <row r="22" spans="8:11" ht="19.899999999999999" customHeight="1">
      <c r="H22" s="157">
        <v>77</v>
      </c>
      <c r="I22" s="157" t="s">
        <v>228</v>
      </c>
      <c r="J22" s="157">
        <v>77.989999999999995</v>
      </c>
      <c r="K22" s="158">
        <v>79</v>
      </c>
    </row>
    <row r="23" spans="8:11" ht="19.899999999999999" customHeight="1">
      <c r="H23" s="157">
        <v>78</v>
      </c>
      <c r="I23" s="157" t="s">
        <v>228</v>
      </c>
      <c r="J23" s="157">
        <v>78.989999999999995</v>
      </c>
      <c r="K23" s="158">
        <v>80</v>
      </c>
    </row>
    <row r="24" spans="8:11" ht="19.899999999999999" customHeight="1">
      <c r="H24" s="157">
        <v>79</v>
      </c>
      <c r="I24" s="157" t="s">
        <v>228</v>
      </c>
      <c r="J24" s="157">
        <v>79.989999999999995</v>
      </c>
      <c r="K24" s="158">
        <v>81</v>
      </c>
    </row>
    <row r="25" spans="8:11" ht="19.899999999999999" customHeight="1">
      <c r="H25" s="157">
        <v>80</v>
      </c>
      <c r="I25" s="157" t="s">
        <v>228</v>
      </c>
      <c r="J25" s="157">
        <v>80.989999999999995</v>
      </c>
      <c r="K25" s="158">
        <v>82</v>
      </c>
    </row>
    <row r="26" spans="8:11" ht="19.899999999999999" customHeight="1">
      <c r="H26" s="157">
        <v>81</v>
      </c>
      <c r="I26" s="157" t="s">
        <v>228</v>
      </c>
      <c r="J26" s="157">
        <v>81.99</v>
      </c>
      <c r="K26" s="158">
        <v>83</v>
      </c>
    </row>
    <row r="27" spans="8:11" ht="19.899999999999999" customHeight="1">
      <c r="H27" s="157">
        <v>82</v>
      </c>
      <c r="I27" s="157" t="s">
        <v>228</v>
      </c>
      <c r="J27" s="157">
        <v>82.99</v>
      </c>
      <c r="K27" s="158">
        <v>84</v>
      </c>
    </row>
    <row r="28" spans="8:11" ht="19.899999999999999" customHeight="1">
      <c r="H28" s="157">
        <v>83</v>
      </c>
      <c r="I28" s="157" t="s">
        <v>228</v>
      </c>
      <c r="J28" s="157">
        <v>83.99</v>
      </c>
      <c r="K28" s="158">
        <v>85</v>
      </c>
    </row>
    <row r="29" spans="8:11" ht="19.899999999999999" customHeight="1">
      <c r="H29" s="157">
        <v>84</v>
      </c>
      <c r="I29" s="157" t="s">
        <v>228</v>
      </c>
      <c r="J29" s="157">
        <v>84.99</v>
      </c>
      <c r="K29" s="158">
        <v>86</v>
      </c>
    </row>
    <row r="30" spans="8:11" ht="19.899999999999999" customHeight="1">
      <c r="H30" s="157">
        <v>85</v>
      </c>
      <c r="I30" s="157" t="s">
        <v>228</v>
      </c>
      <c r="J30" s="157">
        <v>85.99</v>
      </c>
      <c r="K30" s="158">
        <v>87</v>
      </c>
    </row>
    <row r="31" spans="8:11" ht="19.899999999999999" customHeight="1">
      <c r="H31" s="157">
        <v>86</v>
      </c>
      <c r="I31" s="157" t="s">
        <v>228</v>
      </c>
      <c r="J31" s="157">
        <v>86.99</v>
      </c>
      <c r="K31" s="158">
        <v>88</v>
      </c>
    </row>
    <row r="32" spans="8:11" ht="19.899999999999999" customHeight="1">
      <c r="H32" s="157">
        <v>87</v>
      </c>
      <c r="I32" s="157" t="s">
        <v>228</v>
      </c>
      <c r="J32" s="157">
        <v>87.99</v>
      </c>
      <c r="K32" s="158">
        <v>89</v>
      </c>
    </row>
    <row r="33" spans="8:11" ht="19.899999999999999" customHeight="1">
      <c r="H33" s="157">
        <v>88</v>
      </c>
      <c r="I33" s="157" t="s">
        <v>228</v>
      </c>
      <c r="J33" s="157">
        <v>88.99</v>
      </c>
      <c r="K33" s="158">
        <v>90</v>
      </c>
    </row>
    <row r="34" spans="8:11" ht="19.899999999999999" customHeight="1">
      <c r="H34" s="157">
        <v>89</v>
      </c>
      <c r="I34" s="157" t="s">
        <v>228</v>
      </c>
      <c r="J34" s="157">
        <v>89.99</v>
      </c>
      <c r="K34" s="158">
        <v>91</v>
      </c>
    </row>
    <row r="35" spans="8:11" ht="19.899999999999999" customHeight="1">
      <c r="H35" s="157">
        <v>90</v>
      </c>
      <c r="I35" s="157" t="s">
        <v>228</v>
      </c>
      <c r="J35" s="157">
        <v>90.99</v>
      </c>
      <c r="K35" s="158">
        <v>92</v>
      </c>
    </row>
    <row r="36" spans="8:11" ht="19.899999999999999" customHeight="1">
      <c r="H36" s="157">
        <v>91</v>
      </c>
      <c r="I36" s="157" t="s">
        <v>228</v>
      </c>
      <c r="J36" s="157">
        <v>91.99</v>
      </c>
      <c r="K36" s="158">
        <v>93</v>
      </c>
    </row>
    <row r="37" spans="8:11" ht="19.899999999999999" customHeight="1">
      <c r="H37" s="157">
        <v>92</v>
      </c>
      <c r="I37" s="157" t="s">
        <v>228</v>
      </c>
      <c r="J37" s="157">
        <v>92.99</v>
      </c>
      <c r="K37" s="158">
        <v>94</v>
      </c>
    </row>
    <row r="38" spans="8:11" ht="19.899999999999999" customHeight="1">
      <c r="H38" s="157">
        <v>93</v>
      </c>
      <c r="I38" s="157" t="s">
        <v>228</v>
      </c>
      <c r="J38" s="157">
        <v>93.99</v>
      </c>
      <c r="K38" s="158">
        <v>95</v>
      </c>
    </row>
    <row r="39" spans="8:11" ht="19.899999999999999" customHeight="1">
      <c r="H39" s="157">
        <v>94</v>
      </c>
      <c r="I39" s="157" t="s">
        <v>228</v>
      </c>
      <c r="J39" s="157">
        <v>94.99</v>
      </c>
      <c r="K39" s="158">
        <v>96</v>
      </c>
    </row>
    <row r="40" spans="8:11" ht="19.899999999999999" customHeight="1">
      <c r="H40" s="157">
        <v>95</v>
      </c>
      <c r="I40" s="157" t="s">
        <v>228</v>
      </c>
      <c r="J40" s="157">
        <v>95.99</v>
      </c>
      <c r="K40" s="158">
        <v>97</v>
      </c>
    </row>
    <row r="41" spans="8:11" ht="19.899999999999999" customHeight="1">
      <c r="H41" s="157">
        <v>96</v>
      </c>
      <c r="I41" s="157" t="s">
        <v>228</v>
      </c>
      <c r="J41" s="157">
        <v>97.49</v>
      </c>
      <c r="K41" s="158">
        <v>98</v>
      </c>
    </row>
    <row r="42" spans="8:11" ht="19.899999999999999" customHeight="1">
      <c r="H42" s="157">
        <v>97.5</v>
      </c>
      <c r="I42" s="157" t="s">
        <v>228</v>
      </c>
      <c r="J42" s="157">
        <v>99.49</v>
      </c>
      <c r="K42" s="158">
        <v>99</v>
      </c>
    </row>
    <row r="43" spans="8:11" ht="19.899999999999999" customHeight="1">
      <c r="H43" s="157">
        <v>99.5</v>
      </c>
      <c r="I43" s="157" t="s">
        <v>228</v>
      </c>
      <c r="J43" s="157">
        <v>100</v>
      </c>
      <c r="K43" s="158">
        <v>100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H2:K2"/>
    <mergeCell ref="T2:W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H42"/>
  <sheetViews>
    <sheetView workbookViewId="0">
      <selection activeCell="G2" sqref="G2"/>
    </sheetView>
  </sheetViews>
  <sheetFormatPr defaultColWidth="9.140625" defaultRowHeight="15"/>
  <cols>
    <col min="1" max="1" width="50" style="164" customWidth="1"/>
    <col min="2" max="2" width="27.140625" style="164" customWidth="1"/>
    <col min="3" max="3" width="35" style="164" customWidth="1"/>
    <col min="4" max="4" width="34.140625" style="164" customWidth="1"/>
    <col min="5" max="6" width="9.140625" style="164"/>
    <col min="7" max="7" width="9.85546875" style="165" customWidth="1"/>
    <col min="8" max="20" width="9.140625" style="164"/>
    <col min="21" max="21" width="49.140625" style="164" customWidth="1"/>
    <col min="22" max="24" width="9.140625" style="166"/>
    <col min="25" max="60" width="9.140625" style="164"/>
  </cols>
  <sheetData>
    <row r="1" spans="1:24" ht="25.9" customHeight="1">
      <c r="A1" s="167" t="s">
        <v>220</v>
      </c>
      <c r="B1" s="167" t="s">
        <v>242</v>
      </c>
      <c r="C1" s="167" t="s">
        <v>243</v>
      </c>
      <c r="D1" s="168" t="s">
        <v>244</v>
      </c>
      <c r="G1" s="252" t="s">
        <v>225</v>
      </c>
      <c r="H1" s="253"/>
      <c r="I1" s="253"/>
      <c r="J1" s="253"/>
    </row>
    <row r="2" spans="1:24">
      <c r="A2" s="164" t="s">
        <v>227</v>
      </c>
      <c r="B2" s="169">
        <v>0.3</v>
      </c>
      <c r="C2" s="169">
        <v>0.5</v>
      </c>
      <c r="D2" s="169">
        <v>0.2</v>
      </c>
      <c r="E2" s="170">
        <f>SUM(B2:D2)</f>
        <v>1</v>
      </c>
      <c r="G2" s="157">
        <v>0</v>
      </c>
      <c r="H2" s="157" t="s">
        <v>228</v>
      </c>
      <c r="I2" s="157">
        <v>3.99</v>
      </c>
      <c r="J2" s="158">
        <v>60</v>
      </c>
    </row>
    <row r="3" spans="1:24">
      <c r="A3" s="164" t="s">
        <v>230</v>
      </c>
      <c r="B3" s="169">
        <v>0.4</v>
      </c>
      <c r="C3" s="169">
        <v>0.4</v>
      </c>
      <c r="D3" s="169">
        <v>0.2</v>
      </c>
      <c r="E3" s="170">
        <f>SUM(B3:D3)</f>
        <v>1</v>
      </c>
      <c r="G3" s="157">
        <v>4</v>
      </c>
      <c r="H3" s="157" t="s">
        <v>228</v>
      </c>
      <c r="I3" s="157">
        <v>7.99</v>
      </c>
      <c r="J3" s="158">
        <v>61</v>
      </c>
    </row>
    <row r="4" spans="1:24">
      <c r="A4" s="164" t="s">
        <v>232</v>
      </c>
      <c r="B4" s="169">
        <v>0.2</v>
      </c>
      <c r="C4" s="169">
        <v>0.6</v>
      </c>
      <c r="D4" s="169">
        <v>0.2</v>
      </c>
      <c r="E4" s="170">
        <f>SUM(B4:D4)</f>
        <v>1</v>
      </c>
      <c r="G4" s="157">
        <v>8</v>
      </c>
      <c r="H4" s="157" t="s">
        <v>228</v>
      </c>
      <c r="I4" s="157">
        <v>11.99</v>
      </c>
      <c r="J4" s="158">
        <v>62</v>
      </c>
    </row>
    <row r="5" spans="1:24">
      <c r="A5" s="164" t="s">
        <v>234</v>
      </c>
      <c r="G5" s="157">
        <v>12</v>
      </c>
      <c r="H5" s="157" t="s">
        <v>228</v>
      </c>
      <c r="I5" s="157">
        <v>15.99</v>
      </c>
      <c r="J5" s="158">
        <v>63</v>
      </c>
      <c r="V5" s="166" t="s">
        <v>245</v>
      </c>
      <c r="W5" s="166" t="s">
        <v>246</v>
      </c>
      <c r="X5" s="166" t="s">
        <v>247</v>
      </c>
    </row>
    <row r="6" spans="1:24">
      <c r="A6" s="164" t="s">
        <v>236</v>
      </c>
      <c r="G6" s="157">
        <v>16</v>
      </c>
      <c r="H6" s="157" t="s">
        <v>228</v>
      </c>
      <c r="I6" s="157">
        <v>19.989999999999998</v>
      </c>
      <c r="J6" s="158">
        <v>64</v>
      </c>
      <c r="U6" s="164" t="s">
        <v>227</v>
      </c>
      <c r="V6" s="171">
        <v>0.3</v>
      </c>
      <c r="W6" s="171">
        <v>0.5</v>
      </c>
      <c r="X6" s="171">
        <v>0.2</v>
      </c>
    </row>
    <row r="7" spans="1:24">
      <c r="A7" s="164" t="s">
        <v>248</v>
      </c>
      <c r="G7" s="157">
        <v>20</v>
      </c>
      <c r="H7" s="157" t="s">
        <v>228</v>
      </c>
      <c r="I7" s="157">
        <v>23.99</v>
      </c>
      <c r="J7" s="158">
        <v>65</v>
      </c>
      <c r="U7" s="164" t="s">
        <v>230</v>
      </c>
      <c r="V7" s="171">
        <v>0.3</v>
      </c>
      <c r="W7" s="171">
        <v>0.5</v>
      </c>
      <c r="X7" s="171">
        <v>0.2</v>
      </c>
    </row>
    <row r="8" spans="1:24">
      <c r="A8" s="164" t="s">
        <v>249</v>
      </c>
      <c r="G8" s="157">
        <v>24</v>
      </c>
      <c r="H8" s="157" t="s">
        <v>228</v>
      </c>
      <c r="I8" s="157">
        <v>27.99</v>
      </c>
      <c r="J8" s="158">
        <v>66</v>
      </c>
      <c r="U8" s="164" t="s">
        <v>232</v>
      </c>
      <c r="V8" s="171">
        <v>0.4</v>
      </c>
      <c r="W8" s="171">
        <v>0.4</v>
      </c>
      <c r="X8" s="171">
        <v>0.2</v>
      </c>
    </row>
    <row r="9" spans="1:24">
      <c r="A9" s="164" t="s">
        <v>250</v>
      </c>
      <c r="C9" s="164" t="s">
        <v>251</v>
      </c>
      <c r="G9" s="157">
        <v>28</v>
      </c>
      <c r="H9" s="157" t="s">
        <v>228</v>
      </c>
      <c r="I9" s="157">
        <v>31.99</v>
      </c>
      <c r="J9" s="158">
        <v>67</v>
      </c>
      <c r="U9" s="164" t="s">
        <v>234</v>
      </c>
      <c r="V9" s="171">
        <v>0.4</v>
      </c>
      <c r="W9" s="171">
        <v>0.4</v>
      </c>
      <c r="X9" s="171">
        <v>0.2</v>
      </c>
    </row>
    <row r="10" spans="1:24">
      <c r="C10" s="164" t="s">
        <v>252</v>
      </c>
      <c r="G10" s="157">
        <v>32</v>
      </c>
      <c r="H10" s="157" t="s">
        <v>228</v>
      </c>
      <c r="I10" s="157">
        <v>35.99</v>
      </c>
      <c r="J10" s="158">
        <v>68</v>
      </c>
      <c r="U10" s="164" t="s">
        <v>236</v>
      </c>
      <c r="V10" s="171">
        <v>0.3</v>
      </c>
      <c r="W10" s="171">
        <v>0.5</v>
      </c>
      <c r="X10" s="171">
        <v>0.2</v>
      </c>
    </row>
    <row r="11" spans="1:24">
      <c r="C11" s="164" t="s">
        <v>253</v>
      </c>
      <c r="G11" s="157">
        <v>36</v>
      </c>
      <c r="H11" s="157" t="s">
        <v>228</v>
      </c>
      <c r="I11" s="157">
        <v>39.99</v>
      </c>
      <c r="J11" s="158">
        <v>69</v>
      </c>
      <c r="U11" s="164" t="s">
        <v>248</v>
      </c>
      <c r="V11" s="171">
        <v>0.3</v>
      </c>
      <c r="W11" s="171">
        <v>0.5</v>
      </c>
      <c r="X11" s="171">
        <v>0.2</v>
      </c>
    </row>
    <row r="12" spans="1:24">
      <c r="C12" s="164" t="s">
        <v>254</v>
      </c>
      <c r="G12" s="157">
        <v>40</v>
      </c>
      <c r="H12" s="157" t="s">
        <v>228</v>
      </c>
      <c r="I12" s="157">
        <v>43.99</v>
      </c>
      <c r="J12" s="158">
        <v>70</v>
      </c>
      <c r="U12" s="164" t="s">
        <v>249</v>
      </c>
      <c r="V12" s="171">
        <v>0.2</v>
      </c>
      <c r="W12" s="171">
        <v>0.6</v>
      </c>
      <c r="X12" s="171">
        <v>0.2</v>
      </c>
    </row>
    <row r="13" spans="1:24">
      <c r="G13" s="157">
        <v>44</v>
      </c>
      <c r="H13" s="157" t="s">
        <v>228</v>
      </c>
      <c r="I13" s="157">
        <v>47.99</v>
      </c>
      <c r="J13" s="158">
        <v>71</v>
      </c>
      <c r="U13" s="164" t="s">
        <v>250</v>
      </c>
      <c r="V13" s="171">
        <v>0.3</v>
      </c>
      <c r="W13" s="171">
        <v>0.5</v>
      </c>
      <c r="X13" s="171">
        <v>0.2</v>
      </c>
    </row>
    <row r="14" spans="1:24">
      <c r="G14" s="157">
        <v>48</v>
      </c>
      <c r="H14" s="157" t="s">
        <v>228</v>
      </c>
      <c r="I14" s="157">
        <v>51.99</v>
      </c>
      <c r="J14" s="158">
        <v>72</v>
      </c>
    </row>
    <row r="15" spans="1:24">
      <c r="G15" s="157">
        <v>52</v>
      </c>
      <c r="H15" s="157" t="s">
        <v>228</v>
      </c>
      <c r="I15" s="157">
        <v>55.99</v>
      </c>
      <c r="J15" s="158">
        <v>73</v>
      </c>
      <c r="U15" s="164" t="str">
        <f>U6&amp;U7&amp;U8&amp;U9&amp;U10&amp;U11&amp;U12&amp;U13</f>
        <v>FILIPINOENGLISHMATHEMATICSSCIENCEARALING PANLIPUNANEDUKASYON SA PAGPAPAKATAOEDUKASYONG PANTAHANAN AT PANGKABUHAYANMOTHER TONGUE</v>
      </c>
    </row>
    <row r="16" spans="1:24">
      <c r="G16" s="157">
        <v>56</v>
      </c>
      <c r="H16" s="157" t="s">
        <v>228</v>
      </c>
      <c r="I16" s="157">
        <v>59.99</v>
      </c>
      <c r="J16" s="158">
        <v>74</v>
      </c>
      <c r="U16" s="164" t="s">
        <v>255</v>
      </c>
    </row>
    <row r="17" spans="7:10">
      <c r="G17" s="157">
        <v>60</v>
      </c>
      <c r="H17" s="157" t="s">
        <v>228</v>
      </c>
      <c r="I17" s="157">
        <v>61.59</v>
      </c>
      <c r="J17" s="158">
        <v>75</v>
      </c>
    </row>
    <row r="18" spans="7:10">
      <c r="G18" s="157">
        <v>61.6</v>
      </c>
      <c r="H18" s="157" t="s">
        <v>228</v>
      </c>
      <c r="I18" s="157">
        <v>63.19</v>
      </c>
      <c r="J18" s="158">
        <v>76</v>
      </c>
    </row>
    <row r="19" spans="7:10">
      <c r="G19" s="157">
        <v>63.2</v>
      </c>
      <c r="H19" s="157" t="s">
        <v>228</v>
      </c>
      <c r="I19" s="157">
        <v>64.790000000000006</v>
      </c>
      <c r="J19" s="158">
        <v>77</v>
      </c>
    </row>
    <row r="20" spans="7:10">
      <c r="G20" s="157">
        <v>64.8</v>
      </c>
      <c r="H20" s="157" t="s">
        <v>228</v>
      </c>
      <c r="I20" s="157">
        <v>66.39</v>
      </c>
      <c r="J20" s="158">
        <v>78</v>
      </c>
    </row>
    <row r="21" spans="7:10">
      <c r="G21" s="157">
        <v>66.400000000000006</v>
      </c>
      <c r="H21" s="157" t="s">
        <v>228</v>
      </c>
      <c r="I21" s="157">
        <v>67.989999999999995</v>
      </c>
      <c r="J21" s="158">
        <v>79</v>
      </c>
    </row>
    <row r="22" spans="7:10">
      <c r="G22" s="157">
        <v>68</v>
      </c>
      <c r="H22" s="157" t="s">
        <v>228</v>
      </c>
      <c r="I22" s="157">
        <v>69.59</v>
      </c>
      <c r="J22" s="158">
        <v>80</v>
      </c>
    </row>
    <row r="23" spans="7:10">
      <c r="G23" s="157">
        <v>69.599999999999994</v>
      </c>
      <c r="H23" s="157" t="s">
        <v>228</v>
      </c>
      <c r="I23" s="157">
        <v>71.19</v>
      </c>
      <c r="J23" s="158">
        <v>81</v>
      </c>
    </row>
    <row r="24" spans="7:10">
      <c r="G24" s="157">
        <v>71.2</v>
      </c>
      <c r="H24" s="157" t="s">
        <v>228</v>
      </c>
      <c r="I24" s="157">
        <v>72.790000000000006</v>
      </c>
      <c r="J24" s="158">
        <v>82</v>
      </c>
    </row>
    <row r="25" spans="7:10">
      <c r="G25" s="157">
        <v>72.8</v>
      </c>
      <c r="H25" s="157" t="s">
        <v>228</v>
      </c>
      <c r="I25" s="157">
        <v>74.39</v>
      </c>
      <c r="J25" s="158">
        <v>83</v>
      </c>
    </row>
    <row r="26" spans="7:10">
      <c r="G26" s="157">
        <v>74.400000000000006</v>
      </c>
      <c r="H26" s="157" t="s">
        <v>228</v>
      </c>
      <c r="I26" s="157">
        <v>75.989999999999995</v>
      </c>
      <c r="J26" s="158">
        <v>84</v>
      </c>
    </row>
    <row r="27" spans="7:10">
      <c r="G27" s="157">
        <v>76</v>
      </c>
      <c r="H27" s="157" t="s">
        <v>228</v>
      </c>
      <c r="I27" s="157">
        <v>77.59</v>
      </c>
      <c r="J27" s="158">
        <v>85</v>
      </c>
    </row>
    <row r="28" spans="7:10">
      <c r="G28" s="157">
        <v>77.599999999999994</v>
      </c>
      <c r="H28" s="157" t="s">
        <v>228</v>
      </c>
      <c r="I28" s="157">
        <v>79.19</v>
      </c>
      <c r="J28" s="158">
        <v>86</v>
      </c>
    </row>
    <row r="29" spans="7:10">
      <c r="G29" s="157">
        <v>79.2</v>
      </c>
      <c r="H29" s="157" t="s">
        <v>228</v>
      </c>
      <c r="I29" s="157">
        <v>80.790000000000006</v>
      </c>
      <c r="J29" s="158">
        <v>87</v>
      </c>
    </row>
    <row r="30" spans="7:10">
      <c r="G30" s="157">
        <v>80.8</v>
      </c>
      <c r="H30" s="157" t="s">
        <v>228</v>
      </c>
      <c r="I30" s="157">
        <v>82.39</v>
      </c>
      <c r="J30" s="158">
        <v>88</v>
      </c>
    </row>
    <row r="31" spans="7:10">
      <c r="G31" s="157">
        <v>82.4</v>
      </c>
      <c r="H31" s="157" t="s">
        <v>228</v>
      </c>
      <c r="I31" s="157">
        <v>83.99</v>
      </c>
      <c r="J31" s="158">
        <v>89</v>
      </c>
    </row>
    <row r="32" spans="7:10">
      <c r="G32" s="157">
        <v>84</v>
      </c>
      <c r="H32" s="157" t="s">
        <v>228</v>
      </c>
      <c r="I32" s="157">
        <v>85.59</v>
      </c>
      <c r="J32" s="158">
        <v>90</v>
      </c>
    </row>
    <row r="33" spans="7:10">
      <c r="G33" s="157">
        <v>85.6</v>
      </c>
      <c r="H33" s="157" t="s">
        <v>228</v>
      </c>
      <c r="I33" s="157">
        <v>87.19</v>
      </c>
      <c r="J33" s="158">
        <v>91</v>
      </c>
    </row>
    <row r="34" spans="7:10">
      <c r="G34" s="157">
        <v>87.2</v>
      </c>
      <c r="H34" s="157" t="s">
        <v>228</v>
      </c>
      <c r="I34" s="157">
        <v>88.79</v>
      </c>
      <c r="J34" s="158">
        <v>92</v>
      </c>
    </row>
    <row r="35" spans="7:10">
      <c r="G35" s="157">
        <v>88.8</v>
      </c>
      <c r="H35" s="157" t="s">
        <v>228</v>
      </c>
      <c r="I35" s="157">
        <v>90.39</v>
      </c>
      <c r="J35" s="158">
        <v>93</v>
      </c>
    </row>
    <row r="36" spans="7:10">
      <c r="G36" s="157">
        <v>90.4</v>
      </c>
      <c r="H36" s="157" t="s">
        <v>228</v>
      </c>
      <c r="I36" s="157">
        <v>91.99</v>
      </c>
      <c r="J36" s="158">
        <v>94</v>
      </c>
    </row>
    <row r="37" spans="7:10">
      <c r="G37" s="157">
        <v>92</v>
      </c>
      <c r="H37" s="157" t="s">
        <v>228</v>
      </c>
      <c r="I37" s="157">
        <v>93.59</v>
      </c>
      <c r="J37" s="158">
        <v>95</v>
      </c>
    </row>
    <row r="38" spans="7:10">
      <c r="G38" s="157">
        <v>93.6</v>
      </c>
      <c r="H38" s="157" t="s">
        <v>228</v>
      </c>
      <c r="I38" s="157">
        <v>95.19</v>
      </c>
      <c r="J38" s="158">
        <v>96</v>
      </c>
    </row>
    <row r="39" spans="7:10">
      <c r="G39" s="157">
        <v>95.2</v>
      </c>
      <c r="H39" s="157" t="s">
        <v>228</v>
      </c>
      <c r="I39" s="157">
        <v>96.79</v>
      </c>
      <c r="J39" s="158">
        <v>97</v>
      </c>
    </row>
    <row r="40" spans="7:10">
      <c r="G40" s="157">
        <v>96.8</v>
      </c>
      <c r="H40" s="157" t="s">
        <v>228</v>
      </c>
      <c r="I40" s="157">
        <v>98.39</v>
      </c>
      <c r="J40" s="158">
        <v>98</v>
      </c>
    </row>
    <row r="41" spans="7:10">
      <c r="G41" s="157">
        <v>98.4</v>
      </c>
      <c r="H41" s="157" t="s">
        <v>228</v>
      </c>
      <c r="I41" s="157">
        <v>99.99</v>
      </c>
      <c r="J41" s="158">
        <v>99</v>
      </c>
    </row>
    <row r="42" spans="7:10">
      <c r="G42" s="157">
        <v>100</v>
      </c>
      <c r="H42" s="157" t="s">
        <v>228</v>
      </c>
      <c r="I42" s="157"/>
      <c r="J42" s="158">
        <v>100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G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11</vt:i4>
      </vt:variant>
    </vt:vector>
  </HeadingPairs>
  <TitlesOfParts>
    <vt:vector size="20" baseType="lpstr">
      <vt:lpstr>INPUT</vt:lpstr>
      <vt:lpstr>TERM1</vt:lpstr>
      <vt:lpstr>TERM2</vt:lpstr>
      <vt:lpstr>TERM3</vt:lpstr>
      <vt:lpstr>SUMMARY OF GRADES</vt:lpstr>
      <vt:lpstr>Sheet1</vt:lpstr>
      <vt:lpstr>Sheet2</vt:lpstr>
      <vt:lpstr>Helper (Do Not Delete)</vt:lpstr>
      <vt:lpstr>DO NOT DELETE</vt:lpstr>
      <vt:lpstr>DESCRIPTORS</vt:lpstr>
      <vt:lpstr>FemaleLearners</vt:lpstr>
      <vt:lpstr>MaleLearners</vt:lpstr>
      <vt:lpstr>NewTransmu</vt:lpstr>
      <vt:lpstr>INPUT!Print_Area</vt:lpstr>
      <vt:lpstr>'SUMMARY OF GRADES'!Print_Area</vt:lpstr>
      <vt:lpstr>TERM1!Print_Area</vt:lpstr>
      <vt:lpstr>TERM2!Print_Area</vt:lpstr>
      <vt:lpstr>TERM3!Print_Area</vt:lpstr>
      <vt:lpstr>T1_Names</vt:lpstr>
      <vt:lpstr>TRANSMUTATION_TABLE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Teacher Elena</dc:creator>
  <cp:keywords/>
  <dc:description/>
  <cp:lastModifiedBy>Rhenel Jhon Sajol</cp:lastModifiedBy>
  <dcterms:created xsi:type="dcterms:W3CDTF">2015-06-02T20:29:55Z</dcterms:created>
  <dcterms:modified xsi:type="dcterms:W3CDTF">2026-06-26T05:17:46Z</dcterms:modified>
  <cp:category/>
</cp:coreProperties>
</file>