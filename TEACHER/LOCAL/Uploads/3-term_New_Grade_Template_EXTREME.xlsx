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<sst xmlns="http://schemas.openxmlformats.org/spreadsheetml/2006/main" count="16899" uniqueCount="164">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</sst>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2">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s>
  <printOptions horizontalCentered="1"/>
  <pageMargins left="0.7" right="0.7" top="0.75" bottom="0.75"/>
  <pageSetup/>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c>
      <c r="AU13" s="42" t="e">
        <f t="shared" ref="AU13:AU78" si="11">(S13/$S$10)*100</f>
      </c>
      <c r="AV13" s="42" t="e">
        <f t="shared" ref="AV13:AV78" si="12">(T13/$T$10)*100</f>
      </c>
      <c r="AX13" s="6"/>
    </row>
    <row r="14" spans="1:50" ht="18" customHeight="1">
      <c r="A14" s="91"/>
      <c r="B14" s="191"/>
      <c r="C14" s="36">
        <f>INPUT!B12</f>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c>
      <c r="AE27" s="109" t="e">
        <f>_xlfn.STDEV.S(T13:T115)</f>
      </c>
      <c r="AR27" s="50"/>
      <c r="AT27" s="42" t="e">
        <f t="shared" si="10"/>
        <v>#DIV/0!</v>
      </c>
      <c r="AU27" s="42" t="e">
        <f t="shared" si="11"/>
        <v>#DIV/0!</v>
      </c>
      <c r="AV27" s="42" t="e">
        <f t="shared" si="12"/>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7" right="0.7" top="0.75" bottom="0.75"/>
  <pageSetup/>
  <rowBreaks count="1" manualBreakCount="1">
    <brk id="63" max="27" man="1"/>
  </rowBreaks>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c>
      <c r="AD15" s="101">
        <f>COUNTA(S13:S115)</f>
      </c>
      <c r="AE15" s="101">
        <f>COUNTA(T13:T115)</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c>
      <c r="AD19" s="106">
        <f>COUNTIF(AU13:AU115,"&gt;=75")</f>
      </c>
      <c r="AE19" s="106">
        <f>COUNTIF(AV13:AV115,"&gt;=75")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c>
      <c r="AE27" s="109" t="e">
        <f>_xlfn.STDEV.S(T13:T115)</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c>
      <c r="AU64" s="42" t="e">
        <f>(S64/$S$10)*100</f>
      </c>
      <c r="AV64" s="42" t="e">
        <f>(T64/$T$10)*100</f>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7" right="0.7" top="0.75" bottom="0.75"/>
  <pageSetup/>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c>
      <c r="E4" s="318"/>
      <c r="F4" s="337" t="s">
        <v>3</v>
      </c>
      <c r="G4" s="338"/>
      <c r="H4" s="339"/>
      <c r="I4" s="316" t="str">
        <f>INPUT!L4</f>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c>
      <c r="E5" s="317"/>
      <c r="F5" s="317"/>
      <c r="G5" s="317"/>
      <c r="H5" s="317"/>
      <c r="I5" s="317"/>
      <c r="J5" s="317"/>
      <c r="K5" s="317"/>
      <c r="L5" s="318"/>
      <c r="M5" s="52"/>
      <c r="N5" s="276" t="s">
        <v>6</v>
      </c>
      <c r="O5" s="319"/>
      <c r="P5" s="320">
        <f>INPUT!S5</f>
      </c>
      <c r="Q5" s="321"/>
      <c r="R5" s="322"/>
      <c r="S5" s="323" t="s">
        <v>7</v>
      </c>
      <c r="T5" s="280"/>
      <c r="U5" s="280"/>
      <c r="V5" s="324"/>
      <c r="W5" s="320" t="str">
        <f>INPUT!Y5</f>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c>
      <c r="J7" s="325"/>
      <c r="K7" s="326"/>
      <c r="L7" s="327" t="s">
        <v>9</v>
      </c>
      <c r="M7" s="273"/>
      <c r="N7" s="273"/>
      <c r="O7" s="328" t="str">
        <f>INPUT!Q7</f>
      </c>
      <c r="P7" s="328"/>
      <c r="Q7" s="329"/>
      <c r="R7" s="330" t="s">
        <v>10</v>
      </c>
      <c r="S7" s="331"/>
      <c r="T7" s="331"/>
      <c r="U7" s="328" t="str">
        <f>INPUT!Y7</f>
      </c>
      <c r="V7" s="328"/>
      <c r="W7" s="329"/>
      <c r="X7" s="196"/>
      <c r="Y7" s="6"/>
    </row>
    <row r="8" spans="1:50" s="4" customFormat="1" ht="46.9" customHeight="1">
      <c r="A8" s="350"/>
      <c r="B8" s="352" t="s">
        <v>128</v>
      </c>
      <c r="C8" s="354" t="s">
        <v>11</v>
      </c>
      <c r="D8" s="356" t="str">
        <f>INPUT!AC7 &amp; " (" &amp; TEXT(INPUT!AK7, "0%") &amp; ")"</f>
      </c>
      <c r="E8" s="357"/>
      <c r="F8" s="357"/>
      <c r="G8" s="357"/>
      <c r="H8" s="357"/>
      <c r="I8" s="357"/>
      <c r="J8" s="357"/>
      <c r="K8" s="358"/>
      <c r="L8" s="332" t="str">
        <f>INPUT!AC8 &amp; " (" &amp; TEXT(INPUT!AK8, "0%") &amp; ")"</f>
      </c>
      <c r="M8" s="333"/>
      <c r="N8" s="333"/>
      <c r="O8" s="333"/>
      <c r="P8" s="333"/>
      <c r="Q8" s="334"/>
      <c r="R8" s="332" t="str">
        <f>INPUT!AC10 &amp; " (" &amp; TEXT(INPUT!AK10, "0%") &amp; ")"</f>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c>
      <c r="L10" s="64"/>
      <c r="M10" s="65"/>
      <c r="N10" s="65"/>
      <c r="O10" s="58" t="str">
        <f>IF(COUNT($L10:$N10)=0,"",SUM($L10:$N10))</f>
        <v/>
      </c>
      <c r="P10" s="59">
        <v>100</v>
      </c>
      <c r="Q10" s="66">
        <f>INPUT!AK8</f>
      </c>
      <c r="R10" s="67"/>
      <c r="S10" s="68"/>
      <c r="T10" s="65"/>
      <c r="U10" s="69">
        <f t="array" ref="U10">IF(COUNT($R10:$T10=0),"",SUM($R10:$T10))</f>
      </c>
      <c r="V10" s="59">
        <v>100</v>
      </c>
      <c r="W10" s="66">
        <f>INPUT!AK10</f>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c>
      <c r="AU13" s="42" t="e">
        <f>(S13/$S$10)*100</f>
      </c>
      <c r="AV13" s="42" t="e">
        <f>(T13/$T$10)*100</f>
      </c>
      <c r="AX13" s="6"/>
    </row>
    <row r="14" spans="1:50" ht="18" customHeight="1">
      <c r="A14" s="91"/>
      <c r="B14" s="191"/>
      <c r="C14" s="36">
        <f>INPUT!B12</f>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c>
      <c r="AU14" s="42" t="e">
        <f t="shared" ref="AU14:AU78" si="13">(S14/$S$10)*100</f>
      </c>
      <c r="AV14" s="42" t="e">
        <f t="shared" ref="AV14:AV78" si="14">(T14/$T$10)*100</f>
      </c>
      <c r="AX14" s="6"/>
    </row>
    <row r="15" spans="1:50" ht="18" customHeight="1">
      <c r="A15" s="91"/>
      <c r="B15" s="191"/>
      <c r="C15" s="36">
        <f>INPUT!B13</f>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c>
      <c r="AD15" s="101">
        <f>COUNTA(S13:S116)</f>
      </c>
      <c r="AE15" s="101">
        <f>COUNTA(T13:T116)</f>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c>
      <c r="AD16" s="101">
        <f>S10</f>
      </c>
      <c r="AE16" s="101">
        <f>T10</f>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c>
      <c r="AD19" s="106">
        <f>COUNTIF(AU13:AU116,"&gt;=75")</f>
      </c>
      <c r="AE19" s="106">
        <f>COUNTIF(AV13:AV116,"&gt;=75")</f>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c>
      <c r="AD21" s="106">
        <f>AD15-AD19</f>
      </c>
      <c r="AE21" s="106">
        <f>AE15-AE19</f>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c>
      <c r="AE27" s="109" t="e">
        <f>_xlfn.STDEV.S(T13:T116)</f>
      </c>
      <c r="AR27" s="50"/>
      <c r="AT27" s="42" t="e">
        <f t="shared" si="12"/>
        <v>#DIV/0!</v>
      </c>
      <c r="AU27" s="42" t="e">
        <f t="shared" si="13"/>
        <v>#DIV/0!</v>
      </c>
      <c r="AV27" s="42" t="e">
        <f t="shared" si="14"/>
        <v>#DIV/0!</v>
      </c>
      <c r="AX27" s="6"/>
    </row>
    <row r="28" spans="1:50" ht="18" customHeight="1">
      <c r="A28" s="91"/>
      <c r="B28" s="191"/>
      <c r="C28" s="36">
        <f>INPUT!B26</f>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c>
      <c r="AU79" s="42" t="e">
        <f t="shared" ref="AU79:AU116" si="26">(S79/$S$10)*100</f>
      </c>
      <c r="AV79" s="42" t="e">
        <f t="shared" ref="AV79:AV116" si="27">(T79/$T$10)*100</f>
      </c>
      <c r="AX79" s="6"/>
    </row>
    <row r="80" spans="1:50" ht="18" customHeight="1">
      <c r="A80" s="91"/>
      <c r="B80" s="191"/>
      <c r="C80" s="36">
        <f>INPUT!B76</f>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7" right="0.7" top="0.75" bottom="0.75"/>
  <pageSetup/>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c>
      <c r="H5" s="277"/>
      <c r="I5" s="277"/>
      <c r="J5" s="278"/>
      <c r="K5" s="134"/>
      <c r="L5" s="408" t="s">
        <v>3</v>
      </c>
      <c r="M5" s="409"/>
      <c r="N5" s="410"/>
      <c r="O5" s="407" t="str">
        <f>INPUT!L4</f>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c>
      <c r="H6" s="277"/>
      <c r="I6" s="277"/>
      <c r="J6" s="277"/>
      <c r="K6" s="277"/>
      <c r="L6" s="277"/>
      <c r="M6" s="277"/>
      <c r="N6" s="277"/>
      <c r="O6" s="277"/>
      <c r="P6" s="277"/>
      <c r="Q6" s="277"/>
      <c r="R6" s="278"/>
      <c r="S6" s="411" t="s">
        <v>6</v>
      </c>
      <c r="T6" s="281"/>
      <c r="U6" s="281"/>
      <c r="V6" s="281"/>
      <c r="W6" s="414">
        <f>INPUT!S5</f>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c>
      <c r="L8" s="396"/>
      <c r="M8" s="396"/>
      <c r="N8" s="396"/>
      <c r="O8" s="396"/>
      <c r="P8" s="396"/>
      <c r="Q8" s="396"/>
      <c r="R8" s="303"/>
      <c r="S8" s="398" t="s">
        <v>40</v>
      </c>
      <c r="T8" s="396"/>
      <c r="U8" s="396"/>
      <c r="V8" s="396"/>
      <c r="W8" s="397" t="str">
        <f>INPUT!Y5</f>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c>
      <c r="L9" s="391"/>
      <c r="M9" s="391"/>
      <c r="N9" s="391"/>
      <c r="O9" s="391"/>
      <c r="P9" s="391"/>
      <c r="Q9" s="391"/>
      <c r="R9" s="392"/>
      <c r="S9" s="398" t="s">
        <v>10</v>
      </c>
      <c r="T9" s="396"/>
      <c r="U9" s="396"/>
      <c r="V9" s="396"/>
      <c r="W9" s="400" t="str">
        <f>INPUT!Y7</f>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7" right="0.7" top="0.75" bottom="0.75"/>
  <pageSetup/>
  <rowBreaks count="1" manualBreakCount="1">
    <brk id="64" max="27" man="1"/>
  </rowBreaks>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pageMargins left="0.7" right="0.7" top="0.75" bottom="0.75"/>
  <pageSetup/>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pageSetup/>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pageSetup/>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c>
      <c r="G2" s="164">
        <v>0</v>
      </c>
      <c r="H2" s="164" t="s">
        <v>95</v>
      </c>
      <c r="I2" s="164">
        <v>3.99</v>
      </c>
      <c r="J2" s="165">
        <v>60</v>
      </c>
    </row>
    <row r="3" spans="1:24">
      <c r="A3" s="171" t="s">
        <v>97</v>
      </c>
      <c r="B3" s="176">
        <v>0.4</v>
      </c>
      <c r="C3" s="176">
        <v>0.4</v>
      </c>
      <c r="D3" s="176">
        <v>0.2</v>
      </c>
      <c r="E3" s="177">
        <f>SUM(B3:D3)</f>
      </c>
      <c r="G3" s="164">
        <v>4</v>
      </c>
      <c r="H3" s="164" t="s">
        <v>95</v>
      </c>
      <c r="I3" s="164">
        <v>7.99</v>
      </c>
      <c r="J3" s="165">
        <v>61</v>
      </c>
    </row>
    <row r="4" spans="1:24">
      <c r="A4" s="171" t="s">
        <v>99</v>
      </c>
      <c r="B4" s="176">
        <v>0.2</v>
      </c>
      <c r="C4" s="176">
        <v>0.6</v>
      </c>
      <c r="D4" s="176">
        <v>0.2</v>
      </c>
      <c r="E4" s="177">
        <f>SUM(B4:D4)</f>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pageSetup/>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