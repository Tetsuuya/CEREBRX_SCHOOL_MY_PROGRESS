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<sst xmlns="http://schemas.openxmlformats.org/spreadsheetml/2006/main" count="16899" uniqueCount="164">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</sst>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000-000000000000}">
  <sheetPr>
    <tabColor rgb="FFFF9933"/>
  </sheetPr>
  <dimension ref="A1:BH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60"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60"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60"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60"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60"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60"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60"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60"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60"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60"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60"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60"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60"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60"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row>
    <row r="62" spans="1:60"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60"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60"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50">
    <mergeCell ref="B63:D63"/>
    <mergeCell ref="F63:I63"/>
    <mergeCell ref="B112:D112"/>
    <mergeCell ref="F62:I62"/>
    <mergeCell ref="J62:M62"/>
    <mergeCell ref="N62:Q62"/>
    <mergeCell ref="R62:U62"/>
    <mergeCell ref="V62:Y62"/>
    <mergeCell ref="Z62:AB62"/>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2">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s>
  <printOptions horizontalCentered="1"/>
  <pageMargins left="0.25" right="0.25" top="0.5" bottom="0.25" header="0.31496062992126" footer="0.31496062992126"/>
  <pageSetup paperSize="9" scale="83" orientation="landscape" verticalDpi="300"/>
  <rowBreaks count="1" manualBreakCount="1">
    <brk id="60" max="22" man="1"/>
  </rowBreaks>
</worksheet>
</file>

<file path=xl/worksheets/sheet2.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c>
      <c r="AU13" s="42" t="e">
        <f t="shared" ref="AU13:AU78" si="11">(S13/$S$10)*100</f>
      </c>
      <c r="AV13" s="42" t="e">
        <f t="shared" ref="AV13:AV78" si="12">(T13/$T$10)*100</f>
      </c>
      <c r="AX13" s="6"/>
    </row>
    <row r="14" spans="1:50" ht="18" customHeight="1">
      <c r="A14" s="91"/>
      <c r="B14" s="191"/>
      <c r="C14" s="36">
        <f>INPUT!B12</f>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c>
      <c r="AE27" s="109" t="e">
        <f>_xlfn.STDEV.S(T13:T115)</f>
      </c>
      <c r="AR27" s="50"/>
      <c r="AT27" s="42" t="e">
        <f t="shared" si="10"/>
        <v>#DIV/0!</v>
      </c>
      <c r="AU27" s="42" t="e">
        <f t="shared" si="11"/>
        <v>#DIV/0!</v>
      </c>
      <c r="AV27" s="42" t="e">
        <f t="shared" si="12"/>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25" right="0.25" top="0.5" bottom="0.25" header="0.31496062992126" footer="0.31496062992126"/>
  <pageSetup paperSize="9" scale="73" orientation="landscape" verticalDpi="300" r:id="rId1"/>
  <rowBreaks count="1" manualBreakCount="1">
    <brk id="63" max="27" man="1"/>
  </rowBreaks>
  <drawing r:id="rId2"/>
</worksheet>
</file>

<file path=xl/worksheets/sheet3.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c>
      <c r="AE27" s="109" t="e">
        <f>_xlfn.STDEV.S(T13:T115)</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4.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c>
      <c r="AD15" s="101">
        <f>COUNTA(S13:S116)</f>
      </c>
      <c r="AE15" s="101">
        <f>COUNTA(T13:T116)</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c>
      <c r="AD19" s="106">
        <f>COUNTIF(AU13:AU116,"&gt;=75")</f>
      </c>
      <c r="AE19" s="106">
        <f>COUNTIF(AV13:AV116,"&gt;=75")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c>
      <c r="AE27" s="109" t="e">
        <f>_xlfn.STDEV.S(T13:T116)</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5.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500-000000000000}">
  <sheetPr>
    <tabColor rgb="FFFF9933"/>
  </sheetPr>
  <dimension ref="A1:BH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60"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c>
      <c r="H5" s="277"/>
      <c r="I5" s="277"/>
      <c r="J5" s="278"/>
      <c r="K5" s="134"/>
      <c r="L5" s="408" t="s">
        <v>3</v>
      </c>
      <c r="M5" s="409"/>
      <c r="N5" s="410"/>
      <c r="O5" s="407" t="str">
        <f>INPUT!L4</f>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c>
      <c r="H6" s="277"/>
      <c r="I6" s="277"/>
      <c r="J6" s="277"/>
      <c r="K6" s="277"/>
      <c r="L6" s="277"/>
      <c r="M6" s="277"/>
      <c r="N6" s="277"/>
      <c r="O6" s="277"/>
      <c r="P6" s="277"/>
      <c r="Q6" s="277"/>
      <c r="R6" s="278"/>
      <c r="S6" s="411" t="s">
        <v>6</v>
      </c>
      <c r="T6" s="281"/>
      <c r="U6" s="281"/>
      <c r="V6" s="281"/>
      <c r="W6" s="414">
        <f>INPUT!S5</f>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c>
      <c r="L8" s="396"/>
      <c r="M8" s="396"/>
      <c r="N8" s="396"/>
      <c r="O8" s="396"/>
      <c r="P8" s="396"/>
      <c r="Q8" s="396"/>
      <c r="R8" s="303"/>
      <c r="S8" s="398" t="s">
        <v>40</v>
      </c>
      <c r="T8" s="396"/>
      <c r="U8" s="396"/>
      <c r="V8" s="396"/>
      <c r="W8" s="397" t="str">
        <f>INPUT!Y5</f>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c>
      <c r="L9" s="391"/>
      <c r="M9" s="391"/>
      <c r="N9" s="391"/>
      <c r="O9" s="391"/>
      <c r="P9" s="391"/>
      <c r="Q9" s="391"/>
      <c r="R9" s="392"/>
      <c r="S9" s="398" t="s">
        <v>10</v>
      </c>
      <c r="T9" s="396"/>
      <c r="U9" s="396"/>
      <c r="V9" s="396"/>
      <c r="W9" s="400" t="str">
        <f>INPUT!Y7</f>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60" ht="18" customHeight="1">
      <c r="A49" s="224"/>
      <c r="B49" s="153">
        <f>INPUT!B46</f>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60" ht="18" customHeight="1">
      <c r="A50" s="224"/>
      <c r="B50" s="153">
        <f>INPUT!B47</f>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60" ht="18" customHeight="1">
      <c r="A51" s="224"/>
      <c r="B51" s="153">
        <f>INPUT!B48</f>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60" ht="18" customHeight="1">
      <c r="A52" s="224"/>
      <c r="B52" s="153">
        <f>INPUT!B49</f>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60" ht="18" customHeight="1">
      <c r="A53" s="224"/>
      <c r="B53" s="153">
        <f>INPUT!B50</f>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60" ht="18" customHeight="1">
      <c r="A54" s="224"/>
      <c r="B54" s="153">
        <f>INPUT!B51</f>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60" ht="18" customHeight="1">
      <c r="A55" s="224"/>
      <c r="B55" s="153">
        <f>INPUT!B52</f>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60" ht="18" customHeight="1">
      <c r="A56" s="224"/>
      <c r="B56" s="153">
        <f>INPUT!B53</f>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60" ht="18" customHeight="1">
      <c r="A57" s="224"/>
      <c r="B57" s="153">
        <f>INPUT!B54</f>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60" ht="18" customHeight="1">
      <c r="A58" s="224"/>
      <c r="B58" s="153">
        <f>INPUT!B55</f>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60" ht="18" customHeight="1">
      <c r="A59" s="224"/>
      <c r="B59" s="153">
        <f>INPUT!B56</f>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60" ht="18" customHeight="1">
      <c r="A60" s="224"/>
      <c r="B60" s="153">
        <f>INPUT!B57</f>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60" ht="18" customHeight="1">
      <c r="A61" s="224"/>
      <c r="B61" s="153">
        <f>INPUT!B58</f>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60" ht="18" customHeight="1">
      <c r="A62" s="224"/>
      <c r="B62" s="153">
        <f>INPUT!B59</f>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60" ht="18" customHeight="1" thickBot="1">
      <c r="A63" s="225"/>
      <c r="B63" s="153">
        <f>INPUT!B60</f>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60"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B64:D64"/>
    <mergeCell ref="Z64:AB64"/>
    <mergeCell ref="AD64:AF64"/>
    <mergeCell ref="AH64:AJ64"/>
    <mergeCell ref="AL64:AN64"/>
    <mergeCell ref="AP64:AR64"/>
    <mergeCell ref="AT64:AV64"/>
    <mergeCell ref="AX64:AZ64"/>
    <mergeCell ref="BB64:BD64"/>
    <mergeCell ref="BF64:BH64"/>
    <mergeCell ref="B117:D117"/>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printOptions horizontalCentered="1"/>
  <pageMargins left="0.40000000000000008" right="0.40000000000000008" top="0.5" bottom="0.5" header="0.3" footer="0.3"/>
  <pageSetup paperSize="9" scale="60" orientation="portrait" horizontalDpi="4294967293" verticalDpi="0"/>
  <rowBreaks count="1" manualBreakCount="1">
    <brk id="64" max="27" man="1"/>
  </rowBreaks>
  <drawing r:id="rId1"/>
</worksheet>
</file>

<file path=xl/worksheets/sheet6.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200-000000000000}">
  <sheetPr>
    <tabColor rgb="FFFF9933"/>
  </sheetPr>
  <dimension ref="A1"/>
  <sheetViews>
    <sheetView workbookViewId="0"/>
  </sheetViews>
  <sheetFormatPr defaultRowHeight="15"/>
  <sheetData/>
  <pageMargins left="0.7" right="0.7" top="0.75" bottom="0.75" header="0.3" footer="0.3"/>
  <pageSetup paperSize="9" orientation="portrait"/>
</worksheet>
</file>

<file path=xl/worksheets/sheet7.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pageMargins left="0.7" right="0.7" top="0.75" bottom="0.75" header="0.3" footer="0.3"/>
  <pageSetup paperSize="9" orientation="portrait" horizontalDpi="200" verticalDpi="200"/>
  <drawing r:id="rId1"/>
</worksheet>
</file>

<file path=xl/worksheets/sheet8.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60"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pageMargins left="0.7" right="0.7" top="0.75" bottom="0.75" header="0.3" footer="0.3"/>
  <pageSetup paperSize="9" orientation="portrait"/>
  <drawing r:id="rId1"/>
  <tableParts count="1">
    <tablePart r:id="rId2"/>
  </tableParts>
</worksheet>
</file>

<file path=xl/worksheets/sheet9.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60"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c>
      <c r="G2" s="164">
        <v>0</v>
      </c>
      <c r="H2" s="164" t="s">
        <v>95</v>
      </c>
      <c r="I2" s="164">
        <v>3.99</v>
      </c>
      <c r="J2" s="165">
        <v>60</v>
      </c>
    </row>
    <row r="3" spans="1:24">
      <c r="A3" s="171" t="s">
        <v>97</v>
      </c>
      <c r="B3" s="176">
        <v>0.4</v>
      </c>
      <c r="C3" s="176">
        <v>0.4</v>
      </c>
      <c r="D3" s="176">
        <v>0.2</v>
      </c>
      <c r="E3" s="177">
        <f>SUM(B3:D3)</f>
      </c>
      <c r="G3" s="164">
        <v>4</v>
      </c>
      <c r="H3" s="164" t="s">
        <v>95</v>
      </c>
      <c r="I3" s="164">
        <v>7.99</v>
      </c>
      <c r="J3" s="165">
        <v>61</v>
      </c>
    </row>
    <row r="4" spans="1:24">
      <c r="A4" s="171" t="s">
        <v>99</v>
      </c>
      <c r="B4" s="176">
        <v>0.2</v>
      </c>
      <c r="C4" s="176">
        <v>0.6</v>
      </c>
      <c r="D4" s="176">
        <v>0.2</v>
      </c>
      <c r="E4" s="177">
        <f>SUM(B4:D4)</f>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