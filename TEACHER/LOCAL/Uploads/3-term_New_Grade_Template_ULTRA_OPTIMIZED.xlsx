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BEF58922-1CC0-40D2-984F-B0C0C17A7F24}" xr6:coauthVersionLast="47" xr6:coauthVersionMax="47" xr10:uidLastSave="{00000000-0000-0000-0000-000000000000}"/>
  <bookViews>
    <workbookView xWindow="-120" yWindow="-120" windowWidth="29040" windowHeight="15720"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INPUT!$B$10:$B$111</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INPUT!$B$62:$B$111</definedName>
    <definedName name="MaleLearners">INPUT!$B$11:$B$60</definedName>
    <definedName name="NewTransmu">'Helper (Do Not Delete)'!$H$3:$K$43</definedName>
    <definedName name="_xlnm.Print_Area" localSheetId="0">INPUT!$A$1:$Z$111</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<sst xmlns="http://schemas.openxmlformats.org/spreadsheetml/2006/main" count="16899" uniqueCount="164">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</sst>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8">
    <font>
      <sz val="11"/>
      <color theme="1"/>
      <name val="Calibri"/>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Calibri"/>
      <scheme val="minor"/>
    </font>
  </fonts>
  <fills count="14">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s>
  <borders count="7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s>
  <cellStyleXfs count="4">
    <xf numFmtId="0" fontId="0" fillId="0" borderId="0"/>
    <xf numFmtId="0" fontId="3" fillId="0" borderId="0"/>
    <xf numFmtId="9" fontId="20" fillId="0" borderId="0"/>
    <xf numFmtId="0" fontId="22" fillId="0" borderId="0"/>
  </cellStyleXfs>
  <cellXfs count="42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2"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Protection="1">
      <protection hidden="1"/>
    </xf>
    <xf numFmtId="0" fontId="4" fillId="0" borderId="0" xfId="0" applyFont="1" applyProtection="1">
      <protection hidden="1"/>
    </xf>
    <xf numFmtId="164" fontId="10" fillId="0" borderId="0" xfId="0" applyNumberFormat="1" applyFont="1" applyAlignment="1" applyProtection="1">
      <alignment vertical="center"/>
      <protection locked="0"/>
    </xf>
    <xf numFmtId="164" fontId="9" fillId="0" borderId="0" xfId="0" applyNumberFormat="1" applyFont="1" applyAlignment="1" applyProtection="1">
      <alignment horizontal="center" vertical="center"/>
      <protection hidden="1"/>
    </xf>
    <xf numFmtId="164" fontId="5" fillId="0" borderId="0" xfId="0" applyNumberFormat="1" applyFont="1" applyAlignment="1" applyProtection="1">
      <alignment horizontal="center"/>
      <protection locked="0"/>
    </xf>
    <xf numFmtId="164" fontId="4" fillId="0" borderId="0" xfId="0" applyNumberFormat="1" applyFont="1" applyProtection="1">
      <protection locked="0"/>
    </xf>
    <xf numFmtId="164" fontId="8" fillId="0" borderId="0" xfId="0" applyNumberFormat="1"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vertical="center"/>
      <protection hidden="1"/>
    </xf>
    <xf numFmtId="0" fontId="5" fillId="0" borderId="8" xfId="0" applyFont="1" applyBorder="1" applyAlignment="1" applyProtection="1">
      <alignment horizontal="center" vertical="center"/>
      <protection locked="0"/>
    </xf>
    <xf numFmtId="0" fontId="5" fillId="0" borderId="11" xfId="0" applyFont="1" applyBorder="1" applyAlignment="1" applyProtection="1">
      <alignment horizontal="center" vertical="center" textRotation="90" shrinkToFit="1"/>
      <protection locked="0"/>
    </xf>
    <xf numFmtId="0" fontId="10" fillId="0" borderId="1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2"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protection hidden="1"/>
    </xf>
    <xf numFmtId="0" fontId="5" fillId="0" borderId="0" xfId="0" applyFont="1" applyAlignment="1" applyProtection="1">
      <alignment horizontal="center" vertical="center"/>
      <protection locked="0"/>
    </xf>
    <xf numFmtId="2" fontId="5" fillId="0" borderId="0" xfId="0" applyNumberFormat="1" applyFont="1" applyAlignment="1" applyProtection="1">
      <alignment horizontal="center" vertical="center"/>
      <protection locked="0"/>
    </xf>
    <xf numFmtId="0" fontId="5" fillId="0" borderId="0" xfId="0" applyFont="1" applyAlignment="1" applyProtection="1">
      <alignment vertical="center"/>
      <protection hidden="1"/>
    </xf>
    <xf numFmtId="0" fontId="5" fillId="0" borderId="0" xfId="0" applyFont="1" applyAlignment="1" applyProtection="1">
      <alignment shrinkToFit="1"/>
      <protection locked="0"/>
    </xf>
    <xf numFmtId="0" fontId="5" fillId="0" borderId="14" xfId="0" applyFont="1" applyBorder="1" applyAlignment="1" applyProtection="1">
      <alignment horizontal="center" shrinkToFit="1"/>
      <protection locked="0"/>
    </xf>
    <xf numFmtId="0" fontId="5" fillId="0" borderId="1" xfId="0" applyFont="1" applyBorder="1" applyAlignment="1" applyProtection="1">
      <alignment horizontal="right" shrinkToFit="1"/>
      <protection locked="0"/>
    </xf>
    <xf numFmtId="0" fontId="5" fillId="0" borderId="3" xfId="0" applyFont="1" applyBorder="1" applyAlignment="1" applyProtection="1">
      <alignment horizontal="right" shrinkToFit="1"/>
      <protection locked="0"/>
    </xf>
    <xf numFmtId="0" fontId="5" fillId="0" borderId="0" xfId="0" applyFont="1" applyAlignment="1" applyProtection="1">
      <alignment horizontal="center" vertical="center" shrinkToFit="1"/>
      <protection locked="0"/>
    </xf>
    <xf numFmtId="0" fontId="5" fillId="0" borderId="0" xfId="0" applyFont="1" applyAlignment="1" applyProtection="1">
      <alignment horizontal="center" vertical="center"/>
      <protection hidden="1"/>
    </xf>
    <xf numFmtId="9" fontId="5" fillId="0" borderId="0" xfId="0" applyNumberFormat="1" applyFont="1" applyAlignment="1" applyProtection="1">
      <alignment horizontal="center" vertical="center"/>
      <protection locked="0"/>
    </xf>
    <xf numFmtId="0" fontId="5" fillId="2" borderId="14" xfId="0" applyFont="1" applyFill="1" applyBorder="1" applyAlignment="1" applyProtection="1">
      <alignment horizontal="center" shrinkToFit="1"/>
      <protection locked="0"/>
    </xf>
    <xf numFmtId="0" fontId="5" fillId="2" borderId="1" xfId="0" applyFont="1" applyFill="1" applyBorder="1" applyAlignment="1" applyProtection="1">
      <alignment horizontal="left" vertical="center" shrinkToFit="1"/>
      <protection locked="0"/>
    </xf>
    <xf numFmtId="0" fontId="5" fillId="2" borderId="3" xfId="0" applyFont="1" applyFill="1" applyBorder="1" applyAlignment="1" applyProtection="1">
      <alignment horizontal="left" vertical="center" shrinkToFit="1"/>
      <protection locked="0"/>
    </xf>
    <xf numFmtId="1" fontId="5" fillId="0" borderId="0" xfId="0" applyNumberFormat="1" applyFont="1" applyAlignment="1" applyProtection="1">
      <alignment horizontal="center" vertical="center"/>
      <protection locked="0"/>
    </xf>
    <xf numFmtId="0" fontId="5" fillId="0" borderId="14" xfId="0" applyFont="1" applyBorder="1" applyAlignment="1" applyProtection="1">
      <alignment horizontal="center"/>
      <protection locked="0"/>
    </xf>
    <xf numFmtId="164" fontId="4" fillId="0" borderId="1" xfId="0" applyNumberFormat="1" applyFont="1" applyBorder="1" applyAlignment="1" applyProtection="1">
      <alignment horizontal="left"/>
      <protection locked="0"/>
    </xf>
    <xf numFmtId="164" fontId="4" fillId="0" borderId="1"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5" fillId="0" borderId="0" xfId="0" applyNumberFormat="1"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0" borderId="0" xfId="0" applyFont="1" applyAlignment="1" applyProtection="1">
      <alignment shrinkToFit="1"/>
      <protection hidden="1"/>
    </xf>
    <xf numFmtId="0" fontId="5" fillId="0" borderId="0" xfId="0" applyFont="1" applyAlignment="1" applyProtection="1">
      <alignment horizontal="left"/>
      <protection hidden="1"/>
    </xf>
    <xf numFmtId="164" fontId="12" fillId="0" borderId="1" xfId="0" applyNumberFormat="1" applyFont="1" applyBorder="1" applyAlignment="1" applyProtection="1">
      <alignment horizontal="left"/>
      <protection locked="0"/>
    </xf>
    <xf numFmtId="0" fontId="5" fillId="0" borderId="15" xfId="0" applyFont="1" applyBorder="1" applyAlignment="1" applyProtection="1">
      <alignment horizontal="center"/>
      <protection locked="0"/>
    </xf>
    <xf numFmtId="164" fontId="4" fillId="0" borderId="16" xfId="0" applyNumberFormat="1" applyFont="1" applyBorder="1" applyAlignment="1" applyProtection="1">
      <alignment horizontal="left"/>
      <protection locked="0"/>
    </xf>
    <xf numFmtId="164" fontId="4" fillId="0" borderId="16" xfId="0" applyNumberFormat="1" applyFont="1" applyBorder="1" applyAlignment="1" applyProtection="1">
      <alignment horizontal="left"/>
      <protection hidden="1"/>
    </xf>
    <xf numFmtId="164" fontId="4" fillId="0" borderId="17" xfId="0" applyNumberFormat="1" applyFont="1" applyBorder="1" applyAlignment="1" applyProtection="1">
      <alignment horizontal="left"/>
      <protection hidden="1"/>
    </xf>
    <xf numFmtId="0" fontId="4" fillId="0" borderId="0" xfId="0" applyFont="1" applyAlignment="1" applyProtection="1">
      <alignment horizontal="center"/>
      <protection hidden="1"/>
    </xf>
    <xf numFmtId="0" fontId="5" fillId="0" borderId="0" xfId="0" applyFont="1" applyProtection="1">
      <protection locked="0"/>
    </xf>
    <xf numFmtId="0" fontId="6" fillId="0" borderId="0" xfId="0" applyFont="1" applyAlignment="1" applyProtection="1">
      <alignment horizontal="center" vertical="top" wrapText="1"/>
      <protection hidden="1"/>
    </xf>
    <xf numFmtId="164" fontId="10" fillId="0" borderId="0" xfId="0" applyNumberFormat="1" applyFont="1" applyAlignment="1" applyProtection="1">
      <alignment vertical="center"/>
      <protection hidden="1"/>
    </xf>
    <xf numFmtId="164" fontId="5" fillId="0" borderId="0" xfId="0" applyNumberFormat="1" applyFont="1" applyAlignment="1" applyProtection="1">
      <alignment horizontal="center"/>
      <protection hidden="1"/>
    </xf>
    <xf numFmtId="164" fontId="4" fillId="0" borderId="0" xfId="0" applyNumberFormat="1" applyFont="1" applyProtection="1">
      <protection hidden="1"/>
    </xf>
    <xf numFmtId="164" fontId="8" fillId="0" borderId="0" xfId="0" applyNumberFormat="1" applyFont="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4" xfId="0" applyFont="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2" fontId="5" fillId="3" borderId="1" xfId="0" applyNumberFormat="1" applyFont="1" applyFill="1" applyBorder="1" applyAlignment="1" applyProtection="1">
      <alignment horizontal="center" vertical="center"/>
      <protection hidden="1"/>
    </xf>
    <xf numFmtId="9" fontId="5" fillId="3" borderId="28" xfId="2" applyFont="1" applyFill="1" applyBorder="1" applyAlignment="1" applyProtection="1">
      <alignment horizontal="center" vertical="center"/>
      <protection hidden="1"/>
    </xf>
    <xf numFmtId="9" fontId="5" fillId="0" borderId="14" xfId="2" applyFont="1" applyBorder="1" applyAlignment="1" applyProtection="1">
      <alignment horizontal="center" vertical="center"/>
      <protection hidden="1"/>
    </xf>
    <xf numFmtId="9" fontId="5" fillId="0" borderId="1" xfId="2" applyFont="1" applyBorder="1" applyAlignment="1" applyProtection="1">
      <alignment horizontal="center" vertical="center"/>
      <protection hidden="1"/>
    </xf>
    <xf numFmtId="0" fontId="5" fillId="0" borderId="0" xfId="0" applyFont="1" applyAlignment="1" applyProtection="1">
      <alignment vertical="center"/>
      <protection locked="0"/>
    </xf>
    <xf numFmtId="0" fontId="5" fillId="0" borderId="14"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9" fontId="5" fillId="3" borderId="28" xfId="0" applyNumberFormat="1" applyFont="1" applyFill="1" applyBorder="1" applyAlignment="1" applyProtection="1">
      <alignment horizontal="center" vertic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3" borderId="1" xfId="0" applyFont="1" applyFill="1" applyBorder="1" applyAlignment="1" applyProtection="1">
      <alignment horizontal="center" vertical="center" shrinkToFit="1"/>
      <protection hidden="1"/>
    </xf>
    <xf numFmtId="0" fontId="3"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5" fillId="3" borderId="33" xfId="0" applyFont="1" applyFill="1" applyBorder="1" applyAlignment="1" applyProtection="1">
      <alignment horizontal="center" shrinkToFit="1"/>
      <protection hidden="1"/>
    </xf>
    <xf numFmtId="0" fontId="5" fillId="3" borderId="33"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protection hidden="1"/>
    </xf>
    <xf numFmtId="2" fontId="5" fillId="3" borderId="34" xfId="0" applyNumberFormat="1" applyFont="1" applyFill="1" applyBorder="1" applyAlignment="1" applyProtection="1">
      <alignment horizontal="center" vertical="center"/>
      <protection hidden="1"/>
    </xf>
    <xf numFmtId="2" fontId="5" fillId="3" borderId="36" xfId="0" applyNumberFormat="1" applyFont="1" applyFill="1" applyBorder="1" applyAlignment="1" applyProtection="1">
      <alignment horizontal="center" vertical="center"/>
      <protection hidden="1"/>
    </xf>
    <xf numFmtId="0" fontId="5" fillId="3" borderId="33" xfId="0" applyFont="1" applyFill="1" applyBorder="1" applyAlignment="1" applyProtection="1">
      <alignment horizontal="center" vertical="center"/>
      <protection hidden="1"/>
    </xf>
    <xf numFmtId="2" fontId="5" fillId="3" borderId="37" xfId="0" applyNumberFormat="1" applyFont="1" applyFill="1" applyBorder="1" applyAlignment="1" applyProtection="1">
      <alignment horizontal="center" vertical="center"/>
      <protection hidden="1"/>
    </xf>
    <xf numFmtId="1" fontId="5" fillId="3" borderId="38" xfId="0" applyNumberFormat="1" applyFont="1" applyFill="1" applyBorder="1" applyAlignment="1" applyProtection="1">
      <alignment horizontal="center" vertical="center"/>
      <protection hidden="1"/>
    </xf>
    <xf numFmtId="1" fontId="5"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protection hidden="1"/>
    </xf>
    <xf numFmtId="0" fontId="4" fillId="0" borderId="21"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1" fontId="4" fillId="3" borderId="22" xfId="0" applyNumberFormat="1" applyFont="1" applyFill="1" applyBorder="1" applyAlignment="1" applyProtection="1">
      <alignment horizontal="center" vertical="center"/>
      <protection hidden="1"/>
    </xf>
    <xf numFmtId="2" fontId="5" fillId="3" borderId="22" xfId="0" applyNumberFormat="1" applyFont="1" applyFill="1" applyBorder="1" applyAlignment="1" applyProtection="1">
      <alignment horizontal="center" vertical="center"/>
      <protection hidden="1"/>
    </xf>
    <xf numFmtId="2" fontId="5" fillId="3" borderId="40" xfId="0" applyNumberFormat="1" applyFont="1" applyFill="1" applyBorder="1" applyAlignment="1" applyProtection="1">
      <alignment horizontal="center" vertical="center"/>
      <protection hidden="1"/>
    </xf>
    <xf numFmtId="2" fontId="5" fillId="3" borderId="25" xfId="0" applyNumberFormat="1" applyFont="1" applyFill="1" applyBorder="1" applyAlignment="1" applyProtection="1">
      <alignment horizontal="center" vertical="center"/>
      <protection hidden="1"/>
    </xf>
    <xf numFmtId="1" fontId="5" fillId="3" borderId="26" xfId="0" applyNumberFormat="1" applyFont="1" applyFill="1" applyBorder="1" applyAlignment="1" applyProtection="1">
      <alignment horizontal="center" vertical="center"/>
      <protection hidden="1"/>
    </xf>
    <xf numFmtId="0" fontId="5" fillId="3" borderId="27" xfId="0" applyFont="1" applyFill="1" applyBorder="1" applyAlignment="1" applyProtection="1">
      <alignment horizontal="center" vertical="center"/>
      <protection hidden="1"/>
    </xf>
    <xf numFmtId="0" fontId="5" fillId="0" borderId="14" xfId="0" applyFont="1" applyBorder="1" applyAlignment="1" applyProtection="1">
      <alignment horizontal="center"/>
      <protection hidden="1"/>
    </xf>
    <xf numFmtId="0" fontId="4" fillId="0" borderId="14"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1" fontId="4" fillId="3" borderId="1" xfId="0" applyNumberFormat="1" applyFont="1" applyFill="1" applyBorder="1" applyAlignment="1" applyProtection="1">
      <alignment horizontal="center" vertical="center"/>
      <protection hidden="1"/>
    </xf>
    <xf numFmtId="2" fontId="5" fillId="3" borderId="28" xfId="0" applyNumberFormat="1" applyFont="1" applyFill="1" applyBorder="1" applyAlignment="1" applyProtection="1">
      <alignment horizontal="center" vertical="center"/>
      <protection hidden="1"/>
    </xf>
    <xf numFmtId="2" fontId="5" fillId="3" borderId="41" xfId="0" applyNumberFormat="1" applyFont="1" applyFill="1" applyBorder="1" applyAlignment="1" applyProtection="1">
      <alignment horizontal="center" vertical="center"/>
      <protection hidden="1"/>
    </xf>
    <xf numFmtId="1" fontId="5" fillId="3" borderId="42" xfId="0" applyNumberFormat="1" applyFont="1" applyFill="1" applyBorder="1" applyAlignment="1" applyProtection="1">
      <alignment horizontal="center" vertical="center"/>
      <protection hidden="1"/>
    </xf>
    <xf numFmtId="0" fontId="5" fillId="3" borderId="43" xfId="0" applyFont="1" applyFill="1" applyBorder="1" applyAlignment="1" applyProtection="1">
      <alignment horizontal="center" vertical="center"/>
      <protection hidden="1"/>
    </xf>
    <xf numFmtId="0" fontId="5" fillId="0" borderId="1" xfId="0" applyFont="1" applyBorder="1" applyAlignment="1" applyProtection="1">
      <alignment horizontal="center" vertical="center" shrinkToFit="1"/>
      <protection hidden="1"/>
    </xf>
    <xf numFmtId="0" fontId="3" fillId="0" borderId="1" xfId="0" applyFont="1" applyBorder="1" applyAlignment="1" applyProtection="1">
      <alignment horizontal="center" vertical="center" wrapText="1"/>
      <protection hidden="1"/>
    </xf>
    <xf numFmtId="164" fontId="11" fillId="0" borderId="1" xfId="0" applyNumberFormat="1" applyFont="1" applyBorder="1" applyAlignment="1" applyProtection="1">
      <alignment horizontal="center" vertical="center"/>
      <protection hidden="1"/>
    </xf>
    <xf numFmtId="1" fontId="3" fillId="0" borderId="1"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4" fillId="0" borderId="1" xfId="0" applyFont="1" applyBorder="1" applyAlignment="1" applyProtection="1">
      <alignment horizontal="center" vertical="center"/>
      <protection hidden="1"/>
    </xf>
    <xf numFmtId="164" fontId="14" fillId="0" borderId="1" xfId="0" applyNumberFormat="1" applyFont="1" applyBorder="1" applyAlignment="1" applyProtection="1">
      <alignment horizontal="center" vertical="center"/>
      <protection hidden="1"/>
    </xf>
    <xf numFmtId="10" fontId="14" fillId="0" borderId="1" xfId="0" applyNumberFormat="1" applyFont="1" applyBorder="1" applyAlignment="1" applyProtection="1">
      <alignment horizontal="center" vertical="center"/>
      <protection hidden="1"/>
    </xf>
    <xf numFmtId="0" fontId="5" fillId="0" borderId="0" xfId="0" applyFont="1" applyAlignment="1" applyProtection="1">
      <alignment horizontal="left"/>
      <protection locked="0"/>
    </xf>
    <xf numFmtId="2" fontId="4" fillId="0" borderId="1" xfId="0" applyNumberFormat="1" applyFont="1" applyBorder="1" applyAlignment="1" applyProtection="1">
      <alignment horizontal="center" vertical="center"/>
      <protection hidden="1"/>
    </xf>
    <xf numFmtId="10" fontId="14" fillId="0" borderId="1" xfId="2" applyNumberFormat="1" applyFont="1" applyBorder="1" applyAlignment="1" applyProtection="1">
      <alignment horizontal="center" vertical="center"/>
      <protection hidden="1"/>
    </xf>
    <xf numFmtId="0" fontId="4" fillId="0" borderId="1" xfId="0" applyFont="1" applyBorder="1" applyAlignment="1" applyProtection="1">
      <alignment horizontal="center" vertical="center"/>
      <protection hidden="1"/>
    </xf>
    <xf numFmtId="0" fontId="5" fillId="0" borderId="15" xfId="0" applyFont="1" applyBorder="1" applyAlignment="1" applyProtection="1">
      <alignment horizontal="center"/>
      <protection hidden="1"/>
    </xf>
    <xf numFmtId="0" fontId="4" fillId="0" borderId="15"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1" fontId="4" fillId="3" borderId="16" xfId="0" applyNumberFormat="1" applyFont="1" applyFill="1" applyBorder="1" applyAlignment="1" applyProtection="1">
      <alignment horizontal="center" vertical="center"/>
      <protection hidden="1"/>
    </xf>
    <xf numFmtId="2" fontId="5" fillId="3" borderId="16" xfId="0" applyNumberFormat="1" applyFont="1" applyFill="1" applyBorder="1" applyAlignment="1" applyProtection="1">
      <alignment horizontal="center" vertical="center"/>
      <protection hidden="1"/>
    </xf>
    <xf numFmtId="2" fontId="5" fillId="3" borderId="45" xfId="0" applyNumberFormat="1" applyFont="1" applyFill="1" applyBorder="1" applyAlignment="1" applyProtection="1">
      <alignment horizontal="center" vertical="center"/>
      <protection hidden="1"/>
    </xf>
    <xf numFmtId="2" fontId="5" fillId="3" borderId="46" xfId="0" applyNumberFormat="1" applyFont="1" applyFill="1" applyBorder="1" applyAlignment="1" applyProtection="1">
      <alignment horizontal="center" vertical="center"/>
      <protection hidden="1"/>
    </xf>
    <xf numFmtId="1" fontId="5" fillId="3" borderId="47" xfId="0" applyNumberFormat="1" applyFont="1" applyFill="1" applyBorder="1" applyAlignment="1" applyProtection="1">
      <alignment horizontal="center" vertical="center"/>
      <protection hidden="1"/>
    </xf>
    <xf numFmtId="0" fontId="5" fillId="3" borderId="48" xfId="0" applyFont="1" applyFill="1" applyBorder="1" applyAlignment="1" applyProtection="1">
      <alignment horizontal="center" vertical="center"/>
      <protection hidden="1"/>
    </xf>
    <xf numFmtId="0" fontId="4" fillId="3" borderId="49"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hidden="1"/>
    </xf>
    <xf numFmtId="0" fontId="4" fillId="3" borderId="52" xfId="0" applyFont="1" applyFill="1" applyBorder="1" applyAlignment="1" applyProtection="1">
      <alignment horizontal="center" vertical="center"/>
      <protection hidden="1"/>
    </xf>
    <xf numFmtId="2" fontId="5" fillId="3" borderId="50" xfId="0" applyNumberFormat="1" applyFont="1" applyFill="1" applyBorder="1" applyAlignment="1" applyProtection="1">
      <alignment horizontal="center" vertical="center"/>
      <protection hidden="1"/>
    </xf>
    <xf numFmtId="2" fontId="5" fillId="3" borderId="52" xfId="0" applyNumberFormat="1" applyFont="1" applyFill="1" applyBorder="1" applyAlignment="1" applyProtection="1">
      <alignment horizontal="center" vertical="center"/>
      <protection hidden="1"/>
    </xf>
    <xf numFmtId="2" fontId="5" fillId="3" borderId="29" xfId="0" applyNumberFormat="1" applyFont="1" applyFill="1" applyBorder="1" applyAlignment="1" applyProtection="1">
      <alignment horizontal="center" vertical="center"/>
      <protection hidden="1"/>
    </xf>
    <xf numFmtId="1" fontId="5" fillId="3" borderId="30" xfId="0" applyNumberFormat="1" applyFont="1" applyFill="1" applyBorder="1" applyAlignment="1" applyProtection="1">
      <alignment horizontal="center" vertical="center"/>
      <protection hidden="1"/>
    </xf>
    <xf numFmtId="0" fontId="5" fillId="3" borderId="31" xfId="0" applyFont="1" applyFill="1" applyBorder="1" applyAlignment="1" applyProtection="1">
      <alignment horizontal="center" vertical="center"/>
      <protection hidden="1"/>
    </xf>
    <xf numFmtId="164" fontId="15" fillId="0" borderId="0" xfId="0" applyNumberFormat="1" applyFont="1" applyAlignment="1" applyProtection="1">
      <alignment vertical="center"/>
      <protection hidden="1"/>
    </xf>
    <xf numFmtId="0" fontId="6" fillId="0" borderId="0" xfId="0" applyFont="1" applyAlignment="1" applyProtection="1">
      <alignment vertical="top" wrapText="1"/>
      <protection locked="0"/>
    </xf>
    <xf numFmtId="0" fontId="7" fillId="0" borderId="0" xfId="0" applyFont="1" applyAlignment="1" applyProtection="1">
      <alignment vertical="top" wrapText="1"/>
      <protection hidden="1"/>
    </xf>
    <xf numFmtId="0" fontId="7" fillId="0" borderId="0" xfId="0" applyFont="1" applyAlignment="1" applyProtection="1">
      <alignment vertical="top" wrapText="1"/>
      <protection locked="0"/>
    </xf>
    <xf numFmtId="164" fontId="4" fillId="0" borderId="0" xfId="0" applyNumberFormat="1" applyFont="1" applyAlignment="1" applyProtection="1">
      <alignment horizontal="center"/>
      <protection hidden="1"/>
    </xf>
    <xf numFmtId="0" fontId="10" fillId="0" borderId="0" xfId="0" applyFont="1" applyAlignment="1" applyProtection="1">
      <alignment horizontal="righ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2" fontId="5" fillId="0" borderId="0" xfId="0" applyNumberFormat="1" applyFont="1" applyAlignment="1" applyProtection="1">
      <alignment horizontal="center"/>
      <protection hidden="1"/>
    </xf>
    <xf numFmtId="0" fontId="5" fillId="0" borderId="0" xfId="0" applyFont="1" applyAlignment="1" applyProtection="1">
      <alignment horizontal="center" vertical="center" textRotation="90" wrapText="1"/>
      <protection locked="0"/>
    </xf>
    <xf numFmtId="2" fontId="5" fillId="0" borderId="0" xfId="0" applyNumberFormat="1" applyFont="1" applyAlignment="1" applyProtection="1">
      <alignment horizontal="center" vertical="center" textRotation="90" wrapText="1"/>
      <protection locked="0"/>
    </xf>
    <xf numFmtId="2" fontId="5" fillId="0" borderId="0" xfId="0" applyNumberFormat="1" applyFont="1" applyAlignment="1" applyProtection="1">
      <alignment horizontal="left" vertical="center" textRotation="90" wrapText="1"/>
      <protection locked="0"/>
    </xf>
    <xf numFmtId="9" fontId="5" fillId="0" borderId="0" xfId="2" applyFont="1" applyAlignment="1" applyProtection="1">
      <alignment horizontal="center"/>
      <protection locked="0"/>
    </xf>
    <xf numFmtId="2" fontId="5" fillId="0" borderId="0" xfId="2" applyNumberFormat="1" applyFont="1" applyAlignment="1" applyProtection="1">
      <alignment horizontal="center"/>
      <protection locked="0"/>
    </xf>
    <xf numFmtId="0" fontId="5" fillId="0" borderId="0" xfId="0" applyFont="1" applyAlignment="1" applyProtection="1">
      <alignment horizontal="center" shrinkToFit="1"/>
      <protection locked="0"/>
    </xf>
    <xf numFmtId="1" fontId="5" fillId="0" borderId="0" xfId="0" applyNumberFormat="1" applyFont="1" applyAlignment="1" applyProtection="1">
      <alignment horizontal="center"/>
      <protection locked="0"/>
    </xf>
    <xf numFmtId="0" fontId="5" fillId="2" borderId="9" xfId="0" applyFont="1" applyFill="1" applyBorder="1" applyAlignment="1" applyProtection="1">
      <alignment horizontal="center" shrinkToFit="1"/>
      <protection hidden="1"/>
    </xf>
    <xf numFmtId="0" fontId="5" fillId="2" borderId="8" xfId="0" applyFont="1" applyFill="1" applyBorder="1" applyAlignment="1" applyProtection="1">
      <alignment vertical="center" shrinkToFit="1"/>
      <protection hidden="1"/>
    </xf>
    <xf numFmtId="164" fontId="16" fillId="0" borderId="5" xfId="0" applyNumberFormat="1" applyFont="1" applyBorder="1" applyAlignment="1" applyProtection="1">
      <alignment horizontal="left" vertical="center" wrapText="1"/>
      <protection hidden="1"/>
    </xf>
    <xf numFmtId="164" fontId="16" fillId="0" borderId="4" xfId="0" applyNumberFormat="1" applyFont="1" applyBorder="1" applyAlignment="1" applyProtection="1">
      <alignment horizontal="left" vertical="center" wrapText="1"/>
      <protection hidden="1"/>
    </xf>
    <xf numFmtId="164" fontId="16" fillId="0" borderId="61" xfId="0" applyNumberFormat="1" applyFont="1" applyBorder="1" applyAlignment="1" applyProtection="1">
      <alignment horizontal="left" vertical="center" wrapText="1"/>
      <protection hidden="1"/>
    </xf>
    <xf numFmtId="0" fontId="5" fillId="2" borderId="10" xfId="0" applyFont="1" applyFill="1" applyBorder="1" applyAlignment="1" applyProtection="1">
      <alignment vertical="center" shrinkToFit="1"/>
      <protection hidden="1"/>
    </xf>
    <xf numFmtId="164" fontId="4" fillId="0" borderId="27" xfId="0" applyNumberFormat="1" applyFont="1" applyBorder="1" applyAlignment="1" applyProtection="1">
      <alignment horizontal="left" vertical="center"/>
      <protection hidden="1"/>
    </xf>
    <xf numFmtId="164" fontId="4" fillId="0" borderId="32" xfId="0" applyNumberFormat="1" applyFont="1" applyBorder="1" applyAlignment="1" applyProtection="1">
      <alignment horizontal="left" vertical="center"/>
      <protection hidden="1"/>
    </xf>
    <xf numFmtId="164" fontId="16" fillId="0" borderId="44" xfId="0" applyNumberFormat="1" applyFont="1" applyBorder="1" applyAlignment="1" applyProtection="1">
      <alignment horizontal="left" vertical="center" wrapText="1"/>
      <protection hidden="1"/>
    </xf>
    <xf numFmtId="0" fontId="17" fillId="5" borderId="1" xfId="0" applyFont="1" applyFill="1" applyBorder="1" applyAlignment="1">
      <alignment horizontal="left" vertical="center" wrapText="1" indent="1"/>
    </xf>
    <xf numFmtId="0" fontId="18" fillId="0" borderId="0" xfId="0" applyFont="1"/>
    <xf numFmtId="0" fontId="18" fillId="0" borderId="0" xfId="0" applyFont="1" applyAlignment="1">
      <alignment horizontal="center" vertical="center"/>
    </xf>
    <xf numFmtId="0" fontId="19" fillId="0" borderId="55"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8" fillId="0" borderId="2" xfId="0" applyFont="1" applyBorder="1" applyAlignment="1">
      <alignment horizontal="center" vertical="center"/>
    </xf>
    <xf numFmtId="9" fontId="18" fillId="0" borderId="1"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3" fillId="6" borderId="1" xfId="1" applyFill="1" applyBorder="1" applyAlignment="1" applyProtection="1">
      <alignment horizontal="center" vertical="center"/>
      <protection locked="0"/>
    </xf>
    <xf numFmtId="0" fontId="3" fillId="7" borderId="1" xfId="1" applyFill="1" applyBorder="1" applyAlignment="1" applyProtection="1">
      <alignment horizontal="center" vertical="center"/>
      <protection locked="0"/>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0" borderId="63" xfId="0" applyFont="1" applyBorder="1" applyAlignment="1">
      <alignment horizontal="center" vertical="center"/>
    </xf>
    <xf numFmtId="9" fontId="18" fillId="0" borderId="34" xfId="0" applyNumberFormat="1" applyFont="1" applyBorder="1" applyAlignment="1">
      <alignment horizontal="center" vertical="center"/>
    </xf>
    <xf numFmtId="9" fontId="18" fillId="0" borderId="35" xfId="0" applyNumberFormat="1" applyFont="1" applyBorder="1" applyAlignment="1">
      <alignment horizontal="center" vertical="center"/>
    </xf>
    <xf numFmtId="0" fontId="3" fillId="0" borderId="0" xfId="1" applyProtection="1">
      <protection locked="0"/>
    </xf>
    <xf numFmtId="0" fontId="3" fillId="0" borderId="0" xfId="1" applyAlignment="1" applyProtection="1">
      <alignment horizontal="center"/>
      <protection locked="0"/>
    </xf>
    <xf numFmtId="0" fontId="3" fillId="0" borderId="0" xfId="1" applyAlignment="1" applyProtection="1">
      <alignment horizontal="center" vertical="center"/>
      <protection locked="0"/>
    </xf>
    <xf numFmtId="0" fontId="11" fillId="0" borderId="0" xfId="1" applyFont="1" applyProtection="1">
      <protection locked="0"/>
    </xf>
    <xf numFmtId="0" fontId="11" fillId="0" borderId="0" xfId="1" applyFont="1" applyAlignment="1" applyProtection="1">
      <alignment wrapText="1"/>
      <protection locked="0"/>
    </xf>
    <xf numFmtId="9" fontId="3" fillId="0" borderId="0" xfId="2" applyFont="1" applyProtection="1">
      <protection locked="0"/>
    </xf>
    <xf numFmtId="9" fontId="3" fillId="0" borderId="0" xfId="1" applyNumberFormat="1" applyProtection="1">
      <protection hidden="1"/>
    </xf>
    <xf numFmtId="165" fontId="3" fillId="0" borderId="0" xfId="1" applyNumberFormat="1" applyAlignment="1" applyProtection="1">
      <alignment horizontal="center" vertical="center"/>
      <protection locked="0"/>
    </xf>
    <xf numFmtId="0" fontId="5" fillId="0" borderId="1" xfId="0" applyFont="1" applyBorder="1" applyProtection="1">
      <protection hidden="1"/>
    </xf>
    <xf numFmtId="0" fontId="5" fillId="0" borderId="14" xfId="0" applyFont="1" applyBorder="1" applyProtection="1">
      <protection hidden="1"/>
    </xf>
    <xf numFmtId="0" fontId="8" fillId="0" borderId="0" xfId="0" applyFont="1" applyAlignment="1" applyProtection="1">
      <alignment horizontal="right" vertical="center"/>
      <protection hidden="1"/>
    </xf>
    <xf numFmtId="0" fontId="4" fillId="0" borderId="41"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4" fillId="3" borderId="64" xfId="0" applyFont="1" applyFill="1" applyBorder="1" applyAlignment="1" applyProtection="1">
      <alignment horizontal="center" vertical="center"/>
      <protection locked="0"/>
    </xf>
    <xf numFmtId="164" fontId="4" fillId="0" borderId="12" xfId="0" applyNumberFormat="1" applyFont="1" applyBorder="1" applyAlignment="1" applyProtection="1">
      <alignment horizontal="left"/>
      <protection hidden="1"/>
    </xf>
    <xf numFmtId="0" fontId="5" fillId="0" borderId="61" xfId="0" applyFont="1" applyBorder="1" applyAlignment="1" applyProtection="1">
      <alignment horizontal="center" shrinkToFit="1"/>
      <protection hidden="1"/>
    </xf>
    <xf numFmtId="0" fontId="5" fillId="0" borderId="23" xfId="0" applyFont="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53" xfId="0" applyFont="1" applyBorder="1" applyAlignment="1" applyProtection="1">
      <alignment horizontal="center"/>
      <protection hidden="1"/>
    </xf>
    <xf numFmtId="0" fontId="3" fillId="0" borderId="8" xfId="0" applyFont="1" applyBorder="1" applyAlignment="1" applyProtection="1">
      <alignment horizontal="left"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164" fontId="3" fillId="0" borderId="0" xfId="0" applyNumberFormat="1" applyFont="1" applyAlignment="1" applyProtection="1">
      <alignment horizontal="center" vertical="center"/>
      <protection hidden="1"/>
    </xf>
    <xf numFmtId="0" fontId="5" fillId="0" borderId="1" xfId="0" applyFont="1" applyBorder="1" applyAlignment="1" applyProtection="1">
      <alignment horizontal="center" shrinkToFit="1"/>
      <protection hidden="1"/>
    </xf>
    <xf numFmtId="0" fontId="25" fillId="0" borderId="33" xfId="0" applyFont="1" applyBorder="1" applyAlignment="1" applyProtection="1">
      <alignment horizontal="center" shrinkToFit="1"/>
      <protection hidden="1"/>
    </xf>
    <xf numFmtId="0" fontId="26" fillId="10" borderId="1" xfId="0" applyFont="1" applyFill="1" applyBorder="1" applyAlignment="1" applyProtection="1">
      <alignment horizontal="center" shrinkToFit="1"/>
      <protection locked="0"/>
    </xf>
    <xf numFmtId="0" fontId="27" fillId="10" borderId="1" xfId="0" applyFont="1" applyFill="1" applyBorder="1" applyAlignment="1">
      <alignment horizontal="center" shrinkToFit="1"/>
    </xf>
    <xf numFmtId="2" fontId="26" fillId="10" borderId="1" xfId="0" applyNumberFormat="1" applyFont="1" applyFill="1" applyBorder="1" applyAlignment="1">
      <alignment horizontal="center" shrinkToFit="1"/>
    </xf>
    <xf numFmtId="0" fontId="2" fillId="0" borderId="31" xfId="0" applyFont="1" applyBorder="1" applyProtection="1">
      <protection hidden="1"/>
    </xf>
    <xf numFmtId="0" fontId="25" fillId="0" borderId="33" xfId="0" applyFont="1" applyBorder="1" applyAlignment="1" applyProtection="1">
      <alignment horizontal="center" vertical="center"/>
      <protection locked="0"/>
    </xf>
    <xf numFmtId="0" fontId="25" fillId="0" borderId="34" xfId="0" applyFont="1" applyBorder="1" applyAlignment="1" applyProtection="1">
      <alignment horizontal="center" vertical="center"/>
      <protection locked="0"/>
    </xf>
    <xf numFmtId="0" fontId="25" fillId="0" borderId="34" xfId="0" applyFont="1" applyBorder="1" applyAlignment="1" applyProtection="1">
      <alignment horizontal="center" vertical="center" shrinkToFit="1"/>
      <protection locked="0"/>
    </xf>
    <xf numFmtId="2" fontId="27" fillId="10" borderId="12" xfId="0" applyNumberFormat="1" applyFont="1" applyFill="1" applyBorder="1" applyAlignment="1">
      <alignment horizontal="center" shrinkToFit="1"/>
    </xf>
    <xf numFmtId="1" fontId="26" fillId="10" borderId="12" xfId="0" applyNumberFormat="1" applyFont="1" applyFill="1" applyBorder="1" applyAlignment="1">
      <alignment horizontal="center" shrinkToFit="1"/>
    </xf>
    <xf numFmtId="164" fontId="4" fillId="0" borderId="34" xfId="0" applyNumberFormat="1" applyFont="1" applyBorder="1" applyAlignment="1" applyProtection="1">
      <alignment horizontal="left"/>
      <protection hidden="1"/>
    </xf>
    <xf numFmtId="0" fontId="28" fillId="11" borderId="12" xfId="0" applyFont="1" applyFill="1" applyBorder="1" applyAlignment="1" applyProtection="1">
      <alignment horizontal="center" vertical="center"/>
      <protection locked="0"/>
    </xf>
    <xf numFmtId="0" fontId="5" fillId="3" borderId="29" xfId="0" applyFont="1" applyFill="1" applyBorder="1" applyAlignment="1" applyProtection="1">
      <alignment horizontal="center" shrinkToFit="1"/>
      <protection hidden="1"/>
    </xf>
    <xf numFmtId="0" fontId="26"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9" fillId="2" borderId="49" xfId="0" applyNumberFormat="1" applyFont="1" applyFill="1" applyBorder="1" applyAlignment="1" applyProtection="1">
      <alignment horizontal="center" vertical="center"/>
      <protection hidden="1"/>
    </xf>
    <xf numFmtId="164" fontId="9" fillId="4" borderId="49" xfId="0" applyNumberFormat="1" applyFont="1" applyFill="1" applyBorder="1" applyAlignment="1" applyProtection="1">
      <alignment horizontal="center" vertical="center"/>
      <protection hidden="1"/>
    </xf>
    <xf numFmtId="0" fontId="5" fillId="2" borderId="0" xfId="0" applyFont="1" applyFill="1" applyAlignment="1" applyProtection="1">
      <alignment vertical="center" shrinkToFit="1"/>
      <protection hidden="1"/>
    </xf>
    <xf numFmtId="0" fontId="29" fillId="11" borderId="42" xfId="3" applyFont="1" applyFill="1" applyBorder="1" applyAlignment="1">
      <alignment horizontal="center"/>
    </xf>
    <xf numFmtId="0" fontId="9" fillId="4" borderId="29" xfId="0" applyFont="1" applyFill="1" applyBorder="1" applyAlignment="1" applyProtection="1">
      <alignment horizontal="center" vertical="center"/>
      <protection hidden="1"/>
    </xf>
    <xf numFmtId="0" fontId="29" fillId="11" borderId="30" xfId="3" applyFont="1" applyFill="1" applyBorder="1" applyAlignment="1">
      <alignment horizontal="center"/>
    </xf>
    <xf numFmtId="164" fontId="12" fillId="0" borderId="32" xfId="0" applyNumberFormat="1" applyFont="1" applyBorder="1" applyAlignment="1" applyProtection="1">
      <alignment horizontal="left" vertical="center"/>
      <protection hidden="1"/>
    </xf>
    <xf numFmtId="164" fontId="4" fillId="0" borderId="59" xfId="0" applyNumberFormat="1" applyFont="1" applyBorder="1" applyAlignment="1" applyProtection="1">
      <alignment horizontal="left" vertical="center"/>
      <protection hidden="1"/>
    </xf>
    <xf numFmtId="0" fontId="5" fillId="0" borderId="2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38" xfId="0" applyFont="1" applyBorder="1" applyAlignment="1" applyProtection="1">
      <alignment horizontal="center" vertical="center"/>
      <protection hidden="1"/>
    </xf>
    <xf numFmtId="0" fontId="5" fillId="2" borderId="56" xfId="0" applyFont="1" applyFill="1" applyBorder="1" applyAlignment="1" applyProtection="1">
      <alignment horizontal="center" vertical="center" shrinkToFit="1"/>
      <protection hidden="1"/>
    </xf>
    <xf numFmtId="0" fontId="5" fillId="0" borderId="69" xfId="0" applyFont="1" applyBorder="1" applyAlignment="1" applyProtection="1">
      <alignment horizontal="center" vertical="center"/>
      <protection hidden="1"/>
    </xf>
    <xf numFmtId="0" fontId="5" fillId="0" borderId="47" xfId="0" applyFont="1" applyBorder="1" applyAlignment="1" applyProtection="1">
      <alignment horizontal="center" vertical="center"/>
      <protection hidden="1"/>
    </xf>
    <xf numFmtId="0" fontId="5" fillId="0" borderId="17" xfId="0" applyFont="1" applyBorder="1" applyAlignment="1" applyProtection="1">
      <alignment horizontal="center"/>
      <protection hidden="1"/>
    </xf>
    <xf numFmtId="164" fontId="4" fillId="0" borderId="45" xfId="0" applyNumberFormat="1" applyFont="1" applyBorder="1" applyAlignment="1" applyProtection="1">
      <alignment horizontal="left"/>
      <protection hidden="1"/>
    </xf>
    <xf numFmtId="0" fontId="32" fillId="12" borderId="42" xfId="3" applyFont="1" applyFill="1" applyBorder="1" applyAlignment="1">
      <alignment horizontal="center"/>
    </xf>
    <xf numFmtId="164" fontId="16" fillId="0" borderId="0" xfId="0" applyNumberFormat="1" applyFont="1" applyAlignment="1" applyProtection="1">
      <alignment horizontal="left" vertical="center" wrapText="1"/>
      <protection hidden="1"/>
    </xf>
    <xf numFmtId="0" fontId="33" fillId="12" borderId="69" xfId="3" applyFont="1" applyFill="1" applyBorder="1" applyAlignment="1">
      <alignment vertical="center"/>
    </xf>
    <xf numFmtId="164" fontId="8"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0" fontId="34" fillId="12" borderId="42" xfId="3" applyFont="1" applyFill="1" applyBorder="1"/>
    <xf numFmtId="0" fontId="4" fillId="0" borderId="70" xfId="0" applyFont="1" applyBorder="1" applyAlignment="1" applyProtection="1">
      <alignment horizontal="center" vertical="center"/>
      <protection locked="0"/>
    </xf>
    <xf numFmtId="0" fontId="4" fillId="0" borderId="71" xfId="0" applyFont="1" applyBorder="1" applyAlignment="1" applyProtection="1">
      <alignment horizontal="center" vertical="center"/>
      <protection locked="0"/>
    </xf>
    <xf numFmtId="0" fontId="4" fillId="0" borderId="50" xfId="0" applyFont="1" applyBorder="1" applyAlignment="1" applyProtection="1">
      <alignment horizontal="center" vertical="center"/>
      <protection locked="0"/>
    </xf>
    <xf numFmtId="1" fontId="4" fillId="3" borderId="50" xfId="0" applyNumberFormat="1" applyFont="1" applyFill="1" applyBorder="1" applyAlignment="1" applyProtection="1">
      <alignment horizontal="center" vertical="center"/>
      <protection hidden="1"/>
    </xf>
    <xf numFmtId="0" fontId="4" fillId="0" borderId="49" xfId="0" applyFont="1" applyBorder="1" applyAlignment="1" applyProtection="1">
      <alignment horizontal="center" vertical="center"/>
      <protection locked="0"/>
    </xf>
    <xf numFmtId="0" fontId="25" fillId="0" borderId="1" xfId="0" applyFont="1" applyBorder="1" applyAlignment="1" applyProtection="1">
      <alignment horizontal="center" shrinkToFit="1"/>
      <protection hidden="1"/>
    </xf>
    <xf numFmtId="0" fontId="25" fillId="0" borderId="61" xfId="0" applyFont="1" applyBorder="1" applyAlignment="1" applyProtection="1">
      <alignment horizontal="center" shrinkToFit="1"/>
      <protection hidden="1"/>
    </xf>
    <xf numFmtId="0" fontId="25" fillId="0" borderId="49" xfId="0" applyFont="1" applyBorder="1" applyAlignment="1" applyProtection="1">
      <alignment horizontal="center" shrinkToFit="1"/>
      <protection hidden="1"/>
    </xf>
    <xf numFmtId="0" fontId="25" fillId="0" borderId="0" xfId="0" applyFont="1" applyAlignment="1" applyProtection="1">
      <alignment horizontal="center" shrinkToFit="1"/>
      <protection hidden="1"/>
    </xf>
    <xf numFmtId="0" fontId="25" fillId="0" borderId="12" xfId="0" applyFont="1" applyBorder="1" applyAlignment="1" applyProtection="1">
      <alignment horizontal="center" shrinkToFit="1"/>
      <protection hidden="1"/>
    </xf>
    <xf numFmtId="1" fontId="4" fillId="3" borderId="71" xfId="0" applyNumberFormat="1" applyFont="1" applyFill="1" applyBorder="1" applyAlignment="1" applyProtection="1">
      <alignment horizontal="center" vertical="center"/>
      <protection hidden="1"/>
    </xf>
    <xf numFmtId="2" fontId="5" fillId="3" borderId="71" xfId="0" applyNumberFormat="1" applyFont="1" applyFill="1" applyBorder="1" applyAlignment="1" applyProtection="1">
      <alignment horizontal="center" vertical="center"/>
      <protection hidden="1"/>
    </xf>
    <xf numFmtId="2" fontId="5" fillId="3" borderId="72" xfId="0" applyNumberFormat="1" applyFont="1" applyFill="1" applyBorder="1" applyAlignment="1" applyProtection="1">
      <alignment horizontal="center" vertical="center"/>
      <protection hidden="1"/>
    </xf>
    <xf numFmtId="2" fontId="5" fillId="3" borderId="60" xfId="0" applyNumberFormat="1" applyFont="1" applyFill="1" applyBorder="1" applyAlignment="1" applyProtection="1">
      <alignment horizontal="center" vertical="center"/>
      <protection hidden="1"/>
    </xf>
    <xf numFmtId="1" fontId="5" fillId="3" borderId="57" xfId="0" applyNumberFormat="1" applyFont="1" applyFill="1" applyBorder="1" applyAlignment="1" applyProtection="1">
      <alignment horizontal="center" vertical="center"/>
      <protection hidden="1"/>
    </xf>
    <xf numFmtId="0" fontId="5" fillId="3" borderId="59" xfId="0" applyFont="1" applyFill="1" applyBorder="1" applyAlignment="1" applyProtection="1">
      <alignment horizontal="center" vertical="center"/>
      <protection hidden="1"/>
    </xf>
    <xf numFmtId="2" fontId="5" fillId="3" borderId="57" xfId="0" applyNumberFormat="1" applyFont="1" applyFill="1" applyBorder="1" applyAlignment="1" applyProtection="1">
      <alignment horizontal="center" vertical="center"/>
      <protection hidden="1"/>
    </xf>
    <xf numFmtId="2" fontId="5" fillId="3" borderId="42" xfId="0" applyNumberFormat="1" applyFont="1" applyFill="1" applyBorder="1" applyAlignment="1" applyProtection="1">
      <alignment horizontal="center" vertical="center"/>
      <protection hidden="1"/>
    </xf>
    <xf numFmtId="0" fontId="36" fillId="12" borderId="42" xfId="3" applyFont="1" applyFill="1" applyBorder="1" applyAlignment="1">
      <alignment horizontal="center"/>
    </xf>
    <xf numFmtId="0" fontId="33" fillId="12" borderId="30" xfId="3" applyFont="1" applyFill="1" applyBorder="1" applyAlignment="1">
      <alignment vertical="center"/>
    </xf>
    <xf numFmtId="0" fontId="32" fillId="12" borderId="38" xfId="3" applyFont="1" applyFill="1" applyBorder="1" applyAlignment="1">
      <alignment horizontal="center"/>
    </xf>
    <xf numFmtId="0" fontId="36" fillId="12" borderId="38" xfId="3" applyFont="1" applyFill="1" applyBorder="1" applyAlignment="1">
      <alignment horizontal="center"/>
    </xf>
    <xf numFmtId="0" fontId="29" fillId="11" borderId="69" xfId="3" applyFont="1" applyFill="1" applyBorder="1" applyAlignment="1">
      <alignment horizontal="center"/>
    </xf>
    <xf numFmtId="0" fontId="5" fillId="2" borderId="1" xfId="0" applyFont="1" applyFill="1" applyBorder="1" applyAlignment="1" applyProtection="1">
      <alignment horizontal="center" vertical="center" shrinkToFit="1"/>
      <protection hidden="1"/>
    </xf>
    <xf numFmtId="0" fontId="5" fillId="2" borderId="1" xfId="0" applyFont="1" applyFill="1" applyBorder="1" applyAlignment="1" applyProtection="1">
      <alignment vertical="center" shrinkToFit="1"/>
      <protection hidden="1"/>
    </xf>
    <xf numFmtId="164" fontId="9" fillId="0" borderId="1" xfId="0" applyNumberFormat="1" applyFont="1" applyBorder="1" applyAlignment="1" applyProtection="1">
      <alignment horizontal="center" vertical="center"/>
      <protection locked="0"/>
    </xf>
    <xf numFmtId="0" fontId="0" fillId="0" borderId="4" xfId="0" applyBorder="1" applyProtection="1">
      <protection locked="0"/>
    </xf>
    <xf numFmtId="0" fontId="0" fillId="0" borderId="2" xfId="0" applyBorder="1" applyProtection="1">
      <protection locked="0"/>
    </xf>
    <xf numFmtId="0" fontId="11"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0" fontId="8" fillId="0" borderId="0" xfId="0" applyFont="1" applyAlignment="1" applyProtection="1">
      <alignment horizontal="center" vertical="center" wrapText="1"/>
      <protection locked="0"/>
    </xf>
    <xf numFmtId="0" fontId="0" fillId="0" borderId="0" xfId="0" applyProtection="1">
      <protection locked="0"/>
    </xf>
    <xf numFmtId="164" fontId="3" fillId="0" borderId="10" xfId="0" applyNumberFormat="1"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164" fontId="9" fillId="0" borderId="1" xfId="0" applyNumberFormat="1" applyFont="1" applyBorder="1" applyAlignment="1" applyProtection="1">
      <alignment horizontal="center" vertical="center" shrinkToFit="1"/>
      <protection locked="0"/>
    </xf>
    <xf numFmtId="164" fontId="11"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0" fontId="8" fillId="0" borderId="0" xfId="0" applyFont="1" applyAlignment="1" applyProtection="1">
      <alignment horizontal="right" vertical="center"/>
      <protection locked="0"/>
    </xf>
    <xf numFmtId="164" fontId="8"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6" fillId="0" borderId="0" xfId="0" applyFont="1" applyAlignment="1" applyProtection="1">
      <alignment horizontal="center" vertical="top" wrapText="1"/>
      <protection locked="0"/>
    </xf>
    <xf numFmtId="164" fontId="8" fillId="0" borderId="0" xfId="0" applyNumberFormat="1" applyFont="1" applyAlignment="1" applyProtection="1">
      <alignment horizontal="right" vertical="center"/>
      <protection hidden="1"/>
    </xf>
    <xf numFmtId="0" fontId="0" fillId="0" borderId="0" xfId="0" applyProtection="1">
      <protection hidden="1"/>
    </xf>
    <xf numFmtId="0" fontId="3" fillId="0" borderId="10"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0" fontId="5" fillId="0" borderId="6"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0" fontId="33" fillId="12" borderId="69" xfId="3" applyFont="1" applyFill="1" applyBorder="1" applyAlignment="1">
      <alignment horizontal="center" vertical="center"/>
    </xf>
    <xf numFmtId="0" fontId="35" fillId="12" borderId="30" xfId="3" applyFont="1" applyFill="1" applyBorder="1" applyAlignment="1">
      <alignment horizontal="center" vertical="center"/>
    </xf>
    <xf numFmtId="0" fontId="35" fillId="12" borderId="69" xfId="3" applyFont="1" applyFill="1" applyBorder="1" applyAlignment="1">
      <alignment horizontal="center" vertical="center"/>
    </xf>
    <xf numFmtId="0" fontId="33" fillId="12" borderId="30" xfId="3" applyFont="1" applyFill="1" applyBorder="1" applyAlignment="1">
      <alignment horizontal="center" vertical="center"/>
    </xf>
    <xf numFmtId="0" fontId="21"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8"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0" fontId="8" fillId="3" borderId="14" xfId="0" applyFont="1" applyFill="1" applyBorder="1" applyAlignment="1" applyProtection="1">
      <alignment horizontal="center" vertical="center" wrapText="1"/>
      <protection hidden="1"/>
    </xf>
    <xf numFmtId="0" fontId="8" fillId="3" borderId="1" xfId="0" applyFont="1" applyFill="1" applyBorder="1" applyAlignment="1" applyProtection="1">
      <alignment horizontal="center" vertical="center" wrapText="1"/>
      <protection hidden="1"/>
    </xf>
    <xf numFmtId="9" fontId="8" fillId="3" borderId="1" xfId="0" applyNumberFormat="1"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8" fillId="3" borderId="28" xfId="0" applyFont="1" applyFill="1" applyBorder="1" applyAlignment="1" applyProtection="1">
      <alignment horizontal="center" vertical="center" wrapText="1"/>
      <protection hidden="1"/>
    </xf>
    <xf numFmtId="2" fontId="5" fillId="0" borderId="0" xfId="0" applyNumberFormat="1" applyFont="1" applyAlignment="1" applyProtection="1">
      <alignment horizontal="center" vertical="center" wrapText="1"/>
      <protection locked="0"/>
    </xf>
    <xf numFmtId="164" fontId="22"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30" fillId="11" borderId="59" xfId="3" applyFont="1" applyFill="1" applyBorder="1" applyAlignment="1">
      <alignment horizontal="center"/>
    </xf>
    <xf numFmtId="0" fontId="30" fillId="11" borderId="8" xfId="3" applyFont="1" applyFill="1" applyBorder="1" applyAlignment="1">
      <alignment horizontal="center"/>
    </xf>
    <xf numFmtId="0" fontId="30" fillId="11" borderId="10" xfId="3" applyFont="1" applyFill="1" applyBorder="1" applyAlignment="1">
      <alignment horizontal="center"/>
    </xf>
    <xf numFmtId="164" fontId="9" fillId="2" borderId="29" xfId="0" applyNumberFormat="1" applyFont="1" applyFill="1" applyBorder="1" applyAlignment="1" applyProtection="1">
      <alignment horizontal="center" vertical="center"/>
      <protection hidden="1"/>
    </xf>
    <xf numFmtId="164" fontId="9" fillId="2" borderId="0" xfId="0" applyNumberFormat="1" applyFont="1" applyFill="1" applyAlignment="1" applyProtection="1">
      <alignment horizontal="center" vertical="center"/>
      <protection hidden="1"/>
    </xf>
    <xf numFmtId="164" fontId="9" fillId="2" borderId="31" xfId="0" applyNumberFormat="1" applyFont="1" applyFill="1" applyBorder="1" applyAlignment="1" applyProtection="1">
      <alignment horizontal="center" vertical="center"/>
      <protection hidden="1"/>
    </xf>
    <xf numFmtId="164" fontId="9" fillId="13" borderId="0" xfId="0" applyNumberFormat="1" applyFont="1" applyFill="1" applyAlignment="1" applyProtection="1">
      <alignment horizontal="center" vertical="center"/>
      <protection hidden="1"/>
    </xf>
    <xf numFmtId="0" fontId="37" fillId="13" borderId="0" xfId="0" applyFont="1" applyFill="1" applyProtection="1">
      <protection hidden="1"/>
    </xf>
    <xf numFmtId="0" fontId="9" fillId="13" borderId="0" xfId="0" applyFont="1" applyFill="1" applyAlignment="1" applyProtection="1">
      <alignment horizontal="center" vertical="center"/>
      <protection hidden="1"/>
    </xf>
    <xf numFmtId="2" fontId="5" fillId="3" borderId="66" xfId="0" applyNumberFormat="1" applyFont="1" applyFill="1" applyBorder="1" applyAlignment="1" applyProtection="1">
      <alignment horizontal="center" vertical="center" wrapText="1"/>
      <protection hidden="1"/>
    </xf>
    <xf numFmtId="2" fontId="5" fillId="3" borderId="30" xfId="0" applyNumberFormat="1" applyFont="1" applyFill="1" applyBorder="1" applyAlignment="1" applyProtection="1">
      <alignment horizontal="center" vertical="center" wrapText="1"/>
      <protection hidden="1"/>
    </xf>
    <xf numFmtId="2" fontId="5" fillId="3" borderId="57" xfId="0" applyNumberFormat="1" applyFont="1" applyFill="1" applyBorder="1" applyAlignment="1" applyProtection="1">
      <alignment horizontal="center" vertical="center" wrapText="1"/>
      <protection hidden="1"/>
    </xf>
    <xf numFmtId="164" fontId="9" fillId="0" borderId="3" xfId="0" applyNumberFormat="1" applyFont="1" applyBorder="1" applyAlignment="1" applyProtection="1">
      <alignment horizontal="center" vertical="center" shrinkToFit="1"/>
      <protection hidden="1"/>
    </xf>
    <xf numFmtId="164" fontId="9" fillId="0" borderId="4"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center" vertical="center" shrinkToFit="1"/>
      <protection hidden="1"/>
    </xf>
    <xf numFmtId="164" fontId="8" fillId="0" borderId="2" xfId="0" applyNumberFormat="1" applyFont="1" applyBorder="1" applyAlignment="1" applyProtection="1">
      <alignment horizontal="right" vertical="center"/>
      <protection hidden="1"/>
    </xf>
    <xf numFmtId="164" fontId="9" fillId="0" borderId="3" xfId="0" applyNumberFormat="1" applyFont="1" applyBorder="1" applyAlignment="1" applyProtection="1">
      <alignment horizontal="center" vertical="center"/>
      <protection hidden="1"/>
    </xf>
    <xf numFmtId="164" fontId="9" fillId="0" borderId="4"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164" fontId="8" fillId="0" borderId="51" xfId="0" applyNumberFormat="1" applyFont="1" applyBorder="1" applyAlignment="1" applyProtection="1">
      <alignment horizontal="right" vertical="center"/>
      <protection hidden="1"/>
    </xf>
    <xf numFmtId="164" fontId="8" fillId="0" borderId="54" xfId="0" applyNumberFormat="1" applyFont="1" applyBorder="1" applyAlignment="1" applyProtection="1">
      <alignment horizontal="right" vertical="center"/>
      <protection hidden="1"/>
    </xf>
    <xf numFmtId="0" fontId="3" fillId="0" borderId="8"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11" fillId="0" borderId="9" xfId="0" applyNumberFormat="1" applyFont="1" applyBorder="1" applyAlignment="1" applyProtection="1">
      <alignment horizontal="center" vertical="center"/>
      <protection hidden="1"/>
    </xf>
    <xf numFmtId="164" fontId="3" fillId="0" borderId="8" xfId="0" applyNumberFormat="1" applyFont="1" applyBorder="1" applyAlignment="1" applyProtection="1">
      <alignment horizontal="center" vertical="center"/>
      <protection hidden="1"/>
    </xf>
    <xf numFmtId="164" fontId="3" fillId="0" borderId="10" xfId="0" applyNumberFormat="1" applyFont="1" applyBorder="1" applyAlignment="1" applyProtection="1">
      <alignment horizontal="center" vertical="center"/>
      <protection hidden="1"/>
    </xf>
    <xf numFmtId="164" fontId="23" fillId="0" borderId="9" xfId="0" applyNumberFormat="1" applyFont="1" applyBorder="1" applyAlignment="1" applyProtection="1">
      <alignment horizontal="center" vertical="center"/>
      <protection hidden="1"/>
    </xf>
    <xf numFmtId="164" fontId="23" fillId="0" borderId="8" xfId="0" applyNumberFormat="1" applyFont="1" applyBorder="1" applyAlignment="1" applyProtection="1">
      <alignment horizontal="center" vertical="center"/>
      <protection hidden="1"/>
    </xf>
    <xf numFmtId="10" fontId="8" fillId="3" borderId="25" xfId="0" applyNumberFormat="1" applyFont="1" applyFill="1" applyBorder="1" applyAlignment="1" applyProtection="1">
      <alignment horizontal="center" vertical="center" wrapText="1"/>
      <protection hidden="1"/>
    </xf>
    <xf numFmtId="10" fontId="8" fillId="3" borderId="23" xfId="0" applyNumberFormat="1" applyFont="1" applyFill="1" applyBorder="1" applyAlignment="1" applyProtection="1">
      <alignment horizontal="center" vertical="center" wrapText="1"/>
      <protection hidden="1"/>
    </xf>
    <xf numFmtId="10" fontId="8" fillId="3" borderId="27" xfId="0" applyNumberFormat="1" applyFont="1" applyFill="1" applyBorder="1" applyAlignment="1" applyProtection="1">
      <alignment horizontal="center" vertical="center" wrapText="1"/>
      <protection hidden="1"/>
    </xf>
    <xf numFmtId="0" fontId="6"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164" fontId="8" fillId="0" borderId="13" xfId="0" applyNumberFormat="1" applyFont="1" applyBorder="1" applyAlignment="1" applyProtection="1">
      <alignment horizontal="right" vertical="center"/>
      <protection hidden="1"/>
    </xf>
    <xf numFmtId="164" fontId="8" fillId="0" borderId="5" xfId="0" applyNumberFormat="1" applyFont="1" applyBorder="1" applyAlignment="1" applyProtection="1">
      <alignment horizontal="right" vertical="center"/>
      <protection hidden="1"/>
    </xf>
    <xf numFmtId="164" fontId="8" fillId="0" borderId="55" xfId="0" applyNumberFormat="1" applyFont="1" applyBorder="1" applyAlignment="1" applyProtection="1">
      <alignment horizontal="right" vertical="center"/>
      <protection hidden="1"/>
    </xf>
    <xf numFmtId="0" fontId="5" fillId="3" borderId="9" xfId="0" applyFont="1" applyFill="1" applyBorder="1" applyAlignment="1" applyProtection="1">
      <alignment horizontal="left" vertical="center" shrinkToFit="1"/>
      <protection hidden="1"/>
    </xf>
    <xf numFmtId="0" fontId="5" fillId="3" borderId="10" xfId="0" applyFont="1" applyFill="1" applyBorder="1" applyAlignment="1" applyProtection="1">
      <alignment horizontal="left" vertical="center" shrinkToFit="1"/>
      <protection hidden="1"/>
    </xf>
    <xf numFmtId="0" fontId="25" fillId="0" borderId="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41" xfId="0" applyFont="1" applyBorder="1" applyAlignment="1" applyProtection="1">
      <alignment horizontal="center" shrinkToFit="1"/>
      <protection hidden="1"/>
    </xf>
    <xf numFmtId="0" fontId="5" fillId="0" borderId="4" xfId="0" applyFont="1" applyBorder="1" applyAlignment="1" applyProtection="1">
      <alignment horizontal="center" shrinkToFit="1"/>
      <protection hidden="1"/>
    </xf>
    <xf numFmtId="0" fontId="5" fillId="0" borderId="43" xfId="0" applyFont="1" applyBorder="1" applyAlignment="1" applyProtection="1">
      <alignment horizontal="center" shrinkToFit="1"/>
      <protection hidden="1"/>
    </xf>
    <xf numFmtId="0" fontId="5" fillId="3" borderId="17" xfId="0" applyFont="1" applyFill="1" applyBorder="1" applyAlignment="1" applyProtection="1">
      <alignment horizontal="left" vertical="center" shrinkToFit="1"/>
      <protection hidden="1"/>
    </xf>
    <xf numFmtId="0" fontId="5" fillId="3" borderId="48" xfId="0" applyFont="1" applyFill="1" applyBorder="1" applyAlignment="1" applyProtection="1">
      <alignment horizontal="left" vertical="center" shrinkToFit="1"/>
      <protection hidden="1"/>
    </xf>
    <xf numFmtId="0" fontId="5" fillId="0" borderId="18" xfId="0" applyFont="1" applyBorder="1" applyAlignment="1" applyProtection="1">
      <alignment horizontal="center" vertical="center" textRotation="90" shrinkToFit="1"/>
      <protection hidden="1"/>
    </xf>
    <xf numFmtId="0" fontId="5" fillId="0" borderId="11" xfId="0" applyFont="1" applyBorder="1" applyAlignment="1" applyProtection="1">
      <alignment horizontal="center" vertical="center" textRotation="90" shrinkToFit="1"/>
      <protection hidden="1"/>
    </xf>
    <xf numFmtId="0" fontId="24" fillId="0" borderId="67" xfId="0" applyFont="1" applyBorder="1" applyAlignment="1" applyProtection="1">
      <alignment horizontal="center" vertical="center" wrapText="1"/>
      <protection hidden="1"/>
    </xf>
    <xf numFmtId="0" fontId="24" fillId="0" borderId="12" xfId="0" applyFont="1" applyBorder="1" applyAlignment="1" applyProtection="1">
      <alignment horizontal="center" vertical="center" wrapText="1"/>
      <protection hidden="1"/>
    </xf>
    <xf numFmtId="0" fontId="10" fillId="0" borderId="68" xfId="0" applyFont="1" applyBorder="1" applyAlignment="1" applyProtection="1">
      <alignment horizontal="center" vertical="center" wrapText="1"/>
      <protection hidden="1"/>
    </xf>
    <xf numFmtId="0" fontId="10" fillId="0" borderId="65" xfId="0" applyFont="1" applyBorder="1" applyAlignment="1" applyProtection="1">
      <alignment horizontal="center" vertical="center" wrapText="1"/>
      <protection hidden="1"/>
    </xf>
    <xf numFmtId="9" fontId="8" fillId="3" borderId="25" xfId="0" applyNumberFormat="1" applyFont="1" applyFill="1" applyBorder="1" applyAlignment="1" applyProtection="1">
      <alignment horizontal="center" vertical="center" wrapText="1"/>
      <protection hidden="1"/>
    </xf>
    <xf numFmtId="9" fontId="8" fillId="3" borderId="23" xfId="0" applyNumberFormat="1" applyFont="1" applyFill="1" applyBorder="1" applyAlignment="1" applyProtection="1">
      <alignment horizontal="center" vertical="center" wrapText="1"/>
      <protection hidden="1"/>
    </xf>
    <xf numFmtId="9" fontId="8" fillId="3" borderId="27" xfId="0" applyNumberFormat="1" applyFont="1" applyFill="1" applyBorder="1" applyAlignment="1" applyProtection="1">
      <alignment horizontal="center" vertical="center" wrapText="1"/>
      <protection hidden="1"/>
    </xf>
    <xf numFmtId="0" fontId="5" fillId="0" borderId="9" xfId="0" applyFont="1" applyBorder="1" applyAlignment="1" applyProtection="1">
      <alignment horizontal="center" vertical="center"/>
      <protection locked="0"/>
    </xf>
    <xf numFmtId="164" fontId="9" fillId="0" borderId="14" xfId="0" applyNumberFormat="1" applyFont="1" applyBorder="1" applyAlignment="1" applyProtection="1">
      <alignment horizontal="center" vertical="center"/>
      <protection hidden="1"/>
    </xf>
    <xf numFmtId="164" fontId="8" fillId="0" borderId="2" xfId="0" applyNumberFormat="1"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0" fillId="0" borderId="43" xfId="0" applyBorder="1" applyProtection="1">
      <protection hidden="1"/>
    </xf>
    <xf numFmtId="164" fontId="9" fillId="0" borderId="15"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8"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9"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164" fontId="9" fillId="0" borderId="21" xfId="0" applyNumberFormat="1" applyFont="1" applyBorder="1" applyAlignment="1" applyProtection="1">
      <alignment horizontal="center" vertical="center"/>
      <protection hidden="1"/>
    </xf>
    <xf numFmtId="164" fontId="8"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9" fillId="0" borderId="21" xfId="0" applyFont="1" applyBorder="1" applyAlignment="1" applyProtection="1">
      <alignment horizontal="center" vertical="center"/>
      <protection hidden="1"/>
    </xf>
    <xf numFmtId="0" fontId="0" fillId="0" borderId="27" xfId="0" applyBorder="1" applyProtection="1">
      <protection hidden="1"/>
    </xf>
    <xf numFmtId="164" fontId="9" fillId="0" borderId="62" xfId="0" applyNumberFormat="1" applyFont="1" applyBorder="1" applyAlignment="1" applyProtection="1">
      <alignment horizontal="center" vertical="center"/>
      <protection hidden="1"/>
    </xf>
    <xf numFmtId="164" fontId="9" fillId="2" borderId="49" xfId="0" applyNumberFormat="1" applyFont="1" applyFill="1" applyBorder="1" applyAlignment="1" applyProtection="1">
      <alignment horizontal="center" vertical="center"/>
      <protection hidden="1"/>
    </xf>
    <xf numFmtId="0" fontId="0" fillId="0" borderId="54" xfId="0" applyBorder="1" applyProtection="1">
      <protection hidden="1"/>
    </xf>
    <xf numFmtId="164" fontId="9" fillId="4" borderId="49" xfId="0" applyNumberFormat="1" applyFont="1" applyFill="1" applyBorder="1" applyAlignment="1" applyProtection="1">
      <alignment horizontal="center" vertical="center"/>
      <protection hidden="1"/>
    </xf>
    <xf numFmtId="0" fontId="9" fillId="4" borderId="30" xfId="0" applyFont="1" applyFill="1" applyBorder="1" applyAlignment="1" applyProtection="1">
      <alignment horizontal="center" vertical="center"/>
      <protection hidden="1"/>
    </xf>
    <xf numFmtId="0" fontId="0" fillId="0" borderId="31" xfId="0" applyBorder="1" applyProtection="1">
      <protection hidden="1"/>
    </xf>
    <xf numFmtId="0" fontId="5" fillId="2" borderId="30" xfId="0" applyFont="1" applyFill="1" applyBorder="1" applyAlignment="1" applyProtection="1">
      <alignment horizontal="center" shrinkToFit="1"/>
      <protection hidden="1"/>
    </xf>
    <xf numFmtId="164" fontId="9" fillId="0" borderId="24" xfId="0" applyNumberFormat="1" applyFont="1" applyBorder="1" applyAlignment="1" applyProtection="1">
      <alignment horizontal="center" vertical="center"/>
      <protection hidden="1"/>
    </xf>
    <xf numFmtId="0" fontId="5"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0"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58" xfId="0" applyBorder="1" applyProtection="1">
      <protection hidden="1"/>
    </xf>
    <xf numFmtId="0" fontId="0" fillId="0" borderId="59" xfId="0" applyBorder="1" applyProtection="1">
      <protection hidden="1"/>
    </xf>
    <xf numFmtId="0" fontId="5" fillId="0" borderId="9" xfId="0" applyFont="1" applyBorder="1" applyAlignment="1" applyProtection="1">
      <alignment horizontal="right" vertical="center"/>
      <protection hidden="1"/>
    </xf>
    <xf numFmtId="0" fontId="0" fillId="0" borderId="8" xfId="0" applyBorder="1" applyProtection="1">
      <protection hidden="1"/>
    </xf>
    <xf numFmtId="164" fontId="9" fillId="0" borderId="10" xfId="0" applyNumberFormat="1" applyFont="1" applyBorder="1" applyAlignment="1" applyProtection="1">
      <alignment horizontal="center" vertical="center"/>
      <protection hidden="1"/>
    </xf>
    <xf numFmtId="164" fontId="5" fillId="0" borderId="9" xfId="0" applyNumberFormat="1" applyFont="1" applyBorder="1" applyAlignment="1" applyProtection="1">
      <alignment horizontal="right" vertical="center"/>
      <protection hidden="1"/>
    </xf>
    <xf numFmtId="164" fontId="9" fillId="0" borderId="20" xfId="0" applyNumberFormat="1" applyFont="1" applyBorder="1" applyAlignment="1" applyProtection="1">
      <alignment horizontal="center" vertical="center"/>
      <protection hidden="1"/>
    </xf>
    <xf numFmtId="164" fontId="31" fillId="0" borderId="10" xfId="0" applyNumberFormat="1" applyFont="1" applyBorder="1" applyAlignment="1" applyProtection="1">
      <alignment horizontal="center" vertical="center"/>
      <protection hidden="1"/>
    </xf>
    <xf numFmtId="0" fontId="1" fillId="0" borderId="8" xfId="0" applyFont="1" applyBorder="1" applyProtection="1">
      <protection hidden="1"/>
    </xf>
    <xf numFmtId="0" fontId="1" fillId="0" borderId="10" xfId="0" applyFont="1" applyBorder="1" applyProtection="1">
      <protection hidden="1"/>
    </xf>
    <xf numFmtId="164" fontId="8"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8" fillId="0" borderId="56" xfId="0" applyFont="1" applyBorder="1" applyAlignment="1" applyProtection="1">
      <alignment horizontal="center" vertical="center" shrinkToFit="1"/>
      <protection hidden="1"/>
    </xf>
    <xf numFmtId="0" fontId="10" fillId="0" borderId="54" xfId="0" applyFont="1" applyBorder="1" applyAlignment="1" applyProtection="1">
      <alignment horizontal="right" vertical="center"/>
      <protection hidden="1"/>
    </xf>
    <xf numFmtId="164" fontId="9" fillId="0" borderId="1" xfId="0" applyNumberFormat="1" applyFont="1" applyBorder="1" applyAlignment="1" applyProtection="1">
      <alignment horizontal="center" vertical="center" shrinkToFit="1"/>
      <protection hidden="1"/>
    </xf>
    <xf numFmtId="164" fontId="10"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0" fillId="0" borderId="0" xfId="0" applyNumberFormat="1" applyFont="1" applyAlignment="1" applyProtection="1">
      <alignment horizontal="right" vertical="center"/>
      <protection hidden="1"/>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right" vertical="center"/>
      <protection hidden="1"/>
    </xf>
    <xf numFmtId="164" fontId="9" fillId="0" borderId="1" xfId="0" applyNumberFormat="1" applyFont="1" applyBorder="1" applyAlignment="1" applyProtection="1">
      <alignment horizontal="center" vertical="center"/>
      <protection hidden="1"/>
    </xf>
    <xf numFmtId="0" fontId="29" fillId="11" borderId="66" xfId="3" applyFont="1" applyFill="1" applyBorder="1" applyAlignment="1">
      <alignment horizontal="center" vertical="center"/>
    </xf>
    <xf numFmtId="0" fontId="29" fillId="11" borderId="19" xfId="3" applyFont="1" applyFill="1" applyBorder="1" applyAlignment="1">
      <alignment horizontal="center" vertical="center"/>
    </xf>
    <xf numFmtId="0" fontId="29" fillId="11" borderId="20" xfId="3" applyFont="1" applyFill="1" applyBorder="1" applyAlignment="1">
      <alignment horizontal="center" vertical="center"/>
    </xf>
    <xf numFmtId="0" fontId="5" fillId="2" borderId="60" xfId="0" applyFont="1" applyFill="1" applyBorder="1" applyAlignment="1" applyProtection="1">
      <alignment horizontal="center" shrinkToFit="1"/>
      <protection hidden="1"/>
    </xf>
    <xf numFmtId="0" fontId="5" fillId="2" borderId="58" xfId="0" applyFont="1" applyFill="1" applyBorder="1" applyAlignment="1" applyProtection="1">
      <alignment horizontal="center" shrinkToFit="1"/>
      <protection hidden="1"/>
    </xf>
    <xf numFmtId="0" fontId="5" fillId="2" borderId="59" xfId="0" applyFont="1" applyFill="1" applyBorder="1" applyAlignment="1" applyProtection="1">
      <alignment horizontal="center" shrinkToFit="1"/>
      <protection hidden="1"/>
    </xf>
    <xf numFmtId="0" fontId="11" fillId="0" borderId="5" xfId="1" applyFont="1" applyBorder="1" applyAlignment="1" applyProtection="1">
      <alignment horizontal="center" vertical="center"/>
      <protection locked="0"/>
    </xf>
    <xf numFmtId="0" fontId="18" fillId="0" borderId="0" xfId="0" applyFont="1" applyAlignment="1">
      <alignment horizontal="center" vertical="center"/>
    </xf>
    <xf numFmtId="0" fontId="3" fillId="0" borderId="5" xfId="1" applyBorder="1" applyAlignment="1" applyProtection="1">
      <alignment horizontal="center"/>
      <protection locked="0"/>
    </xf>
    <xf numFmtId="0" fontId="5" fillId="2" borderId="73" xfId="0" applyFont="1" applyFill="1" applyBorder="1" applyAlignment="1" applyProtection="1">
      <alignment horizontal="center" shrinkToFit="1"/>
      <protection hidden="1"/>
    </xf>
    <xf numFmtId="0" fontId="5" fillId="2" borderId="74" xfId="0" applyFont="1" applyFill="1" applyBorder="1" applyAlignment="1" applyProtection="1">
      <alignment vertical="center" shrinkToFit="1"/>
      <protection hidden="1"/>
    </xf>
  </cellXfs>
  <cellStyles count="4">
    <cellStyle name="Normal" xfId="0" builtinId="0"/>
    <cellStyle name="Normal 2" xfId="1" xr:uid="{00000000-0005-0000-0000-000001000000}"/>
    <cellStyle name="Percent" xfId="2" builtinId="5"/>
    <cellStyle name="TableStyleLight1" xfId="3" xr:uid="{27687F72-64E8-4936-945B-76D3A429A23B}"/>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98871</xdr:colOff>
      <xdr:row>3</xdr:row>
      <xdr:rowOff>173808</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95278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94563</xdr:colOff>
      <xdr:row>3</xdr:row>
      <xdr:rowOff>173808</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9"/>
    <tableColumn id="2" xr3:uid="{00000000-0010-0000-0000-000002000000}" name="WWs" dataDxfId="28"/>
    <tableColumn id="3" xr3:uid="{00000000-0010-0000-0000-000003000000}" name="PTs" dataDxfId="27"/>
    <tableColumn id="4" xr3:uid="{00000000-0010-0000-0000-000004000000}" name="STs-TE" dataDxfId="26"/>
    <tableColumn id="5" xr3:uid="{00000000-0010-0000-0000-000005000000}"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000-000000000000}">
  <sheetPr>
    <tabColor rgb="FFFF9933"/>
  </sheetPr>
  <dimension ref="A1:BH118"/>
  <sheetViews>
    <sheetView showGridLines="0" tabSelected="1" zoomScale="130" zoomScaleNormal="130" workbookViewId="0">
      <selection activeCell="B14" sqref="B14"/>
    </sheetView>
  </sheetViews>
  <sheetFormatPr defaultColWidth="4.7109375" defaultRowHeight="15"/>
  <cols>
    <col min="1" max="1" width="4.140625" style="2" customWidth="1"/>
    <col min="2" max="2" width="35.7109375" style="2" customWidth="1"/>
    <col min="3" max="5" width="1.7109375" style="2" hidden="1" customWidth="1"/>
    <col min="6" max="10" width="4.7109375" style="2" customWidth="1"/>
    <col min="11" max="11" width="6.28515625" style="2" customWidth="1"/>
    <col min="12" max="13" width="7.140625" style="3" customWidth="1"/>
    <col min="14" max="16" width="4.7109375" style="2" customWidth="1"/>
    <col min="17" max="17" width="6.28515625" style="2" customWidth="1"/>
    <col min="18" max="19" width="7.140625" style="3" customWidth="1"/>
    <col min="20" max="21" width="4.7109375" style="3" customWidth="1"/>
    <col min="22" max="22" width="4.7109375" style="2" customWidth="1"/>
    <col min="23" max="24" width="7.140625" style="3" customWidth="1"/>
    <col min="25" max="25" width="11.28515625" style="3" customWidth="1"/>
    <col min="26" max="26" width="11.28515625" style="4" customWidth="1"/>
    <col min="27" max="43" width="4.7109375" style="5" customWidth="1"/>
    <col min="44" max="44" width="4.7109375" style="6" customWidth="1"/>
    <col min="45" max="45" width="0" style="6" hidden="1"/>
    <col min="46" max="60" width="4.7109375" style="1" customWidth="1"/>
  </cols>
  <sheetData>
    <row r="1" spans="1:45" ht="15" customHeight="1">
      <c r="A1" s="279" t="s">
        <v>0</v>
      </c>
      <c r="B1" s="268"/>
      <c r="C1" s="268"/>
      <c r="D1" s="268"/>
      <c r="E1" s="268"/>
      <c r="F1" s="268"/>
      <c r="G1" s="268"/>
      <c r="H1" s="268"/>
      <c r="I1" s="268"/>
      <c r="J1" s="268"/>
      <c r="K1" s="268"/>
      <c r="L1" s="268"/>
      <c r="M1" s="268"/>
      <c r="N1" s="268"/>
      <c r="O1" s="268"/>
      <c r="P1" s="268"/>
      <c r="Q1" s="268"/>
      <c r="R1" s="268"/>
      <c r="S1" s="268"/>
      <c r="T1" s="268"/>
      <c r="U1" s="268"/>
      <c r="V1" s="268"/>
      <c r="W1" s="268"/>
      <c r="X1" s="268"/>
      <c r="Y1" s="268"/>
      <c r="Z1" s="268"/>
    </row>
    <row r="2" spans="1:45" ht="15" customHeight="1">
      <c r="A2" s="268"/>
      <c r="B2" s="268"/>
      <c r="C2" s="268"/>
      <c r="D2" s="268"/>
      <c r="E2" s="268"/>
      <c r="F2" s="268"/>
      <c r="G2" s="268"/>
      <c r="H2" s="268"/>
      <c r="I2" s="268"/>
      <c r="J2" s="268"/>
      <c r="K2" s="268"/>
      <c r="L2" s="268"/>
      <c r="M2" s="268"/>
      <c r="N2" s="268"/>
      <c r="O2" s="268"/>
      <c r="P2" s="268"/>
      <c r="Q2" s="268"/>
      <c r="R2" s="268"/>
      <c r="S2" s="268"/>
      <c r="T2" s="268"/>
      <c r="U2" s="268"/>
      <c r="V2" s="268"/>
      <c r="W2" s="268"/>
      <c r="X2" s="268"/>
      <c r="Y2" s="268"/>
      <c r="Z2" s="268"/>
    </row>
    <row r="3" spans="1:45" ht="15" customHeight="1">
      <c r="A3" s="283" t="s">
        <v>1</v>
      </c>
      <c r="B3" s="268"/>
      <c r="C3" s="268"/>
      <c r="D3" s="268"/>
      <c r="E3" s="268"/>
      <c r="F3" s="268"/>
      <c r="G3" s="268"/>
      <c r="H3" s="268"/>
      <c r="I3" s="268"/>
      <c r="J3" s="268"/>
      <c r="K3" s="268"/>
      <c r="L3" s="268"/>
      <c r="M3" s="268"/>
      <c r="N3" s="268"/>
      <c r="O3" s="268"/>
      <c r="P3" s="268"/>
      <c r="Q3" s="268"/>
      <c r="R3" s="268"/>
      <c r="S3" s="268"/>
      <c r="T3" s="268"/>
      <c r="U3" s="268"/>
      <c r="V3" s="268"/>
      <c r="W3" s="268"/>
      <c r="X3" s="268"/>
      <c r="Y3" s="268"/>
      <c r="Z3" s="268"/>
    </row>
    <row r="4" spans="1:45" ht="21" customHeight="1">
      <c r="B4" s="275" t="s">
        <v>2</v>
      </c>
      <c r="C4" s="268"/>
      <c r="D4" s="268"/>
      <c r="E4" s="268"/>
      <c r="F4" s="268"/>
      <c r="G4" s="272">
        <v>10</v>
      </c>
      <c r="H4" s="264"/>
      <c r="I4" s="276" t="s">
        <v>3</v>
      </c>
      <c r="J4" s="277"/>
      <c r="K4" s="278"/>
      <c r="L4" s="272" t="s">
        <v>4</v>
      </c>
      <c r="M4" s="263"/>
      <c r="N4" s="263"/>
      <c r="O4" s="264"/>
      <c r="P4" s="7"/>
      <c r="Q4" s="8"/>
      <c r="R4" s="9"/>
      <c r="S4" s="10"/>
      <c r="T4" s="10"/>
      <c r="U4" s="10"/>
      <c r="V4" s="11"/>
      <c r="W4" s="11"/>
      <c r="X4" s="11"/>
      <c r="Y4" s="11"/>
      <c r="Z4" s="12"/>
      <c r="AA4" s="13"/>
    </row>
    <row r="5" spans="1:45" ht="21" customHeight="1">
      <c r="B5" s="275" t="s">
        <v>5</v>
      </c>
      <c r="C5" s="268"/>
      <c r="D5" s="268"/>
      <c r="E5" s="268"/>
      <c r="F5" s="268"/>
      <c r="G5" s="272" t="s">
        <v>152</v>
      </c>
      <c r="H5" s="263"/>
      <c r="I5" s="286"/>
      <c r="J5" s="286"/>
      <c r="K5" s="286"/>
      <c r="L5" s="263"/>
      <c r="M5" s="263"/>
      <c r="N5" s="263"/>
      <c r="O5" s="264"/>
      <c r="P5" s="7"/>
      <c r="Q5" s="280" t="s">
        <v>6</v>
      </c>
      <c r="R5" s="281"/>
      <c r="S5" s="262">
        <v>405198</v>
      </c>
      <c r="T5" s="263"/>
      <c r="U5" s="264"/>
      <c r="V5" s="280" t="s">
        <v>7</v>
      </c>
      <c r="W5" s="281"/>
      <c r="X5" s="281"/>
      <c r="Y5" s="262" t="s">
        <v>156</v>
      </c>
      <c r="Z5" s="264"/>
      <c r="AA5" s="13"/>
    </row>
    <row r="6" spans="1:45" ht="14.65" customHeight="1" thickBot="1"/>
    <row r="7" spans="1:45" ht="23.25" customHeight="1" thickBot="1">
      <c r="A7" s="284"/>
      <c r="B7" s="285"/>
      <c r="C7" s="14"/>
      <c r="D7" s="14"/>
      <c r="E7" s="14"/>
      <c r="F7" s="265" t="s">
        <v>8</v>
      </c>
      <c r="G7" s="266"/>
      <c r="H7" s="266"/>
      <c r="I7" s="266"/>
      <c r="J7" s="282" t="s">
        <v>153</v>
      </c>
      <c r="K7" s="270"/>
      <c r="L7" s="270"/>
      <c r="M7" s="271"/>
      <c r="N7" s="273" t="s">
        <v>9</v>
      </c>
      <c r="O7" s="274"/>
      <c r="P7" s="274"/>
      <c r="Q7" s="269" t="s">
        <v>155</v>
      </c>
      <c r="R7" s="270"/>
      <c r="S7" s="270"/>
      <c r="T7" s="270"/>
      <c r="U7" s="270"/>
      <c r="V7" s="271"/>
      <c r="W7" s="273" t="s">
        <v>10</v>
      </c>
      <c r="X7" s="274"/>
      <c r="Y7" s="302" t="s">
        <v>154</v>
      </c>
      <c r="Z7" s="303"/>
      <c r="AC7" s="291" t="s">
        <v>126</v>
      </c>
      <c r="AD7" s="292"/>
      <c r="AE7" s="292"/>
      <c r="AF7" s="292"/>
      <c r="AG7" s="292"/>
      <c r="AH7" s="292"/>
      <c r="AI7" s="292"/>
      <c r="AJ7" s="292"/>
      <c r="AK7" s="293">
        <v>0.2</v>
      </c>
      <c r="AL7" s="292"/>
      <c r="AM7" s="292"/>
      <c r="AN7" s="292"/>
      <c r="AO7" s="292"/>
      <c r="AP7" s="294"/>
    </row>
    <row r="8" spans="1:45" s="4" customFormat="1" ht="46.9" customHeight="1">
      <c r="A8" s="15"/>
      <c r="B8" s="16" t="s">
        <v>11</v>
      </c>
      <c r="C8" s="16"/>
      <c r="D8" s="16"/>
      <c r="E8" s="17"/>
      <c r="F8" s="267"/>
      <c r="G8" s="268"/>
      <c r="H8" s="268"/>
      <c r="I8" s="268"/>
      <c r="J8" s="268"/>
      <c r="K8" s="268"/>
      <c r="L8" s="268"/>
      <c r="M8" s="268"/>
      <c r="N8" s="267"/>
      <c r="O8" s="268"/>
      <c r="P8" s="268"/>
      <c r="Q8" s="268"/>
      <c r="R8" s="268"/>
      <c r="S8" s="268"/>
      <c r="T8" s="267"/>
      <c r="U8" s="268"/>
      <c r="V8" s="268"/>
      <c r="W8" s="268"/>
      <c r="X8" s="268"/>
      <c r="Y8" s="301"/>
      <c r="Z8" s="301"/>
      <c r="AA8" s="19"/>
      <c r="AB8" s="19"/>
      <c r="AC8" s="295" t="s">
        <v>127</v>
      </c>
      <c r="AD8" s="296"/>
      <c r="AE8" s="296"/>
      <c r="AF8" s="296"/>
      <c r="AG8" s="296"/>
      <c r="AH8" s="296"/>
      <c r="AI8" s="296"/>
      <c r="AJ8" s="296"/>
      <c r="AK8" s="297">
        <v>0.8</v>
      </c>
      <c r="AL8" s="298"/>
      <c r="AM8" s="298"/>
      <c r="AN8" s="298"/>
      <c r="AO8" s="298"/>
      <c r="AP8" s="299"/>
      <c r="AQ8" s="19"/>
      <c r="AR8" s="19"/>
      <c r="AS8" s="19"/>
    </row>
    <row r="9" spans="1:45" s="23" customFormat="1" ht="18" hidden="1" customHeight="1">
      <c r="A9" s="24"/>
      <c r="B9" s="25" t="s">
        <v>12</v>
      </c>
      <c r="C9" s="25"/>
      <c r="D9" s="25"/>
      <c r="E9" s="26"/>
      <c r="F9" s="27"/>
      <c r="G9" s="27"/>
      <c r="H9" s="27"/>
      <c r="I9" s="27"/>
      <c r="J9" s="27"/>
      <c r="K9" s="28"/>
      <c r="L9" s="21"/>
      <c r="M9" s="29"/>
      <c r="N9" s="27"/>
      <c r="O9" s="27"/>
      <c r="P9" s="27"/>
      <c r="Q9" s="28"/>
      <c r="R9" s="21"/>
      <c r="S9" s="29"/>
      <c r="T9" s="29"/>
      <c r="U9" s="29"/>
      <c r="V9" s="27"/>
      <c r="W9" s="21"/>
      <c r="X9" s="29"/>
      <c r="Y9" s="268"/>
      <c r="Z9" s="268"/>
      <c r="AA9" s="5"/>
      <c r="AB9" s="5"/>
      <c r="AC9" s="180"/>
      <c r="AD9" s="179"/>
      <c r="AE9" s="179"/>
      <c r="AF9" s="179"/>
      <c r="AG9" s="179"/>
      <c r="AH9" s="179"/>
      <c r="AI9" s="179"/>
      <c r="AJ9" s="179"/>
      <c r="AK9" s="296"/>
      <c r="AL9" s="298"/>
      <c r="AM9" s="298"/>
      <c r="AN9" s="298"/>
      <c r="AO9" s="298"/>
      <c r="AP9" s="299"/>
      <c r="AQ9" s="5"/>
      <c r="AR9" s="5"/>
      <c r="AS9" s="5"/>
    </row>
    <row r="10" spans="1:45" s="23" customFormat="1" ht="18" customHeight="1">
      <c r="A10" s="30"/>
      <c r="B10" s="31" t="s">
        <v>13</v>
      </c>
      <c r="C10" s="31"/>
      <c r="D10" s="31"/>
      <c r="E10" s="32"/>
      <c r="F10" s="27"/>
      <c r="G10" s="27"/>
      <c r="H10" s="27"/>
      <c r="I10" s="27"/>
      <c r="J10" s="27"/>
      <c r="K10" s="20"/>
      <c r="L10" s="21"/>
      <c r="M10" s="21"/>
      <c r="N10" s="27"/>
      <c r="O10" s="27"/>
      <c r="P10" s="27"/>
      <c r="Q10" s="20"/>
      <c r="R10" s="21"/>
      <c r="S10" s="21"/>
      <c r="T10" s="21"/>
      <c r="U10" s="21"/>
      <c r="V10" s="27"/>
      <c r="W10" s="21"/>
      <c r="X10" s="21"/>
      <c r="Y10" s="21"/>
      <c r="Z10" s="33"/>
      <c r="AA10" s="5"/>
      <c r="AB10" s="5"/>
      <c r="AC10" s="295" t="s">
        <v>163</v>
      </c>
      <c r="AD10" s="296"/>
      <c r="AE10" s="296"/>
      <c r="AF10" s="296"/>
      <c r="AG10" s="296"/>
      <c r="AH10" s="296"/>
      <c r="AI10" s="296"/>
      <c r="AJ10" s="296"/>
      <c r="AK10" s="297">
        <v>0.2</v>
      </c>
      <c r="AL10" s="296"/>
      <c r="AM10" s="296"/>
      <c r="AN10" s="296"/>
      <c r="AO10" s="296"/>
      <c r="AP10" s="300"/>
      <c r="AQ10" s="5"/>
      <c r="AR10" s="5"/>
      <c r="AS10" s="5"/>
    </row>
    <row r="11" spans="1:45" s="23" customFormat="1" ht="18" hidden="1" customHeight="1">
      <c r="A11" s="424" t="s">
        <v>129</v>
      </c>
      <c r="B11" s="425" t="s">
        <v>131</v>
      </c>
      <c r="C11" s="31"/>
      <c r="D11" s="31"/>
      <c r="E11" s="32"/>
      <c r="F11" s="27"/>
      <c r="G11" s="27"/>
      <c r="H11" s="27"/>
      <c r="I11" s="27"/>
      <c r="J11" s="27"/>
      <c r="K11" s="20"/>
      <c r="L11" s="21"/>
      <c r="M11" s="21"/>
      <c r="N11" s="27"/>
      <c r="O11" s="27"/>
      <c r="P11" s="27"/>
      <c r="Q11" s="20"/>
      <c r="R11" s="21"/>
      <c r="S11" s="21"/>
      <c r="T11" s="21"/>
      <c r="U11" s="21"/>
      <c r="V11" s="27"/>
      <c r="W11" s="21"/>
      <c r="X11" s="21"/>
      <c r="Y11" s="21"/>
      <c r="Z11" s="33"/>
      <c r="AA11" s="5"/>
      <c r="AB11" s="5"/>
      <c r="AC11" s="295"/>
      <c r="AD11" s="296"/>
      <c r="AE11" s="296"/>
      <c r="AF11" s="296"/>
      <c r="AG11" s="296"/>
      <c r="AH11" s="296"/>
      <c r="AI11" s="296"/>
      <c r="AJ11" s="296"/>
      <c r="AK11" s="297"/>
      <c r="AL11" s="296"/>
      <c r="AM11" s="296"/>
      <c r="AN11" s="296"/>
      <c r="AO11" s="296"/>
      <c r="AP11" s="300"/>
      <c r="AQ11" s="5"/>
      <c r="AR11" s="5"/>
      <c r="AS11" s="5"/>
    </row>
    <row r="12" spans="1:45" ht="18" customHeight="1">
      <c r="A12" s="34"/>
      <c r="B12" s="35"/>
      <c r="C12" s="36"/>
      <c r="D12" s="36"/>
      <c r="E12" s="37"/>
      <c r="F12" s="38"/>
      <c r="G12" s="38"/>
      <c r="H12" s="38"/>
      <c r="I12" s="38"/>
      <c r="J12" s="38"/>
      <c r="K12" s="39"/>
      <c r="L12" s="40"/>
      <c r="M12" s="40"/>
      <c r="N12" s="38"/>
      <c r="O12" s="38"/>
      <c r="P12" s="38"/>
      <c r="Q12" s="39"/>
      <c r="R12" s="40"/>
      <c r="S12" s="40"/>
      <c r="T12" s="40"/>
      <c r="U12" s="40"/>
      <c r="V12" s="38"/>
      <c r="W12" s="40"/>
      <c r="X12" s="40"/>
      <c r="Y12" s="40"/>
      <c r="Z12" s="41"/>
      <c r="AA12" s="42"/>
      <c r="AB12" s="42"/>
      <c r="AC12" s="295"/>
      <c r="AD12" s="296"/>
      <c r="AE12" s="296"/>
      <c r="AF12" s="296"/>
      <c r="AG12" s="296"/>
      <c r="AH12" s="296"/>
      <c r="AI12" s="296"/>
      <c r="AJ12" s="296"/>
      <c r="AK12" s="296"/>
      <c r="AL12" s="296"/>
      <c r="AM12" s="296"/>
      <c r="AN12" s="296"/>
      <c r="AO12" s="296"/>
      <c r="AP12" s="300"/>
      <c r="AQ12" s="42"/>
      <c r="AR12" s="42"/>
      <c r="AS12" s="42" t="e">
        <f>(V12/#REF!)*100</f>
      </c>
    </row>
    <row r="13" spans="1:45" ht="18" customHeight="1">
      <c r="A13" s="34"/>
      <c r="B13" s="35"/>
      <c r="C13" s="36"/>
      <c r="D13" s="36"/>
      <c r="E13" s="37"/>
      <c r="F13" s="38"/>
      <c r="G13" s="38"/>
      <c r="H13" s="38"/>
      <c r="I13" s="38"/>
      <c r="J13" s="38"/>
      <c r="K13" s="39"/>
      <c r="L13" s="40"/>
      <c r="M13" s="40"/>
      <c r="N13" s="38"/>
      <c r="O13" s="38"/>
      <c r="P13" s="38"/>
      <c r="Q13" s="39"/>
      <c r="R13" s="40"/>
      <c r="S13" s="40"/>
      <c r="T13" s="40"/>
      <c r="U13" s="40"/>
      <c r="V13" s="38"/>
      <c r="W13" s="40"/>
      <c r="X13" s="40"/>
      <c r="Y13" s="40"/>
      <c r="Z13" s="41"/>
      <c r="AA13" s="42"/>
      <c r="AB13" s="42"/>
      <c r="AC13" s="42"/>
      <c r="AD13" s="42"/>
      <c r="AE13" s="42"/>
      <c r="AF13" s="42"/>
      <c r="AG13" s="42"/>
      <c r="AH13" s="42"/>
      <c r="AI13" s="42"/>
      <c r="AJ13" s="42"/>
      <c r="AK13" s="42"/>
      <c r="AL13" s="42"/>
      <c r="AM13" s="42"/>
      <c r="AN13" s="42"/>
      <c r="AO13" s="42"/>
      <c r="AP13" s="42"/>
      <c r="AQ13" s="42"/>
      <c r="AR13" s="42"/>
      <c r="AS13" s="42" t="e">
        <f t="shared" ref="AS11:AS74" si="0">(V13/$V$9)*100</f>
      </c>
    </row>
    <row r="14" spans="1:45" ht="18" customHeight="1">
      <c r="A14" s="34"/>
      <c r="B14" s="35"/>
      <c r="C14" s="36"/>
      <c r="D14" s="36"/>
      <c r="E14" s="37"/>
      <c r="F14" s="38"/>
      <c r="G14" s="38"/>
      <c r="H14" s="38"/>
      <c r="I14" s="38"/>
      <c r="J14" s="38"/>
      <c r="K14" s="39"/>
      <c r="L14" s="40"/>
      <c r="M14" s="40"/>
      <c r="N14" s="38"/>
      <c r="O14" s="38"/>
      <c r="P14" s="38"/>
      <c r="Q14" s="39"/>
      <c r="R14" s="40"/>
      <c r="S14" s="40"/>
      <c r="T14" s="40"/>
      <c r="U14" s="40"/>
      <c r="V14" s="38"/>
      <c r="W14" s="40"/>
      <c r="X14" s="40"/>
      <c r="Y14" s="40"/>
      <c r="Z14" s="41"/>
      <c r="AA14" s="42"/>
      <c r="AB14" s="42"/>
      <c r="AC14" s="42"/>
      <c r="AD14" s="42"/>
      <c r="AE14" s="42"/>
      <c r="AF14" s="42"/>
      <c r="AG14" s="42"/>
      <c r="AH14" s="42"/>
      <c r="AI14" s="42"/>
      <c r="AJ14" s="42"/>
      <c r="AK14" s="42"/>
      <c r="AL14" s="42"/>
      <c r="AM14" s="42"/>
      <c r="AN14" s="42"/>
      <c r="AO14" s="42"/>
      <c r="AP14" s="42"/>
      <c r="AQ14" s="42"/>
      <c r="AR14" s="42"/>
      <c r="AS14" s="42" t="e">
        <f t="shared" si="0"/>
        <v>#DIV/0!</v>
      </c>
    </row>
    <row r="15" spans="1:45" ht="18" customHeight="1">
      <c r="A15" s="34"/>
      <c r="B15" s="35"/>
      <c r="C15" s="36"/>
      <c r="D15" s="36"/>
      <c r="E15" s="37"/>
      <c r="F15" s="38"/>
      <c r="G15" s="38"/>
      <c r="H15" s="38"/>
      <c r="I15" s="38"/>
      <c r="J15" s="38"/>
      <c r="K15" s="39"/>
      <c r="L15" s="40"/>
      <c r="M15" s="40"/>
      <c r="N15" s="38"/>
      <c r="O15" s="38"/>
      <c r="P15" s="38"/>
      <c r="Q15" s="39"/>
      <c r="R15" s="40"/>
      <c r="S15" s="40"/>
      <c r="T15" s="40"/>
      <c r="U15" s="40"/>
      <c r="V15" s="38"/>
      <c r="W15" s="40"/>
      <c r="X15" s="40"/>
      <c r="Y15" s="40"/>
      <c r="Z15" s="41"/>
      <c r="AA15" s="42"/>
      <c r="AB15" s="42"/>
      <c r="AC15" s="42"/>
      <c r="AD15" s="42"/>
      <c r="AE15" s="42"/>
      <c r="AF15" s="42"/>
      <c r="AG15" s="42"/>
      <c r="AH15" s="42"/>
      <c r="AI15" s="42"/>
      <c r="AJ15" s="42"/>
      <c r="AK15" s="42"/>
      <c r="AL15" s="42"/>
      <c r="AM15" s="42"/>
      <c r="AN15" s="42"/>
      <c r="AO15" s="42"/>
      <c r="AP15" s="42"/>
      <c r="AQ15" s="42"/>
      <c r="AR15" s="42"/>
      <c r="AS15" s="42" t="e">
        <f t="shared" si="0"/>
        <v>#DIV/0!</v>
      </c>
    </row>
    <row r="16" spans="1:45" ht="18" customHeight="1">
      <c r="A16" s="34"/>
      <c r="B16" s="35"/>
      <c r="C16" s="36"/>
      <c r="D16" s="36"/>
      <c r="E16" s="37"/>
      <c r="F16" s="38"/>
      <c r="G16" s="38"/>
      <c r="H16" s="38"/>
      <c r="I16" s="38"/>
      <c r="J16" s="38"/>
      <c r="K16" s="39"/>
      <c r="L16" s="40"/>
      <c r="M16" s="40"/>
      <c r="N16" s="38"/>
      <c r="O16" s="38"/>
      <c r="P16" s="38"/>
      <c r="Q16" s="39"/>
      <c r="R16" s="40"/>
      <c r="S16" s="40"/>
      <c r="T16" s="40"/>
      <c r="U16" s="40"/>
      <c r="V16" s="38"/>
      <c r="W16" s="40"/>
      <c r="X16" s="40"/>
      <c r="Y16" s="40"/>
      <c r="Z16" s="41"/>
      <c r="AA16" s="42"/>
      <c r="AB16" s="42"/>
      <c r="AC16" s="42"/>
      <c r="AD16" s="42"/>
      <c r="AE16" s="42"/>
      <c r="AF16" s="42"/>
      <c r="AG16" s="42"/>
      <c r="AH16" s="42"/>
      <c r="AI16" s="42"/>
      <c r="AJ16" s="42"/>
      <c r="AK16" s="42"/>
      <c r="AL16" s="42"/>
      <c r="AM16" s="42"/>
      <c r="AN16" s="42"/>
      <c r="AO16" s="42"/>
      <c r="AP16" s="42"/>
      <c r="AQ16" s="42"/>
      <c r="AR16" s="42"/>
      <c r="AS16" s="42" t="e">
        <f t="shared" si="0"/>
        <v>#DIV/0!</v>
      </c>
    </row>
    <row r="17" spans="1:45" ht="18" customHeight="1">
      <c r="A17" s="34"/>
      <c r="B17" s="35"/>
      <c r="C17" s="36"/>
      <c r="D17" s="36"/>
      <c r="E17" s="37"/>
      <c r="F17" s="38"/>
      <c r="G17" s="38"/>
      <c r="H17" s="38"/>
      <c r="I17" s="38"/>
      <c r="J17" s="38"/>
      <c r="K17" s="39"/>
      <c r="L17" s="40"/>
      <c r="M17" s="40"/>
      <c r="N17" s="38"/>
      <c r="O17" s="38"/>
      <c r="P17" s="38"/>
      <c r="Q17" s="39"/>
      <c r="R17" s="40"/>
      <c r="S17" s="40"/>
      <c r="T17" s="40"/>
      <c r="U17" s="40"/>
      <c r="V17" s="38"/>
      <c r="W17" s="40"/>
      <c r="X17" s="40"/>
      <c r="Y17" s="40"/>
      <c r="Z17" s="41"/>
      <c r="AA17" s="42"/>
      <c r="AB17" s="42"/>
      <c r="AC17" s="42"/>
      <c r="AD17" s="42"/>
      <c r="AE17" s="42"/>
      <c r="AF17" s="42"/>
      <c r="AG17" s="42"/>
      <c r="AH17" s="42"/>
      <c r="AI17" s="42"/>
      <c r="AJ17" s="42"/>
      <c r="AK17" s="42"/>
      <c r="AL17" s="42"/>
      <c r="AM17" s="42"/>
      <c r="AN17" s="42"/>
      <c r="AO17" s="42"/>
      <c r="AP17" s="42"/>
      <c r="AQ17" s="42"/>
      <c r="AR17" s="42"/>
      <c r="AS17" s="42" t="e">
        <f t="shared" si="0"/>
        <v>#DIV/0!</v>
      </c>
    </row>
    <row r="18" spans="1:45" ht="18" customHeight="1">
      <c r="A18" s="34"/>
      <c r="B18" s="35"/>
      <c r="C18" s="36"/>
      <c r="D18" s="36"/>
      <c r="E18" s="37"/>
      <c r="F18" s="38"/>
      <c r="G18" s="38"/>
      <c r="H18" s="38"/>
      <c r="I18" s="38"/>
      <c r="J18" s="38"/>
      <c r="K18" s="39"/>
      <c r="L18" s="40"/>
      <c r="M18" s="40"/>
      <c r="N18" s="38"/>
      <c r="O18" s="38"/>
      <c r="P18" s="38"/>
      <c r="Q18" s="39"/>
      <c r="R18" s="40"/>
      <c r="S18" s="40"/>
      <c r="T18" s="40"/>
      <c r="U18" s="40"/>
      <c r="V18" s="38"/>
      <c r="W18" s="40"/>
      <c r="X18" s="40"/>
      <c r="Y18" s="40"/>
      <c r="Z18" s="41"/>
      <c r="AA18" s="42"/>
      <c r="AB18" s="42"/>
      <c r="AC18" s="42"/>
      <c r="AD18" s="42"/>
      <c r="AE18" s="42"/>
      <c r="AF18" s="42"/>
      <c r="AG18" s="42"/>
      <c r="AH18" s="42"/>
      <c r="AI18" s="42"/>
      <c r="AJ18" s="42"/>
      <c r="AK18" s="42"/>
      <c r="AL18" s="42"/>
      <c r="AM18" s="42"/>
      <c r="AN18" s="42"/>
      <c r="AO18" s="42"/>
      <c r="AP18" s="42"/>
      <c r="AQ18" s="42"/>
      <c r="AR18" s="42"/>
      <c r="AS18" s="42" t="e">
        <f t="shared" si="0"/>
        <v>#DIV/0!</v>
      </c>
    </row>
    <row r="19" spans="1:45" ht="18" customHeight="1">
      <c r="A19" s="34"/>
      <c r="B19" s="35"/>
      <c r="C19" s="36"/>
      <c r="D19" s="36"/>
      <c r="E19" s="37"/>
      <c r="F19" s="38"/>
      <c r="G19" s="38"/>
      <c r="H19" s="38"/>
      <c r="I19" s="38"/>
      <c r="J19" s="38"/>
      <c r="K19" s="39"/>
      <c r="L19" s="40"/>
      <c r="M19" s="40"/>
      <c r="N19" s="38"/>
      <c r="O19" s="38"/>
      <c r="P19" s="38"/>
      <c r="Q19" s="39"/>
      <c r="R19" s="40"/>
      <c r="S19" s="40"/>
      <c r="T19" s="40"/>
      <c r="U19" s="40"/>
      <c r="V19" s="38"/>
      <c r="W19" s="40"/>
      <c r="X19" s="40"/>
      <c r="Y19" s="40"/>
      <c r="Z19" s="41"/>
      <c r="AA19" s="42"/>
      <c r="AB19" s="42"/>
      <c r="AC19" s="42"/>
      <c r="AD19" s="42"/>
      <c r="AE19" s="42"/>
      <c r="AF19" s="42"/>
      <c r="AG19" s="42"/>
      <c r="AH19" s="42"/>
      <c r="AI19" s="42"/>
      <c r="AJ19" s="42"/>
      <c r="AK19" s="42"/>
      <c r="AL19" s="42"/>
      <c r="AM19" s="42"/>
      <c r="AN19" s="42"/>
      <c r="AO19" s="42"/>
      <c r="AP19" s="42"/>
      <c r="AQ19" s="42"/>
      <c r="AR19" s="42"/>
      <c r="AS19" s="42" t="e">
        <f t="shared" si="0"/>
        <v>#DIV/0!</v>
      </c>
    </row>
    <row r="20" spans="1:45" ht="18" customHeight="1">
      <c r="A20" s="34"/>
      <c r="B20" s="35"/>
      <c r="C20" s="36"/>
      <c r="D20" s="36"/>
      <c r="E20" s="37"/>
      <c r="F20" s="38"/>
      <c r="G20" s="38"/>
      <c r="H20" s="38"/>
      <c r="I20" s="38"/>
      <c r="J20" s="38"/>
      <c r="K20" s="39"/>
      <c r="L20" s="40"/>
      <c r="M20" s="40"/>
      <c r="N20" s="38"/>
      <c r="O20" s="38"/>
      <c r="P20" s="38"/>
      <c r="Q20" s="39"/>
      <c r="R20" s="40"/>
      <c r="S20" s="40"/>
      <c r="T20" s="40"/>
      <c r="U20" s="40"/>
      <c r="V20" s="38"/>
      <c r="W20" s="40"/>
      <c r="X20" s="40"/>
      <c r="Y20" s="40"/>
      <c r="Z20" s="41"/>
      <c r="AA20" s="42"/>
      <c r="AB20" s="42"/>
      <c r="AC20" s="42"/>
      <c r="AD20" s="42"/>
      <c r="AE20" s="42"/>
      <c r="AF20" s="42"/>
      <c r="AG20" s="42"/>
      <c r="AH20" s="42"/>
      <c r="AI20" s="42"/>
      <c r="AJ20" s="42"/>
      <c r="AK20" s="42"/>
      <c r="AL20" s="42"/>
      <c r="AM20" s="42"/>
      <c r="AN20" s="42"/>
      <c r="AO20" s="42"/>
      <c r="AP20" s="42"/>
      <c r="AQ20" s="42"/>
      <c r="AR20" s="42"/>
      <c r="AS20" s="42" t="e">
        <f t="shared" si="0"/>
        <v>#DIV/0!</v>
      </c>
    </row>
    <row r="21" spans="1:45" ht="18" customHeight="1">
      <c r="A21" s="34"/>
      <c r="B21" s="35"/>
      <c r="C21" s="36"/>
      <c r="D21" s="36"/>
      <c r="E21" s="37"/>
      <c r="F21" s="38"/>
      <c r="G21" s="38"/>
      <c r="H21" s="38"/>
      <c r="I21" s="38"/>
      <c r="J21" s="38"/>
      <c r="K21" s="39"/>
      <c r="L21" s="40"/>
      <c r="M21" s="40"/>
      <c r="N21" s="38"/>
      <c r="O21" s="38"/>
      <c r="P21" s="38"/>
      <c r="Q21" s="39"/>
      <c r="R21" s="40"/>
      <c r="S21" s="40"/>
      <c r="T21" s="40"/>
      <c r="U21" s="40"/>
      <c r="V21" s="38"/>
      <c r="W21" s="40"/>
      <c r="X21" s="40"/>
      <c r="Y21" s="40"/>
      <c r="Z21" s="41"/>
      <c r="AR21" s="5"/>
      <c r="AS21" s="42" t="e">
        <f t="shared" si="0"/>
        <v>#DIV/0!</v>
      </c>
    </row>
    <row r="22" spans="1:45" ht="18" customHeight="1">
      <c r="A22" s="34"/>
      <c r="B22" s="35"/>
      <c r="C22" s="36"/>
      <c r="D22" s="36"/>
      <c r="E22" s="37"/>
      <c r="F22" s="38"/>
      <c r="G22" s="38"/>
      <c r="H22" s="38"/>
      <c r="I22" s="38"/>
      <c r="J22" s="38"/>
      <c r="K22" s="39"/>
      <c r="L22" s="40"/>
      <c r="M22" s="40"/>
      <c r="N22" s="38"/>
      <c r="O22" s="38"/>
      <c r="P22" s="38"/>
      <c r="Q22" s="39"/>
      <c r="R22" s="40"/>
      <c r="S22" s="40"/>
      <c r="T22" s="40"/>
      <c r="U22" s="40"/>
      <c r="V22" s="38"/>
      <c r="W22" s="40"/>
      <c r="X22" s="40"/>
      <c r="Y22" s="40"/>
      <c r="Z22" s="41"/>
      <c r="AA22" s="43"/>
      <c r="AB22" s="43"/>
      <c r="AC22" s="43"/>
      <c r="AD22" s="43"/>
      <c r="AE22" s="43"/>
      <c r="AF22" s="43"/>
      <c r="AG22" s="43"/>
      <c r="AH22" s="43"/>
      <c r="AI22" s="43"/>
      <c r="AJ22" s="43"/>
      <c r="AK22" s="43"/>
      <c r="AL22" s="43"/>
      <c r="AM22" s="43"/>
      <c r="AN22" s="43"/>
      <c r="AO22" s="43"/>
      <c r="AP22" s="43"/>
      <c r="AQ22" s="43"/>
      <c r="AR22" s="43"/>
      <c r="AS22" s="42" t="e">
        <f t="shared" si="0"/>
        <v>#DIV/0!</v>
      </c>
    </row>
    <row r="23" spans="1:45" ht="18" customHeight="1">
      <c r="A23" s="34"/>
      <c r="B23" s="35"/>
      <c r="C23" s="36"/>
      <c r="D23" s="36"/>
      <c r="E23" s="37"/>
      <c r="F23" s="38"/>
      <c r="G23" s="38"/>
      <c r="H23" s="38"/>
      <c r="I23" s="38"/>
      <c r="J23" s="38"/>
      <c r="K23" s="39"/>
      <c r="L23" s="40"/>
      <c r="M23" s="40"/>
      <c r="N23" s="38"/>
      <c r="O23" s="38"/>
      <c r="P23" s="38"/>
      <c r="Q23" s="39"/>
      <c r="R23" s="40"/>
      <c r="S23" s="40"/>
      <c r="T23" s="40"/>
      <c r="U23" s="40"/>
      <c r="V23" s="38"/>
      <c r="W23" s="40"/>
      <c r="X23" s="40"/>
      <c r="Y23" s="40"/>
      <c r="Z23" s="41"/>
      <c r="AA23" s="43"/>
      <c r="AB23" s="43"/>
      <c r="AC23" s="43"/>
      <c r="AD23" s="43"/>
      <c r="AE23" s="43"/>
      <c r="AF23" s="43"/>
      <c r="AG23" s="43"/>
      <c r="AH23" s="43"/>
      <c r="AI23" s="43"/>
      <c r="AJ23" s="43"/>
      <c r="AK23" s="43"/>
      <c r="AL23" s="43"/>
      <c r="AM23" s="43"/>
      <c r="AN23" s="43"/>
      <c r="AO23" s="43"/>
      <c r="AP23" s="43"/>
      <c r="AQ23" s="43"/>
      <c r="AR23" s="43"/>
      <c r="AS23" s="42" t="e">
        <f t="shared" si="0"/>
        <v>#DIV/0!</v>
      </c>
    </row>
    <row r="24" spans="1:45" ht="18" customHeight="1">
      <c r="A24" s="34"/>
      <c r="B24" s="35"/>
      <c r="C24" s="36"/>
      <c r="D24" s="36"/>
      <c r="E24" s="37"/>
      <c r="F24" s="38"/>
      <c r="G24" s="38"/>
      <c r="H24" s="38"/>
      <c r="I24" s="38"/>
      <c r="J24" s="38"/>
      <c r="K24" s="39"/>
      <c r="L24" s="40"/>
      <c r="M24" s="40"/>
      <c r="N24" s="38"/>
      <c r="O24" s="38"/>
      <c r="P24" s="38"/>
      <c r="Q24" s="39"/>
      <c r="R24" s="40"/>
      <c r="S24" s="40"/>
      <c r="T24" s="40"/>
      <c r="U24" s="40"/>
      <c r="V24" s="38"/>
      <c r="W24" s="40"/>
      <c r="X24" s="40"/>
      <c r="Y24" s="40"/>
      <c r="Z24" s="41"/>
      <c r="AA24" s="43"/>
      <c r="AB24" s="43"/>
      <c r="AC24" s="43"/>
      <c r="AD24" s="43"/>
      <c r="AE24" s="43"/>
      <c r="AF24" s="43"/>
      <c r="AG24" s="43"/>
      <c r="AH24" s="43"/>
      <c r="AI24" s="43"/>
      <c r="AJ24" s="43"/>
      <c r="AK24" s="43"/>
      <c r="AL24" s="43"/>
      <c r="AM24" s="43"/>
      <c r="AN24" s="43"/>
      <c r="AO24" s="43"/>
      <c r="AP24" s="43"/>
      <c r="AQ24" s="43"/>
      <c r="AR24" s="43"/>
      <c r="AS24" s="42" t="e">
        <f t="shared" si="0"/>
        <v>#DIV/0!</v>
      </c>
    </row>
    <row r="25" spans="1:45" ht="18" customHeight="1">
      <c r="A25" s="34"/>
      <c r="B25" s="35"/>
      <c r="C25" s="36"/>
      <c r="D25" s="36"/>
      <c r="E25" s="37"/>
      <c r="F25" s="38"/>
      <c r="G25" s="38"/>
      <c r="H25" s="38"/>
      <c r="I25" s="38"/>
      <c r="J25" s="38"/>
      <c r="K25" s="39"/>
      <c r="L25" s="40"/>
      <c r="M25" s="40"/>
      <c r="N25" s="38"/>
      <c r="O25" s="38"/>
      <c r="P25" s="38"/>
      <c r="Q25" s="39"/>
      <c r="R25" s="40"/>
      <c r="S25" s="40"/>
      <c r="T25" s="40"/>
      <c r="U25" s="40"/>
      <c r="V25" s="38"/>
      <c r="W25" s="40"/>
      <c r="X25" s="40"/>
      <c r="Y25" s="40"/>
      <c r="Z25" s="41"/>
      <c r="AS25" s="42" t="e">
        <f t="shared" si="0"/>
        <v>#DIV/0!</v>
      </c>
    </row>
    <row r="26" spans="1:45" ht="18" customHeight="1">
      <c r="A26" s="34"/>
      <c r="B26" s="35"/>
      <c r="C26" s="36"/>
      <c r="D26" s="36"/>
      <c r="E26" s="37"/>
      <c r="F26" s="38"/>
      <c r="G26" s="38"/>
      <c r="H26" s="38"/>
      <c r="I26" s="38"/>
      <c r="J26" s="38"/>
      <c r="K26" s="39"/>
      <c r="L26" s="40"/>
      <c r="M26" s="40"/>
      <c r="N26" s="38"/>
      <c r="O26" s="38"/>
      <c r="P26" s="38"/>
      <c r="Q26" s="39"/>
      <c r="R26" s="40"/>
      <c r="S26" s="40"/>
      <c r="T26" s="40"/>
      <c r="U26" s="40"/>
      <c r="V26" s="38"/>
      <c r="W26" s="40"/>
      <c r="X26" s="40"/>
      <c r="Y26" s="40"/>
      <c r="Z26" s="41"/>
      <c r="AS26" s="42" t="e">
        <f t="shared" si="0"/>
        <v>#DIV/0!</v>
      </c>
    </row>
    <row r="27" spans="1:45" ht="18" customHeight="1">
      <c r="A27" s="34"/>
      <c r="B27" s="35"/>
      <c r="C27" s="36"/>
      <c r="D27" s="36"/>
      <c r="E27" s="37"/>
      <c r="F27" s="38"/>
      <c r="G27" s="38"/>
      <c r="H27" s="38"/>
      <c r="I27" s="38"/>
      <c r="J27" s="38"/>
      <c r="K27" s="39"/>
      <c r="L27" s="40"/>
      <c r="M27" s="40"/>
      <c r="N27" s="38"/>
      <c r="O27" s="38"/>
      <c r="P27" s="38"/>
      <c r="Q27" s="39"/>
      <c r="R27" s="40"/>
      <c r="S27" s="40"/>
      <c r="T27" s="40"/>
      <c r="U27" s="40"/>
      <c r="V27" s="38"/>
      <c r="W27" s="40"/>
      <c r="X27" s="40"/>
      <c r="Y27" s="40"/>
      <c r="Z27" s="41"/>
      <c r="AS27" s="42" t="e">
        <f t="shared" si="0"/>
        <v>#DIV/0!</v>
      </c>
    </row>
    <row r="28" spans="1:45" ht="18" customHeight="1">
      <c r="A28" s="34"/>
      <c r="B28" s="35"/>
      <c r="C28" s="36"/>
      <c r="D28" s="36"/>
      <c r="E28" s="37"/>
      <c r="F28" s="38"/>
      <c r="G28" s="38"/>
      <c r="H28" s="38"/>
      <c r="I28" s="38"/>
      <c r="J28" s="38"/>
      <c r="K28" s="39"/>
      <c r="L28" s="40"/>
      <c r="M28" s="40"/>
      <c r="N28" s="38"/>
      <c r="O28" s="38"/>
      <c r="P28" s="38"/>
      <c r="Q28" s="39"/>
      <c r="R28" s="40"/>
      <c r="S28" s="40"/>
      <c r="T28" s="40"/>
      <c r="U28" s="40"/>
      <c r="V28" s="38"/>
      <c r="W28" s="40"/>
      <c r="X28" s="40"/>
      <c r="Y28" s="40"/>
      <c r="Z28" s="41"/>
      <c r="AS28" s="42" t="e">
        <f t="shared" si="0"/>
        <v>#DIV/0!</v>
      </c>
    </row>
    <row r="29" spans="1:45" ht="18" customHeight="1">
      <c r="A29" s="34"/>
      <c r="B29" s="35"/>
      <c r="C29" s="36"/>
      <c r="D29" s="36"/>
      <c r="E29" s="37"/>
      <c r="F29" s="38"/>
      <c r="G29" s="38"/>
      <c r="H29" s="38"/>
      <c r="I29" s="38"/>
      <c r="J29" s="38"/>
      <c r="K29" s="39"/>
      <c r="L29" s="40"/>
      <c r="M29" s="40"/>
      <c r="N29" s="38"/>
      <c r="O29" s="38"/>
      <c r="P29" s="38"/>
      <c r="Q29" s="39"/>
      <c r="R29" s="40"/>
      <c r="S29" s="40"/>
      <c r="T29" s="40"/>
      <c r="U29" s="40"/>
      <c r="V29" s="38"/>
      <c r="W29" s="40"/>
      <c r="X29" s="40"/>
      <c r="Y29" s="40"/>
      <c r="Z29" s="41"/>
      <c r="AS29" s="42" t="e">
        <f t="shared" si="0"/>
        <v>#DIV/0!</v>
      </c>
    </row>
    <row r="30" spans="1:45" ht="18" customHeight="1">
      <c r="A30" s="34"/>
      <c r="B30" s="35"/>
      <c r="C30" s="36"/>
      <c r="D30" s="36"/>
      <c r="E30" s="37"/>
      <c r="F30" s="38"/>
      <c r="G30" s="38"/>
      <c r="H30" s="38"/>
      <c r="I30" s="38"/>
      <c r="J30" s="38"/>
      <c r="K30" s="39"/>
      <c r="L30" s="40"/>
      <c r="M30" s="40"/>
      <c r="N30" s="38"/>
      <c r="O30" s="38"/>
      <c r="P30" s="38"/>
      <c r="Q30" s="39"/>
      <c r="R30" s="40"/>
      <c r="S30" s="40"/>
      <c r="T30" s="40"/>
      <c r="U30" s="40"/>
      <c r="V30" s="38"/>
      <c r="W30" s="40"/>
      <c r="X30" s="40"/>
      <c r="Y30" s="40"/>
      <c r="Z30" s="41"/>
      <c r="AS30" s="42" t="e">
        <f t="shared" si="0"/>
        <v>#DIV/0!</v>
      </c>
    </row>
    <row r="31" spans="1:45" ht="18" customHeight="1">
      <c r="A31" s="34"/>
      <c r="B31" s="35"/>
      <c r="C31" s="36"/>
      <c r="D31" s="36"/>
      <c r="E31" s="37"/>
      <c r="F31" s="38"/>
      <c r="G31" s="38"/>
      <c r="H31" s="38"/>
      <c r="I31" s="38"/>
      <c r="J31" s="38"/>
      <c r="K31" s="39"/>
      <c r="L31" s="40"/>
      <c r="M31" s="40"/>
      <c r="N31" s="38"/>
      <c r="O31" s="38"/>
      <c r="P31" s="38"/>
      <c r="Q31" s="39"/>
      <c r="R31" s="40"/>
      <c r="S31" s="40"/>
      <c r="T31" s="40"/>
      <c r="U31" s="40"/>
      <c r="V31" s="38"/>
      <c r="W31" s="40"/>
      <c r="X31" s="40"/>
      <c r="Y31" s="40"/>
      <c r="Z31" s="41"/>
      <c r="AS31" s="42" t="e">
        <f t="shared" si="0"/>
        <v>#DIV/0!</v>
      </c>
    </row>
    <row r="32" spans="1:45" ht="18" customHeight="1">
      <c r="A32" s="34"/>
      <c r="B32" s="35"/>
      <c r="C32" s="36"/>
      <c r="D32" s="36"/>
      <c r="E32" s="37"/>
      <c r="F32" s="38"/>
      <c r="G32" s="38"/>
      <c r="H32" s="38"/>
      <c r="I32" s="38"/>
      <c r="J32" s="38"/>
      <c r="K32" s="39"/>
      <c r="L32" s="40"/>
      <c r="M32" s="40"/>
      <c r="N32" s="38"/>
      <c r="O32" s="38"/>
      <c r="P32" s="38"/>
      <c r="Q32" s="39"/>
      <c r="R32" s="40"/>
      <c r="S32" s="40"/>
      <c r="T32" s="40"/>
      <c r="U32" s="40"/>
      <c r="V32" s="38"/>
      <c r="W32" s="40"/>
      <c r="X32" s="40"/>
      <c r="Y32" s="40"/>
      <c r="Z32" s="41"/>
      <c r="AB32" s="6"/>
      <c r="AC32" s="6"/>
      <c r="AD32" s="6"/>
      <c r="AE32" s="6"/>
      <c r="AF32" s="6"/>
      <c r="AG32" s="6"/>
      <c r="AH32" s="6"/>
      <c r="AI32" s="6"/>
      <c r="AJ32" s="6"/>
      <c r="AK32" s="6"/>
      <c r="AL32" s="6"/>
      <c r="AM32" s="6"/>
      <c r="AN32" s="6"/>
      <c r="AO32" s="6"/>
      <c r="AP32" s="6"/>
      <c r="AQ32" s="6"/>
      <c r="AS32" s="42" t="e">
        <f t="shared" si="0"/>
        <v>#DIV/0!</v>
      </c>
    </row>
    <row r="33" spans="1:45" ht="18" customHeight="1">
      <c r="A33" s="34"/>
      <c r="B33" s="35"/>
      <c r="C33" s="36"/>
      <c r="D33" s="36"/>
      <c r="E33" s="37"/>
      <c r="F33" s="38"/>
      <c r="G33" s="38"/>
      <c r="H33" s="38"/>
      <c r="I33" s="38"/>
      <c r="J33" s="38"/>
      <c r="K33" s="39"/>
      <c r="L33" s="40"/>
      <c r="M33" s="40"/>
      <c r="N33" s="38"/>
      <c r="O33" s="38"/>
      <c r="P33" s="38"/>
      <c r="Q33" s="39"/>
      <c r="R33" s="40"/>
      <c r="S33" s="40"/>
      <c r="T33" s="40"/>
      <c r="U33" s="40"/>
      <c r="V33" s="38"/>
      <c r="W33" s="40"/>
      <c r="X33" s="40"/>
      <c r="Y33" s="40"/>
      <c r="Z33" s="41"/>
      <c r="AB33" s="6"/>
      <c r="AC33" s="6"/>
      <c r="AD33" s="6"/>
      <c r="AE33" s="6"/>
      <c r="AF33" s="6"/>
      <c r="AG33" s="6"/>
      <c r="AH33" s="6"/>
      <c r="AI33" s="6"/>
      <c r="AJ33" s="6"/>
      <c r="AK33" s="6"/>
      <c r="AL33" s="6"/>
      <c r="AM33" s="6"/>
      <c r="AN33" s="6"/>
      <c r="AO33" s="6"/>
      <c r="AP33" s="6"/>
      <c r="AQ33" s="6"/>
      <c r="AS33" s="42" t="e">
        <f t="shared" si="0"/>
        <v>#DIV/0!</v>
      </c>
    </row>
    <row r="34" spans="1:45" ht="18" customHeight="1">
      <c r="A34" s="34"/>
      <c r="B34" s="35"/>
      <c r="C34" s="36"/>
      <c r="D34" s="36"/>
      <c r="E34" s="37"/>
      <c r="F34" s="38"/>
      <c r="G34" s="38"/>
      <c r="H34" s="38"/>
      <c r="I34" s="38"/>
      <c r="J34" s="38"/>
      <c r="K34" s="39"/>
      <c r="L34" s="40"/>
      <c r="M34" s="40"/>
      <c r="N34" s="38"/>
      <c r="O34" s="38"/>
      <c r="P34" s="38"/>
      <c r="Q34" s="39"/>
      <c r="R34" s="40"/>
      <c r="S34" s="40"/>
      <c r="T34" s="40"/>
      <c r="U34" s="40"/>
      <c r="V34" s="38"/>
      <c r="W34" s="40"/>
      <c r="X34" s="40"/>
      <c r="Y34" s="40"/>
      <c r="Z34" s="41"/>
      <c r="AB34" s="6"/>
      <c r="AC34" s="6"/>
      <c r="AD34" s="6"/>
      <c r="AE34" s="6"/>
      <c r="AF34" s="6"/>
      <c r="AG34" s="6"/>
      <c r="AH34" s="6"/>
      <c r="AI34" s="6"/>
      <c r="AJ34" s="6"/>
      <c r="AK34" s="6"/>
      <c r="AL34" s="6"/>
      <c r="AM34" s="6"/>
      <c r="AN34" s="6"/>
      <c r="AO34" s="6"/>
      <c r="AP34" s="6"/>
      <c r="AQ34" s="6"/>
      <c r="AS34" s="42" t="e">
        <f t="shared" si="0"/>
        <v>#DIV/0!</v>
      </c>
    </row>
    <row r="35" spans="1:45" ht="18" customHeight="1">
      <c r="A35" s="34"/>
      <c r="B35" s="35"/>
      <c r="C35" s="36"/>
      <c r="D35" s="36"/>
      <c r="E35" s="37"/>
      <c r="F35" s="38"/>
      <c r="G35" s="38"/>
      <c r="H35" s="38"/>
      <c r="I35" s="38"/>
      <c r="J35" s="38"/>
      <c r="K35" s="39"/>
      <c r="L35" s="40"/>
      <c r="M35" s="40"/>
      <c r="N35" s="38"/>
      <c r="O35" s="38"/>
      <c r="P35" s="38"/>
      <c r="Q35" s="39"/>
      <c r="R35" s="40"/>
      <c r="S35" s="40"/>
      <c r="T35" s="40"/>
      <c r="U35" s="40"/>
      <c r="V35" s="38"/>
      <c r="W35" s="40"/>
      <c r="X35" s="40"/>
      <c r="Y35" s="40"/>
      <c r="Z35" s="41"/>
      <c r="AB35" s="6"/>
      <c r="AC35" s="6"/>
      <c r="AD35" s="6"/>
      <c r="AE35" s="6"/>
      <c r="AF35" s="6"/>
      <c r="AG35" s="6"/>
      <c r="AH35" s="6"/>
      <c r="AI35" s="6"/>
      <c r="AJ35" s="6"/>
      <c r="AK35" s="6"/>
      <c r="AL35" s="6"/>
      <c r="AM35" s="6"/>
      <c r="AN35" s="6"/>
      <c r="AO35" s="6"/>
      <c r="AP35" s="6"/>
      <c r="AQ35" s="6"/>
      <c r="AS35" s="42" t="e">
        <f t="shared" si="0"/>
        <v>#DIV/0!</v>
      </c>
    </row>
    <row r="36" spans="1:45" ht="18" customHeight="1">
      <c r="A36" s="34"/>
      <c r="B36" s="35"/>
      <c r="C36" s="36"/>
      <c r="D36" s="36"/>
      <c r="E36" s="37"/>
      <c r="F36" s="38"/>
      <c r="G36" s="38"/>
      <c r="H36" s="38"/>
      <c r="I36" s="38"/>
      <c r="J36" s="38"/>
      <c r="K36" s="39"/>
      <c r="L36" s="40"/>
      <c r="M36" s="40"/>
      <c r="N36" s="38"/>
      <c r="O36" s="38"/>
      <c r="P36" s="38"/>
      <c r="Q36" s="39"/>
      <c r="R36" s="40"/>
      <c r="S36" s="40"/>
      <c r="T36" s="40"/>
      <c r="U36" s="40"/>
      <c r="V36" s="38"/>
      <c r="W36" s="40"/>
      <c r="X36" s="40"/>
      <c r="Y36" s="40"/>
      <c r="Z36" s="41"/>
      <c r="AB36" s="6"/>
      <c r="AC36" s="6"/>
      <c r="AD36" s="6"/>
      <c r="AE36" s="6"/>
      <c r="AF36" s="6"/>
      <c r="AG36" s="6"/>
      <c r="AH36" s="6"/>
      <c r="AI36" s="6"/>
      <c r="AJ36" s="6"/>
      <c r="AK36" s="6"/>
      <c r="AL36" s="6"/>
      <c r="AM36" s="6"/>
      <c r="AN36" s="6"/>
      <c r="AO36" s="6"/>
      <c r="AP36" s="6"/>
      <c r="AQ36" s="6"/>
      <c r="AS36" s="42" t="e">
        <f t="shared" si="0"/>
        <v>#DIV/0!</v>
      </c>
    </row>
    <row r="37" spans="1:45" ht="18" customHeight="1">
      <c r="A37" s="34"/>
      <c r="B37" s="35"/>
      <c r="C37" s="36"/>
      <c r="D37" s="36"/>
      <c r="E37" s="37"/>
      <c r="F37" s="38"/>
      <c r="G37" s="38"/>
      <c r="H37" s="38"/>
      <c r="I37" s="38"/>
      <c r="J37" s="38"/>
      <c r="K37" s="39"/>
      <c r="L37" s="40"/>
      <c r="M37" s="40"/>
      <c r="N37" s="38"/>
      <c r="O37" s="38"/>
      <c r="P37" s="38"/>
      <c r="Q37" s="39"/>
      <c r="R37" s="40"/>
      <c r="S37" s="40"/>
      <c r="T37" s="40"/>
      <c r="U37" s="40"/>
      <c r="V37" s="38"/>
      <c r="W37" s="40"/>
      <c r="X37" s="40"/>
      <c r="Y37" s="40"/>
      <c r="Z37" s="41"/>
      <c r="AB37" s="6"/>
      <c r="AC37" s="6"/>
      <c r="AD37" s="6"/>
      <c r="AE37" s="6"/>
      <c r="AF37" s="6"/>
      <c r="AG37" s="6"/>
      <c r="AH37" s="6"/>
      <c r="AI37" s="6"/>
      <c r="AJ37" s="6"/>
      <c r="AK37" s="6"/>
      <c r="AL37" s="6"/>
      <c r="AM37" s="6"/>
      <c r="AN37" s="6"/>
      <c r="AO37" s="6"/>
      <c r="AP37" s="6"/>
      <c r="AQ37" s="6"/>
      <c r="AS37" s="42" t="e">
        <f t="shared" si="0"/>
        <v>#DIV/0!</v>
      </c>
    </row>
    <row r="38" spans="1:45" ht="18" customHeight="1">
      <c r="A38" s="34"/>
      <c r="B38" s="35"/>
      <c r="C38" s="36"/>
      <c r="D38" s="36"/>
      <c r="E38" s="37"/>
      <c r="F38" s="38"/>
      <c r="G38" s="38"/>
      <c r="H38" s="38"/>
      <c r="I38" s="38"/>
      <c r="J38" s="38"/>
      <c r="K38" s="39"/>
      <c r="L38" s="40"/>
      <c r="M38" s="40"/>
      <c r="N38" s="38"/>
      <c r="O38" s="38"/>
      <c r="P38" s="38"/>
      <c r="Q38" s="39"/>
      <c r="R38" s="40"/>
      <c r="S38" s="40"/>
      <c r="T38" s="40"/>
      <c r="U38" s="40"/>
      <c r="V38" s="38"/>
      <c r="W38" s="40"/>
      <c r="X38" s="40"/>
      <c r="Y38" s="40"/>
      <c r="Z38" s="41"/>
      <c r="AB38" s="6"/>
      <c r="AC38" s="6"/>
      <c r="AD38" s="6"/>
      <c r="AE38" s="6"/>
      <c r="AF38" s="6"/>
      <c r="AG38" s="6"/>
      <c r="AH38" s="6"/>
      <c r="AI38" s="6"/>
      <c r="AJ38" s="6"/>
      <c r="AK38" s="6"/>
      <c r="AL38" s="6"/>
      <c r="AM38" s="6"/>
      <c r="AN38" s="6"/>
      <c r="AO38" s="6"/>
      <c r="AP38" s="6"/>
      <c r="AQ38" s="6"/>
      <c r="AS38" s="42" t="e">
        <f t="shared" si="0"/>
        <v>#DIV/0!</v>
      </c>
    </row>
    <row r="39" spans="1:45" ht="18" customHeight="1">
      <c r="A39" s="34"/>
      <c r="B39" s="35"/>
      <c r="C39" s="36"/>
      <c r="D39" s="36"/>
      <c r="E39" s="37"/>
      <c r="F39" s="38"/>
      <c r="G39" s="38"/>
      <c r="H39" s="38"/>
      <c r="I39" s="38"/>
      <c r="J39" s="38"/>
      <c r="K39" s="39"/>
      <c r="L39" s="40"/>
      <c r="M39" s="40"/>
      <c r="N39" s="38"/>
      <c r="O39" s="38"/>
      <c r="P39" s="38"/>
      <c r="Q39" s="39"/>
      <c r="R39" s="40"/>
      <c r="S39" s="40"/>
      <c r="T39" s="40"/>
      <c r="U39" s="40"/>
      <c r="V39" s="38"/>
      <c r="W39" s="40"/>
      <c r="X39" s="40"/>
      <c r="Y39" s="40"/>
      <c r="Z39" s="41"/>
      <c r="AB39" s="6"/>
      <c r="AC39" s="6"/>
      <c r="AD39" s="6"/>
      <c r="AE39" s="6"/>
      <c r="AF39" s="6"/>
      <c r="AG39" s="6"/>
      <c r="AH39" s="6"/>
      <c r="AI39" s="6"/>
      <c r="AJ39" s="6"/>
      <c r="AK39" s="6"/>
      <c r="AL39" s="6"/>
      <c r="AM39" s="6"/>
      <c r="AN39" s="6"/>
      <c r="AO39" s="6"/>
      <c r="AP39" s="6"/>
      <c r="AQ39" s="6"/>
      <c r="AS39" s="42" t="e">
        <f t="shared" si="0"/>
        <v>#DIV/0!</v>
      </c>
    </row>
    <row r="40" spans="1:45" ht="18" customHeight="1">
      <c r="A40" s="34"/>
      <c r="B40" s="35"/>
      <c r="C40" s="36"/>
      <c r="D40" s="36"/>
      <c r="E40" s="37"/>
      <c r="F40" s="38"/>
      <c r="G40" s="38"/>
      <c r="H40" s="38"/>
      <c r="I40" s="38"/>
      <c r="J40" s="38"/>
      <c r="K40" s="39"/>
      <c r="L40" s="40"/>
      <c r="M40" s="40"/>
      <c r="N40" s="38"/>
      <c r="O40" s="38"/>
      <c r="P40" s="38"/>
      <c r="Q40" s="39"/>
      <c r="R40" s="40"/>
      <c r="S40" s="40"/>
      <c r="T40" s="40"/>
      <c r="U40" s="40"/>
      <c r="V40" s="38"/>
      <c r="W40" s="40"/>
      <c r="X40" s="40"/>
      <c r="Y40" s="40"/>
      <c r="Z40" s="41"/>
      <c r="AB40" s="6"/>
      <c r="AC40" s="6"/>
      <c r="AD40" s="6"/>
      <c r="AE40" s="6"/>
      <c r="AF40" s="6"/>
      <c r="AG40" s="6"/>
      <c r="AH40" s="6"/>
      <c r="AI40" s="6"/>
      <c r="AJ40" s="6"/>
      <c r="AK40" s="6"/>
      <c r="AL40" s="6"/>
      <c r="AM40" s="6"/>
      <c r="AN40" s="6"/>
      <c r="AO40" s="6"/>
      <c r="AP40" s="6"/>
      <c r="AQ40" s="6"/>
      <c r="AS40" s="42" t="e">
        <f t="shared" si="0"/>
        <v>#DIV/0!</v>
      </c>
    </row>
    <row r="41" spans="1:45" ht="18" customHeight="1">
      <c r="A41" s="34"/>
      <c r="B41" s="35"/>
      <c r="C41" s="36"/>
      <c r="D41" s="36"/>
      <c r="E41" s="37"/>
      <c r="F41" s="38"/>
      <c r="G41" s="38"/>
      <c r="H41" s="38"/>
      <c r="I41" s="38"/>
      <c r="J41" s="38"/>
      <c r="K41" s="39"/>
      <c r="L41" s="40"/>
      <c r="M41" s="40"/>
      <c r="N41" s="38"/>
      <c r="O41" s="38"/>
      <c r="P41" s="38"/>
      <c r="Q41" s="39"/>
      <c r="R41" s="40"/>
      <c r="S41" s="40"/>
      <c r="T41" s="40"/>
      <c r="U41" s="40"/>
      <c r="V41" s="38"/>
      <c r="W41" s="40"/>
      <c r="X41" s="40"/>
      <c r="Y41" s="40"/>
      <c r="Z41" s="41"/>
      <c r="AB41" s="6"/>
      <c r="AC41" s="6"/>
      <c r="AD41" s="6"/>
      <c r="AE41" s="6"/>
      <c r="AF41" s="6"/>
      <c r="AG41" s="6"/>
      <c r="AH41" s="6"/>
      <c r="AI41" s="6"/>
      <c r="AJ41" s="6"/>
      <c r="AK41" s="6"/>
      <c r="AL41" s="6"/>
      <c r="AM41" s="6"/>
      <c r="AN41" s="6"/>
      <c r="AO41" s="6"/>
      <c r="AP41" s="6"/>
      <c r="AQ41" s="6"/>
      <c r="AS41" s="42" t="e">
        <f t="shared" si="0"/>
        <v>#DIV/0!</v>
      </c>
    </row>
    <row r="42" spans="1:45" ht="18" customHeight="1">
      <c r="A42" s="34"/>
      <c r="B42" s="35"/>
      <c r="C42" s="36"/>
      <c r="D42" s="36"/>
      <c r="E42" s="37"/>
      <c r="F42" s="38"/>
      <c r="G42" s="38"/>
      <c r="H42" s="38"/>
      <c r="I42" s="38"/>
      <c r="J42" s="38"/>
      <c r="K42" s="39"/>
      <c r="L42" s="40"/>
      <c r="M42" s="40"/>
      <c r="N42" s="38"/>
      <c r="O42" s="38"/>
      <c r="P42" s="38"/>
      <c r="Q42" s="39"/>
      <c r="R42" s="40"/>
      <c r="S42" s="40"/>
      <c r="T42" s="40"/>
      <c r="U42" s="40"/>
      <c r="V42" s="38"/>
      <c r="W42" s="40"/>
      <c r="X42" s="40"/>
      <c r="Y42" s="40"/>
      <c r="Z42" s="41"/>
      <c r="AB42" s="6"/>
      <c r="AC42" s="6"/>
      <c r="AD42" s="6"/>
      <c r="AE42" s="6"/>
      <c r="AF42" s="6"/>
      <c r="AG42" s="6"/>
      <c r="AH42" s="6"/>
      <c r="AI42" s="6"/>
      <c r="AJ42" s="6"/>
      <c r="AK42" s="6"/>
      <c r="AL42" s="6"/>
      <c r="AM42" s="6"/>
      <c r="AN42" s="6"/>
      <c r="AO42" s="6"/>
      <c r="AP42" s="6"/>
      <c r="AQ42" s="6"/>
      <c r="AS42" s="42" t="e">
        <f t="shared" si="0"/>
        <v>#DIV/0!</v>
      </c>
    </row>
    <row r="43" spans="1:45" ht="18" customHeight="1">
      <c r="A43" s="34"/>
      <c r="B43" s="35"/>
      <c r="C43" s="36"/>
      <c r="D43" s="36"/>
      <c r="E43" s="37"/>
      <c r="F43" s="38"/>
      <c r="G43" s="38"/>
      <c r="H43" s="38"/>
      <c r="I43" s="38"/>
      <c r="J43" s="38"/>
      <c r="K43" s="39"/>
      <c r="L43" s="40"/>
      <c r="M43" s="40"/>
      <c r="N43" s="38"/>
      <c r="O43" s="38"/>
      <c r="P43" s="38"/>
      <c r="Q43" s="39"/>
      <c r="R43" s="40"/>
      <c r="S43" s="40"/>
      <c r="T43" s="40"/>
      <c r="U43" s="40"/>
      <c r="V43" s="38"/>
      <c r="W43" s="40"/>
      <c r="X43" s="40"/>
      <c r="Y43" s="40"/>
      <c r="Z43" s="41"/>
      <c r="AB43" s="6"/>
      <c r="AC43" s="6"/>
      <c r="AD43" s="6"/>
      <c r="AE43" s="6"/>
      <c r="AF43" s="6"/>
      <c r="AG43" s="6"/>
      <c r="AH43" s="6"/>
      <c r="AI43" s="6"/>
      <c r="AJ43" s="6"/>
      <c r="AK43" s="6"/>
      <c r="AL43" s="6"/>
      <c r="AM43" s="6"/>
      <c r="AN43" s="6"/>
      <c r="AO43" s="6"/>
      <c r="AP43" s="6"/>
      <c r="AQ43" s="6"/>
      <c r="AS43" s="42" t="e">
        <f t="shared" si="0"/>
        <v>#DIV/0!</v>
      </c>
    </row>
    <row r="44" spans="1:45" ht="18" customHeight="1">
      <c r="A44" s="34"/>
      <c r="B44" s="35"/>
      <c r="C44" s="36"/>
      <c r="D44" s="36"/>
      <c r="E44" s="37"/>
      <c r="F44" s="38"/>
      <c r="G44" s="38"/>
      <c r="H44" s="38"/>
      <c r="I44" s="38"/>
      <c r="J44" s="38"/>
      <c r="K44" s="39"/>
      <c r="L44" s="40"/>
      <c r="M44" s="40"/>
      <c r="N44" s="38"/>
      <c r="O44" s="38"/>
      <c r="P44" s="38"/>
      <c r="Q44" s="39"/>
      <c r="R44" s="40"/>
      <c r="S44" s="40"/>
      <c r="T44" s="40"/>
      <c r="U44" s="40"/>
      <c r="V44" s="38"/>
      <c r="W44" s="40"/>
      <c r="X44" s="40"/>
      <c r="Y44" s="40"/>
      <c r="Z44" s="41"/>
      <c r="AB44" s="6"/>
      <c r="AC44" s="6"/>
      <c r="AD44" s="6"/>
      <c r="AE44" s="6"/>
      <c r="AF44" s="6"/>
      <c r="AG44" s="6"/>
      <c r="AH44" s="6"/>
      <c r="AI44" s="6"/>
      <c r="AJ44" s="6"/>
      <c r="AK44" s="6"/>
      <c r="AL44" s="6"/>
      <c r="AM44" s="6"/>
      <c r="AN44" s="6"/>
      <c r="AO44" s="6"/>
      <c r="AP44" s="6"/>
      <c r="AQ44" s="6"/>
      <c r="AS44" s="42" t="e">
        <f t="shared" si="0"/>
        <v>#DIV/0!</v>
      </c>
    </row>
    <row r="45" spans="1:45" ht="18" customHeight="1">
      <c r="A45" s="34"/>
      <c r="B45" s="35"/>
      <c r="C45" s="36"/>
      <c r="D45" s="36"/>
      <c r="E45" s="37"/>
      <c r="F45" s="38"/>
      <c r="G45" s="38"/>
      <c r="H45" s="38"/>
      <c r="I45" s="38"/>
      <c r="J45" s="38"/>
      <c r="K45" s="39"/>
      <c r="L45" s="40"/>
      <c r="M45" s="40"/>
      <c r="N45" s="38"/>
      <c r="O45" s="38"/>
      <c r="P45" s="38"/>
      <c r="Q45" s="39"/>
      <c r="R45" s="40"/>
      <c r="S45" s="40"/>
      <c r="T45" s="40"/>
      <c r="U45" s="40"/>
      <c r="V45" s="38"/>
      <c r="W45" s="40"/>
      <c r="X45" s="40"/>
      <c r="Y45" s="40"/>
      <c r="Z45" s="41"/>
      <c r="AB45" s="6"/>
      <c r="AC45" s="6"/>
      <c r="AD45" s="6"/>
      <c r="AE45" s="6"/>
      <c r="AF45" s="6"/>
      <c r="AG45" s="6"/>
      <c r="AH45" s="6"/>
      <c r="AI45" s="6"/>
      <c r="AJ45" s="6"/>
      <c r="AK45" s="6"/>
      <c r="AL45" s="6"/>
      <c r="AM45" s="6"/>
      <c r="AN45" s="6"/>
      <c r="AO45" s="6"/>
      <c r="AP45" s="6"/>
      <c r="AQ45" s="6"/>
      <c r="AS45" s="42" t="e">
        <f t="shared" si="0"/>
        <v>#DIV/0!</v>
      </c>
    </row>
    <row r="46" spans="1:45" ht="18" customHeight="1">
      <c r="A46" s="34"/>
      <c r="B46" s="35"/>
      <c r="C46" s="36"/>
      <c r="D46" s="36"/>
      <c r="E46" s="37"/>
      <c r="F46" s="38"/>
      <c r="G46" s="38"/>
      <c r="H46" s="38"/>
      <c r="I46" s="38"/>
      <c r="J46" s="38"/>
      <c r="K46" s="39"/>
      <c r="L46" s="40"/>
      <c r="M46" s="40"/>
      <c r="N46" s="38"/>
      <c r="O46" s="38"/>
      <c r="P46" s="38"/>
      <c r="Q46" s="39"/>
      <c r="R46" s="40"/>
      <c r="S46" s="40"/>
      <c r="T46" s="40"/>
      <c r="U46" s="40"/>
      <c r="V46" s="38"/>
      <c r="W46" s="40"/>
      <c r="X46" s="40"/>
      <c r="Y46" s="40"/>
      <c r="Z46" s="41"/>
      <c r="AB46" s="6"/>
      <c r="AC46" s="6"/>
      <c r="AD46" s="6"/>
      <c r="AE46" s="6"/>
      <c r="AF46" s="6"/>
      <c r="AG46" s="6"/>
      <c r="AH46" s="6"/>
      <c r="AI46" s="6"/>
      <c r="AJ46" s="6"/>
      <c r="AK46" s="6"/>
      <c r="AL46" s="6"/>
      <c r="AM46" s="6"/>
      <c r="AN46" s="6"/>
      <c r="AO46" s="6"/>
      <c r="AP46" s="6"/>
      <c r="AQ46" s="6"/>
      <c r="AS46" s="42" t="e">
        <f t="shared" si="0"/>
        <v>#DIV/0!</v>
      </c>
    </row>
    <row r="47" spans="1:45" ht="18" customHeight="1">
      <c r="A47" s="34"/>
      <c r="B47" s="35"/>
      <c r="C47" s="36"/>
      <c r="D47" s="36"/>
      <c r="E47" s="37"/>
      <c r="F47" s="38"/>
      <c r="G47" s="38"/>
      <c r="H47" s="38"/>
      <c r="I47" s="38"/>
      <c r="J47" s="38"/>
      <c r="K47" s="39"/>
      <c r="L47" s="40"/>
      <c r="M47" s="40"/>
      <c r="N47" s="38"/>
      <c r="O47" s="38"/>
      <c r="P47" s="38"/>
      <c r="Q47" s="39"/>
      <c r="R47" s="40"/>
      <c r="S47" s="40"/>
      <c r="T47" s="40"/>
      <c r="U47" s="40"/>
      <c r="V47" s="38"/>
      <c r="W47" s="40"/>
      <c r="X47" s="40"/>
      <c r="Y47" s="40"/>
      <c r="Z47" s="41"/>
      <c r="AB47" s="6"/>
      <c r="AC47" s="6"/>
      <c r="AD47" s="6"/>
      <c r="AE47" s="6"/>
      <c r="AF47" s="6"/>
      <c r="AG47" s="6"/>
      <c r="AH47" s="6"/>
      <c r="AI47" s="6"/>
      <c r="AJ47" s="6"/>
      <c r="AK47" s="6"/>
      <c r="AL47" s="6"/>
      <c r="AM47" s="6"/>
      <c r="AN47" s="6"/>
      <c r="AO47" s="6"/>
      <c r="AP47" s="6"/>
      <c r="AQ47" s="6"/>
      <c r="AS47" s="42" t="e">
        <f t="shared" si="0"/>
        <v>#DIV/0!</v>
      </c>
    </row>
    <row r="48" spans="1:45" ht="18" customHeight="1">
      <c r="A48" s="34"/>
      <c r="B48" s="35"/>
      <c r="C48" s="36"/>
      <c r="D48" s="36"/>
      <c r="E48" s="37"/>
      <c r="F48" s="38"/>
      <c r="G48" s="38"/>
      <c r="H48" s="38"/>
      <c r="I48" s="38"/>
      <c r="J48" s="38"/>
      <c r="K48" s="39"/>
      <c r="L48" s="40"/>
      <c r="M48" s="40"/>
      <c r="N48" s="38"/>
      <c r="O48" s="38"/>
      <c r="P48" s="38"/>
      <c r="Q48" s="39"/>
      <c r="R48" s="40"/>
      <c r="S48" s="40"/>
      <c r="T48" s="40"/>
      <c r="U48" s="40"/>
      <c r="V48" s="38"/>
      <c r="W48" s="40"/>
      <c r="X48" s="40"/>
      <c r="Y48" s="40"/>
      <c r="Z48" s="41"/>
      <c r="AB48" s="6"/>
      <c r="AC48" s="6"/>
      <c r="AD48" s="6"/>
      <c r="AE48" s="6"/>
      <c r="AF48" s="6"/>
      <c r="AG48" s="6"/>
      <c r="AH48" s="6"/>
      <c r="AI48" s="6"/>
      <c r="AJ48" s="6"/>
      <c r="AK48" s="6"/>
      <c r="AL48" s="6"/>
      <c r="AM48" s="6"/>
      <c r="AN48" s="6"/>
      <c r="AO48" s="6"/>
      <c r="AP48" s="6"/>
      <c r="AQ48" s="6"/>
      <c r="AS48" s="42" t="e">
        <f t="shared" si="0"/>
        <v>#DIV/0!</v>
      </c>
    </row>
    <row r="49" spans="1:60" ht="18" customHeight="1">
      <c r="A49" s="34"/>
      <c r="B49" s="35"/>
      <c r="C49" s="36"/>
      <c r="D49" s="36"/>
      <c r="E49" s="37"/>
      <c r="F49" s="38"/>
      <c r="G49" s="38"/>
      <c r="H49" s="38"/>
      <c r="I49" s="38"/>
      <c r="J49" s="38"/>
      <c r="K49" s="39"/>
      <c r="L49" s="40"/>
      <c r="M49" s="40"/>
      <c r="N49" s="38"/>
      <c r="O49" s="38"/>
      <c r="P49" s="38"/>
      <c r="Q49" s="39"/>
      <c r="R49" s="40"/>
      <c r="S49" s="40"/>
      <c r="T49" s="40"/>
      <c r="U49" s="40"/>
      <c r="V49" s="38"/>
      <c r="W49" s="40"/>
      <c r="X49" s="40"/>
      <c r="Y49" s="40"/>
      <c r="Z49" s="41"/>
      <c r="AB49" s="6"/>
      <c r="AC49" s="6"/>
      <c r="AD49" s="6"/>
      <c r="AE49" s="6"/>
      <c r="AF49" s="6"/>
      <c r="AG49" s="6"/>
      <c r="AH49" s="6"/>
      <c r="AI49" s="6"/>
      <c r="AJ49" s="6"/>
      <c r="AK49" s="6"/>
      <c r="AL49" s="6"/>
      <c r="AM49" s="6"/>
      <c r="AN49" s="6"/>
      <c r="AO49" s="6"/>
      <c r="AP49" s="6"/>
      <c r="AQ49" s="6"/>
      <c r="AS49" s="42" t="e">
        <f t="shared" si="0"/>
        <v>#DIV/0!</v>
      </c>
    </row>
    <row r="50" spans="1:60" ht="18" customHeight="1">
      <c r="A50" s="34"/>
      <c r="B50" s="35"/>
      <c r="C50" s="36"/>
      <c r="D50" s="36"/>
      <c r="E50" s="37"/>
      <c r="F50" s="38"/>
      <c r="G50" s="38"/>
      <c r="H50" s="38"/>
      <c r="I50" s="38"/>
      <c r="J50" s="38"/>
      <c r="K50" s="39"/>
      <c r="L50" s="40"/>
      <c r="M50" s="40"/>
      <c r="N50" s="38"/>
      <c r="O50" s="38"/>
      <c r="P50" s="38"/>
      <c r="Q50" s="39"/>
      <c r="R50" s="40"/>
      <c r="S50" s="40"/>
      <c r="T50" s="40"/>
      <c r="U50" s="40"/>
      <c r="V50" s="38"/>
      <c r="W50" s="40"/>
      <c r="X50" s="40"/>
      <c r="Y50" s="40"/>
      <c r="Z50" s="41"/>
      <c r="AB50" s="6"/>
      <c r="AC50" s="6"/>
      <c r="AD50" s="6"/>
      <c r="AE50" s="6"/>
      <c r="AF50" s="6"/>
      <c r="AG50" s="6"/>
      <c r="AH50" s="6"/>
      <c r="AI50" s="6"/>
      <c r="AJ50" s="6"/>
      <c r="AK50" s="6"/>
      <c r="AL50" s="6"/>
      <c r="AM50" s="6"/>
      <c r="AN50" s="6"/>
      <c r="AO50" s="6"/>
      <c r="AP50" s="6"/>
      <c r="AQ50" s="6"/>
      <c r="AS50" s="42" t="e">
        <f t="shared" si="0"/>
        <v>#DIV/0!</v>
      </c>
    </row>
    <row r="51" spans="1:60" ht="18" customHeight="1">
      <c r="A51" s="34"/>
      <c r="B51" s="35"/>
      <c r="C51" s="36"/>
      <c r="D51" s="36"/>
      <c r="E51" s="37"/>
      <c r="F51" s="38"/>
      <c r="G51" s="38"/>
      <c r="H51" s="38"/>
      <c r="I51" s="38"/>
      <c r="J51" s="38"/>
      <c r="K51" s="39"/>
      <c r="L51" s="40"/>
      <c r="M51" s="40"/>
      <c r="N51" s="38"/>
      <c r="O51" s="38"/>
      <c r="P51" s="38"/>
      <c r="Q51" s="39"/>
      <c r="R51" s="40"/>
      <c r="S51" s="40"/>
      <c r="T51" s="40"/>
      <c r="U51" s="40"/>
      <c r="V51" s="38"/>
      <c r="W51" s="40"/>
      <c r="X51" s="40"/>
      <c r="Y51" s="40"/>
      <c r="Z51" s="41"/>
      <c r="AB51" s="6"/>
      <c r="AC51" s="6"/>
      <c r="AD51" s="6"/>
      <c r="AE51" s="6"/>
      <c r="AF51" s="6"/>
      <c r="AG51" s="6"/>
      <c r="AH51" s="6"/>
      <c r="AI51" s="6"/>
      <c r="AJ51" s="6"/>
      <c r="AK51" s="6"/>
      <c r="AL51" s="6"/>
      <c r="AM51" s="6"/>
      <c r="AN51" s="6"/>
      <c r="AO51" s="6"/>
      <c r="AP51" s="6"/>
      <c r="AQ51" s="6"/>
      <c r="AS51" s="42" t="e">
        <f t="shared" si="0"/>
        <v>#DIV/0!</v>
      </c>
    </row>
    <row r="52" spans="1:60" ht="18" customHeight="1">
      <c r="A52" s="34"/>
      <c r="B52" s="35"/>
      <c r="C52" s="36"/>
      <c r="D52" s="36"/>
      <c r="E52" s="37"/>
      <c r="F52" s="38"/>
      <c r="G52" s="38"/>
      <c r="H52" s="38"/>
      <c r="I52" s="38"/>
      <c r="J52" s="38"/>
      <c r="K52" s="39"/>
      <c r="L52" s="40"/>
      <c r="M52" s="40"/>
      <c r="N52" s="38"/>
      <c r="O52" s="38"/>
      <c r="P52" s="38"/>
      <c r="Q52" s="39"/>
      <c r="R52" s="40"/>
      <c r="S52" s="40"/>
      <c r="T52" s="40"/>
      <c r="U52" s="40"/>
      <c r="V52" s="38"/>
      <c r="W52" s="40"/>
      <c r="X52" s="40"/>
      <c r="Y52" s="40"/>
      <c r="Z52" s="41"/>
      <c r="AB52" s="6"/>
      <c r="AC52" s="6"/>
      <c r="AD52" s="6"/>
      <c r="AE52" s="6"/>
      <c r="AF52" s="6"/>
      <c r="AG52" s="6"/>
      <c r="AH52" s="6"/>
      <c r="AI52" s="6"/>
      <c r="AJ52" s="6"/>
      <c r="AK52" s="6"/>
      <c r="AL52" s="6"/>
      <c r="AM52" s="6"/>
      <c r="AN52" s="6"/>
      <c r="AO52" s="6"/>
      <c r="AP52" s="6"/>
      <c r="AQ52" s="6"/>
      <c r="AS52" s="42" t="e">
        <f t="shared" si="0"/>
        <v>#DIV/0!</v>
      </c>
    </row>
    <row r="53" spans="1:60" ht="18" customHeight="1">
      <c r="A53" s="34"/>
      <c r="B53" s="35"/>
      <c r="C53" s="36"/>
      <c r="D53" s="36"/>
      <c r="E53" s="37"/>
      <c r="F53" s="38"/>
      <c r="G53" s="38"/>
      <c r="H53" s="38"/>
      <c r="I53" s="38"/>
      <c r="J53" s="38"/>
      <c r="K53" s="39"/>
      <c r="L53" s="40"/>
      <c r="M53" s="40"/>
      <c r="N53" s="38"/>
      <c r="O53" s="38"/>
      <c r="P53" s="38"/>
      <c r="Q53" s="39"/>
      <c r="R53" s="40"/>
      <c r="S53" s="40"/>
      <c r="T53" s="40"/>
      <c r="U53" s="40"/>
      <c r="V53" s="38"/>
      <c r="W53" s="40"/>
      <c r="X53" s="40"/>
      <c r="Y53" s="40"/>
      <c r="Z53" s="41"/>
      <c r="AB53" s="6"/>
      <c r="AC53" s="6"/>
      <c r="AD53" s="6"/>
      <c r="AE53" s="6"/>
      <c r="AF53" s="6"/>
      <c r="AG53" s="6"/>
      <c r="AH53" s="6"/>
      <c r="AI53" s="6"/>
      <c r="AJ53" s="6"/>
      <c r="AK53" s="6"/>
      <c r="AL53" s="6"/>
      <c r="AM53" s="6"/>
      <c r="AN53" s="6"/>
      <c r="AO53" s="6"/>
      <c r="AP53" s="6"/>
      <c r="AQ53" s="6"/>
      <c r="AS53" s="42" t="e">
        <f t="shared" si="0"/>
        <v>#DIV/0!</v>
      </c>
    </row>
    <row r="54" spans="1:60" ht="18" customHeight="1">
      <c r="A54" s="34"/>
      <c r="B54" s="35"/>
      <c r="C54" s="36"/>
      <c r="D54" s="36"/>
      <c r="E54" s="37"/>
      <c r="F54" s="38"/>
      <c r="G54" s="38"/>
      <c r="H54" s="38"/>
      <c r="I54" s="38"/>
      <c r="J54" s="38"/>
      <c r="K54" s="39"/>
      <c r="L54" s="40"/>
      <c r="M54" s="40"/>
      <c r="N54" s="38"/>
      <c r="O54" s="38"/>
      <c r="P54" s="38"/>
      <c r="Q54" s="39"/>
      <c r="R54" s="40"/>
      <c r="S54" s="40"/>
      <c r="T54" s="40"/>
      <c r="U54" s="40"/>
      <c r="V54" s="38"/>
      <c r="W54" s="40"/>
      <c r="X54" s="40"/>
      <c r="Y54" s="40"/>
      <c r="Z54" s="41"/>
      <c r="AB54" s="6"/>
      <c r="AC54" s="6"/>
      <c r="AD54" s="6"/>
      <c r="AE54" s="6"/>
      <c r="AF54" s="6"/>
      <c r="AG54" s="6"/>
      <c r="AH54" s="6"/>
      <c r="AI54" s="6"/>
      <c r="AJ54" s="6"/>
      <c r="AK54" s="6"/>
      <c r="AL54" s="6"/>
      <c r="AM54" s="6"/>
      <c r="AN54" s="6"/>
      <c r="AO54" s="6"/>
      <c r="AP54" s="6"/>
      <c r="AQ54" s="6"/>
      <c r="AS54" s="42" t="e">
        <f t="shared" si="0"/>
        <v>#DIV/0!</v>
      </c>
    </row>
    <row r="55" spans="1:60" ht="18" customHeight="1">
      <c r="A55" s="34"/>
      <c r="B55" s="35"/>
      <c r="C55" s="36"/>
      <c r="D55" s="36"/>
      <c r="E55" s="37"/>
      <c r="F55" s="38"/>
      <c r="G55" s="38"/>
      <c r="H55" s="38"/>
      <c r="I55" s="38"/>
      <c r="J55" s="38"/>
      <c r="K55" s="39"/>
      <c r="L55" s="40"/>
      <c r="M55" s="40"/>
      <c r="N55" s="38"/>
      <c r="O55" s="38"/>
      <c r="P55" s="38"/>
      <c r="Q55" s="39"/>
      <c r="R55" s="40"/>
      <c r="S55" s="40"/>
      <c r="T55" s="40"/>
      <c r="U55" s="40"/>
      <c r="V55" s="38"/>
      <c r="W55" s="40"/>
      <c r="X55" s="40"/>
      <c r="Y55" s="40"/>
      <c r="Z55" s="41"/>
      <c r="AB55" s="6"/>
      <c r="AC55" s="6"/>
      <c r="AD55" s="6"/>
      <c r="AE55" s="6"/>
      <c r="AF55" s="6"/>
      <c r="AG55" s="6"/>
      <c r="AH55" s="6"/>
      <c r="AI55" s="6"/>
      <c r="AJ55" s="6"/>
      <c r="AK55" s="6"/>
      <c r="AL55" s="6"/>
      <c r="AM55" s="6"/>
      <c r="AN55" s="6"/>
      <c r="AO55" s="6"/>
      <c r="AP55" s="6"/>
      <c r="AQ55" s="6"/>
      <c r="AS55" s="42" t="e">
        <f t="shared" si="0"/>
        <v>#DIV/0!</v>
      </c>
    </row>
    <row r="56" spans="1:60" ht="18" customHeight="1">
      <c r="A56" s="34"/>
      <c r="B56" s="35"/>
      <c r="C56" s="36"/>
      <c r="D56" s="36"/>
      <c r="E56" s="37"/>
      <c r="F56" s="38"/>
      <c r="G56" s="38"/>
      <c r="H56" s="38"/>
      <c r="I56" s="38"/>
      <c r="J56" s="38"/>
      <c r="K56" s="39"/>
      <c r="L56" s="40"/>
      <c r="M56" s="40"/>
      <c r="N56" s="38"/>
      <c r="O56" s="38"/>
      <c r="P56" s="38"/>
      <c r="Q56" s="39"/>
      <c r="R56" s="40"/>
      <c r="S56" s="40"/>
      <c r="T56" s="40"/>
      <c r="U56" s="40"/>
      <c r="V56" s="38"/>
      <c r="W56" s="40"/>
      <c r="X56" s="40"/>
      <c r="Y56" s="40"/>
      <c r="Z56" s="41"/>
      <c r="AB56" s="6"/>
      <c r="AC56" s="6"/>
      <c r="AD56" s="6"/>
      <c r="AE56" s="6"/>
      <c r="AF56" s="6"/>
      <c r="AG56" s="6"/>
      <c r="AH56" s="6"/>
      <c r="AI56" s="6"/>
      <c r="AJ56" s="6"/>
      <c r="AK56" s="6"/>
      <c r="AL56" s="6"/>
      <c r="AM56" s="6"/>
      <c r="AN56" s="6"/>
      <c r="AO56" s="6"/>
      <c r="AP56" s="6"/>
      <c r="AQ56" s="6"/>
      <c r="AS56" s="42" t="e">
        <f t="shared" si="0"/>
        <v>#DIV/0!</v>
      </c>
    </row>
    <row r="57" spans="1:60" ht="18" customHeight="1">
      <c r="A57" s="34"/>
      <c r="B57" s="35"/>
      <c r="C57" s="36"/>
      <c r="D57" s="36"/>
      <c r="E57" s="37"/>
      <c r="F57" s="38"/>
      <c r="G57" s="38"/>
      <c r="H57" s="38"/>
      <c r="I57" s="38"/>
      <c r="J57" s="38"/>
      <c r="K57" s="39"/>
      <c r="L57" s="40"/>
      <c r="M57" s="40"/>
      <c r="N57" s="38"/>
      <c r="O57" s="38"/>
      <c r="P57" s="38"/>
      <c r="Q57" s="39"/>
      <c r="R57" s="40"/>
      <c r="S57" s="40"/>
      <c r="T57" s="40"/>
      <c r="U57" s="40"/>
      <c r="V57" s="38"/>
      <c r="W57" s="40"/>
      <c r="X57" s="40"/>
      <c r="Y57" s="40"/>
      <c r="Z57" s="41"/>
      <c r="AB57" s="6"/>
      <c r="AC57" s="6"/>
      <c r="AD57" s="6"/>
      <c r="AE57" s="6"/>
      <c r="AF57" s="6"/>
      <c r="AG57" s="6"/>
      <c r="AH57" s="6"/>
      <c r="AI57" s="6"/>
      <c r="AJ57" s="6"/>
      <c r="AK57" s="6"/>
      <c r="AL57" s="6"/>
      <c r="AM57" s="6"/>
      <c r="AN57" s="6"/>
      <c r="AO57" s="6"/>
      <c r="AP57" s="6"/>
      <c r="AQ57" s="6"/>
      <c r="AS57" s="42" t="e">
        <f t="shared" si="0"/>
        <v>#DIV/0!</v>
      </c>
    </row>
    <row r="58" spans="1:60" ht="18" customHeight="1">
      <c r="A58" s="34"/>
      <c r="B58" s="35"/>
      <c r="C58" s="36"/>
      <c r="D58" s="36"/>
      <c r="E58" s="37"/>
      <c r="F58" s="38"/>
      <c r="G58" s="38"/>
      <c r="H58" s="38"/>
      <c r="I58" s="38"/>
      <c r="J58" s="38"/>
      <c r="K58" s="39"/>
      <c r="L58" s="40"/>
      <c r="M58" s="40"/>
      <c r="N58" s="38"/>
      <c r="O58" s="38"/>
      <c r="P58" s="38"/>
      <c r="Q58" s="39"/>
      <c r="R58" s="40"/>
      <c r="S58" s="40"/>
      <c r="T58" s="40"/>
      <c r="U58" s="40"/>
      <c r="V58" s="38"/>
      <c r="W58" s="40"/>
      <c r="X58" s="40"/>
      <c r="Y58" s="40"/>
      <c r="Z58" s="41"/>
      <c r="AB58" s="6"/>
      <c r="AC58" s="6"/>
      <c r="AD58" s="6"/>
      <c r="AE58" s="6"/>
      <c r="AF58" s="6"/>
      <c r="AG58" s="6"/>
      <c r="AH58" s="6"/>
      <c r="AI58" s="6"/>
      <c r="AJ58" s="6"/>
      <c r="AK58" s="6"/>
      <c r="AL58" s="6"/>
      <c r="AM58" s="6"/>
      <c r="AN58" s="6"/>
      <c r="AO58" s="6"/>
      <c r="AP58" s="6"/>
      <c r="AQ58" s="6"/>
      <c r="AS58" s="42" t="e">
        <f t="shared" si="0"/>
        <v>#DIV/0!</v>
      </c>
    </row>
    <row r="59" spans="1:60" ht="18" customHeight="1">
      <c r="A59" s="34"/>
      <c r="B59" s="35"/>
      <c r="C59" s="36"/>
      <c r="D59" s="36"/>
      <c r="E59" s="37"/>
      <c r="F59" s="38"/>
      <c r="G59" s="38"/>
      <c r="H59" s="38"/>
      <c r="I59" s="38"/>
      <c r="J59" s="38"/>
      <c r="K59" s="39"/>
      <c r="L59" s="40"/>
      <c r="M59" s="40"/>
      <c r="N59" s="38"/>
      <c r="O59" s="38"/>
      <c r="P59" s="38"/>
      <c r="Q59" s="39"/>
      <c r="R59" s="40"/>
      <c r="S59" s="40"/>
      <c r="T59" s="40"/>
      <c r="U59" s="40"/>
      <c r="V59" s="38"/>
      <c r="W59" s="40"/>
      <c r="X59" s="40"/>
      <c r="Y59" s="40"/>
      <c r="Z59" s="41"/>
      <c r="AB59" s="6"/>
      <c r="AC59" s="6"/>
      <c r="AD59" s="6"/>
      <c r="AE59" s="6"/>
      <c r="AF59" s="6"/>
      <c r="AG59" s="6"/>
      <c r="AH59" s="6"/>
      <c r="AI59" s="6"/>
      <c r="AJ59" s="6"/>
      <c r="AK59" s="6"/>
      <c r="AL59" s="6"/>
      <c r="AM59" s="6"/>
      <c r="AN59" s="6"/>
      <c r="AO59" s="6"/>
      <c r="AP59" s="6"/>
      <c r="AQ59" s="6"/>
      <c r="AS59" s="42" t="e">
        <f t="shared" si="0"/>
        <v>#DIV/0!</v>
      </c>
    </row>
    <row r="60" spans="1:60" ht="18" customHeight="1" thickBot="1">
      <c r="A60" s="34"/>
      <c r="B60" s="35"/>
      <c r="C60" s="36"/>
      <c r="D60" s="36"/>
      <c r="E60" s="37"/>
      <c r="F60" s="38"/>
      <c r="G60" s="38"/>
      <c r="H60" s="38"/>
      <c r="I60" s="38"/>
      <c r="J60" s="38"/>
      <c r="K60" s="39"/>
      <c r="L60" s="40"/>
      <c r="M60" s="40"/>
      <c r="N60" s="38"/>
      <c r="O60" s="38"/>
      <c r="P60" s="38"/>
      <c r="Q60" s="39"/>
      <c r="R60" s="40"/>
      <c r="S60" s="40"/>
      <c r="T60" s="40"/>
      <c r="U60" s="40"/>
      <c r="V60" s="38"/>
      <c r="W60" s="40"/>
      <c r="X60" s="40"/>
      <c r="Y60" s="40"/>
      <c r="Z60" s="41"/>
      <c r="AB60" s="6"/>
      <c r="AC60" s="6"/>
      <c r="AD60" s="6"/>
      <c r="AE60" s="6"/>
      <c r="AF60" s="6"/>
      <c r="AG60" s="6"/>
      <c r="AH60" s="6"/>
      <c r="AI60" s="6"/>
      <c r="AJ60" s="6"/>
      <c r="AK60" s="6"/>
      <c r="AL60" s="6"/>
      <c r="AM60" s="6"/>
      <c r="AN60" s="6"/>
      <c r="AO60" s="6"/>
      <c r="AP60" s="6"/>
      <c r="AQ60" s="6"/>
      <c r="AS60" s="42" t="e">
        <f t="shared" si="0"/>
        <v>#DIV/0!</v>
      </c>
    </row>
    <row r="61" spans="1:60" ht="18" hidden="1" customHeight="1" thickBot="1">
      <c r="A61" s="258" t="s">
        <v>157</v>
      </c>
      <c r="B61" s="288" t="s">
        <v>158</v>
      </c>
      <c r="C61" s="289"/>
      <c r="D61" s="289"/>
      <c r="E61" s="231" t="s">
        <v>157</v>
      </c>
      <c r="F61" s="256" t="s">
        <v>158</v>
      </c>
      <c r="G61" s="256"/>
      <c r="H61" s="256"/>
      <c r="I61" s="257" t="s">
        <v>157</v>
      </c>
      <c r="J61" s="256" t="s">
        <v>158</v>
      </c>
      <c r="K61" s="256"/>
      <c r="L61" s="256"/>
      <c r="M61" s="257" t="s">
        <v>157</v>
      </c>
      <c r="N61" s="256" t="s">
        <v>158</v>
      </c>
      <c r="O61" s="256"/>
      <c r="P61" s="256"/>
      <c r="Q61" s="257" t="s">
        <v>157</v>
      </c>
      <c r="R61" s="256" t="s">
        <v>158</v>
      </c>
      <c r="S61" s="256"/>
      <c r="T61" s="256"/>
      <c r="U61" s="257" t="s">
        <v>157</v>
      </c>
      <c r="V61" s="256" t="s">
        <v>158</v>
      </c>
      <c r="W61" s="256"/>
      <c r="X61" s="256"/>
      <c r="Y61" s="257" t="s">
        <v>157</v>
      </c>
      <c r="Z61" s="290" t="s">
        <v>158</v>
      </c>
      <c r="AA61" s="290"/>
      <c r="AB61" s="290"/>
      <c r="AC61" s="231" t="s">
        <v>157</v>
      </c>
      <c r="AD61" s="287" t="s">
        <v>158</v>
      </c>
      <c r="AE61" s="287"/>
      <c r="AF61" s="287"/>
      <c r="AG61" s="231" t="s">
        <v>157</v>
      </c>
      <c r="AH61" s="287" t="s">
        <v>158</v>
      </c>
      <c r="AI61" s="287"/>
      <c r="AJ61" s="287"/>
      <c r="AK61" s="231" t="s">
        <v>157</v>
      </c>
      <c r="AL61" s="287" t="s">
        <v>158</v>
      </c>
      <c r="AM61" s="287"/>
      <c r="AN61" s="287"/>
      <c r="AO61" s="231" t="s">
        <v>157</v>
      </c>
      <c r="AP61" s="287" t="s">
        <v>158</v>
      </c>
      <c r="AQ61" s="287"/>
      <c r="AR61" s="287"/>
      <c r="AS61" s="231" t="s">
        <v>157</v>
      </c>
      <c r="AT61" s="287" t="s">
        <v>158</v>
      </c>
      <c r="AU61" s="287"/>
      <c r="AV61" s="287"/>
      <c r="AW61" s="231" t="s">
        <v>157</v>
      </c>
      <c r="AX61" s="287" t="s">
        <v>158</v>
      </c>
      <c r="AY61" s="287"/>
      <c r="AZ61" s="287"/>
      <c r="BA61" s="231" t="s">
        <v>157</v>
      </c>
      <c r="BB61" s="287" t="s">
        <v>158</v>
      </c>
      <c r="BC61" s="287"/>
      <c r="BD61" s="287"/>
      <c r="BE61" s="231" t="s">
        <v>157</v>
      </c>
      <c r="BF61" s="287" t="s">
        <v>158</v>
      </c>
      <c r="BG61" s="287"/>
      <c r="BH61" s="287"/>
    </row>
    <row r="62" spans="1:60" ht="18" customHeight="1" thickBot="1">
      <c r="A62" s="260"/>
      <c r="B62" s="261" t="s">
        <v>14</v>
      </c>
      <c r="C62" s="147"/>
      <c r="D62" s="147"/>
      <c r="E62" s="147"/>
      <c r="F62" s="310"/>
      <c r="G62" s="311"/>
      <c r="H62" s="311"/>
      <c r="I62" s="311"/>
      <c r="J62" s="310"/>
      <c r="K62" s="311"/>
      <c r="L62" s="311"/>
      <c r="M62" s="311"/>
      <c r="N62" s="310"/>
      <c r="O62" s="311"/>
      <c r="P62" s="311"/>
      <c r="Q62" s="311"/>
      <c r="R62" s="310"/>
      <c r="S62" s="311"/>
      <c r="T62" s="311"/>
      <c r="U62" s="311"/>
      <c r="V62" s="310" t="str">
        <f>IF(OR(F62="",J62="",N62="",R62=""),"",IF(ISERROR(ROUND(AVERAGE(F62,J62,N62,R62),0)),"",ROUND(AVERAGE(F62,J62,N62,R62),0)))</f>
        <v/>
      </c>
      <c r="W62" s="311"/>
      <c r="X62" s="311"/>
      <c r="Y62" s="311"/>
      <c r="Z62" s="312" t="str">
        <f>IF(OR($F62="",$J62="",$N62="",$R62="",$V62=""),"",IF($V62&gt;=75,"PASSED","FAILED"))</f>
        <v/>
      </c>
      <c r="AA62" s="311"/>
      <c r="AB62" s="311"/>
      <c r="AC62" s="3"/>
      <c r="AD62" s="3"/>
      <c r="AE62" s="2"/>
      <c r="AF62" s="3"/>
      <c r="AG62" s="3"/>
      <c r="AH62" s="3"/>
      <c r="AI62" s="145"/>
      <c r="AJ62" s="1"/>
      <c r="AK62" s="2"/>
      <c r="AL62" s="1"/>
      <c r="AM62" s="50"/>
      <c r="AN62" s="1"/>
      <c r="AO62" s="1"/>
      <c r="AP62" s="1"/>
      <c r="AQ62" s="1"/>
      <c r="AR62" s="1"/>
      <c r="AS62" s="1"/>
    </row>
    <row r="63" spans="1:60" ht="18" hidden="1" customHeight="1" thickBot="1">
      <c r="A63" s="259" t="s">
        <v>149</v>
      </c>
      <c r="B63" s="304" t="s">
        <v>151</v>
      </c>
      <c r="C63" s="305"/>
      <c r="D63" s="306"/>
      <c r="E63" s="217"/>
      <c r="F63" s="307"/>
      <c r="G63" s="308"/>
      <c r="H63" s="308"/>
      <c r="I63" s="309"/>
      <c r="J63" s="215"/>
      <c r="K63" s="212"/>
      <c r="L63" s="212"/>
      <c r="M63" s="213"/>
      <c r="N63" s="215"/>
      <c r="O63" s="212"/>
      <c r="P63" s="212"/>
      <c r="Q63" s="213"/>
      <c r="R63" s="216"/>
      <c r="S63" s="212"/>
      <c r="T63" s="212"/>
      <c r="U63" s="213"/>
      <c r="V63" s="216"/>
      <c r="W63" s="212"/>
      <c r="X63" s="212"/>
      <c r="Y63" s="213"/>
      <c r="Z63" s="219"/>
      <c r="AA63" s="212"/>
      <c r="AB63" s="214"/>
      <c r="AC63" s="3"/>
      <c r="AD63" s="3"/>
      <c r="AE63" s="2"/>
      <c r="AF63" s="3"/>
      <c r="AG63" s="3"/>
      <c r="AH63" s="3"/>
      <c r="AI63" s="145"/>
      <c r="AJ63" s="1"/>
      <c r="AK63" s="2"/>
      <c r="AL63" s="1"/>
      <c r="AM63" s="50"/>
      <c r="AN63" s="1"/>
      <c r="AO63" s="1"/>
      <c r="AP63" s="1"/>
      <c r="AQ63" s="1"/>
      <c r="AR63" s="1"/>
      <c r="AS63" s="1"/>
    </row>
    <row r="64" spans="1:60" ht="18" customHeight="1">
      <c r="A64" s="34"/>
      <c r="B64" s="35"/>
      <c r="C64" s="36"/>
      <c r="D64" s="36"/>
      <c r="E64" s="37"/>
      <c r="F64" s="38"/>
      <c r="G64" s="38"/>
      <c r="H64" s="38"/>
      <c r="I64" s="38"/>
      <c r="J64" s="38"/>
      <c r="K64" s="39"/>
      <c r="L64" s="40"/>
      <c r="M64" s="40"/>
      <c r="N64" s="38"/>
      <c r="O64" s="38"/>
      <c r="P64" s="38"/>
      <c r="Q64" s="39"/>
      <c r="R64" s="40"/>
      <c r="S64" s="40"/>
      <c r="T64" s="40"/>
      <c r="U64" s="40"/>
      <c r="V64" s="38"/>
      <c r="W64" s="40"/>
      <c r="X64" s="40"/>
      <c r="Y64" s="40"/>
      <c r="Z64" s="41"/>
      <c r="AB64" s="6"/>
      <c r="AC64" s="6"/>
      <c r="AD64" s="6"/>
      <c r="AE64" s="6"/>
      <c r="AF64" s="6"/>
      <c r="AG64" s="6"/>
      <c r="AH64" s="6"/>
      <c r="AI64" s="6"/>
      <c r="AJ64" s="6"/>
      <c r="AK64" s="6"/>
      <c r="AL64" s="6"/>
      <c r="AM64" s="6"/>
      <c r="AN64" s="6"/>
      <c r="AO64" s="6"/>
      <c r="AP64" s="6"/>
      <c r="AQ64" s="6"/>
      <c r="AS64" s="42" t="e">
        <f t="shared" si="0"/>
        <v>#DIV/0!</v>
      </c>
    </row>
    <row r="65" spans="1:45" ht="18" customHeight="1">
      <c r="A65" s="34"/>
      <c r="B65" s="35"/>
      <c r="C65" s="36"/>
      <c r="D65" s="36"/>
      <c r="E65" s="37"/>
      <c r="F65" s="38"/>
      <c r="G65" s="38"/>
      <c r="H65" s="38"/>
      <c r="I65" s="38"/>
      <c r="J65" s="38"/>
      <c r="K65" s="39"/>
      <c r="L65" s="40"/>
      <c r="M65" s="40"/>
      <c r="N65" s="38"/>
      <c r="O65" s="38"/>
      <c r="P65" s="38"/>
      <c r="Q65" s="39"/>
      <c r="R65" s="40"/>
      <c r="S65" s="40"/>
      <c r="T65" s="40"/>
      <c r="U65" s="40"/>
      <c r="V65" s="38"/>
      <c r="W65" s="40"/>
      <c r="X65" s="40"/>
      <c r="Y65" s="40"/>
      <c r="Z65" s="41"/>
      <c r="AB65" s="6"/>
      <c r="AC65" s="6"/>
      <c r="AD65" s="6"/>
      <c r="AE65" s="6"/>
      <c r="AF65" s="6"/>
      <c r="AG65" s="6"/>
      <c r="AH65" s="6"/>
      <c r="AI65" s="6"/>
      <c r="AJ65" s="6"/>
      <c r="AK65" s="6"/>
      <c r="AL65" s="6"/>
      <c r="AM65" s="6"/>
      <c r="AN65" s="6"/>
      <c r="AO65" s="6"/>
      <c r="AP65" s="6"/>
      <c r="AQ65" s="6"/>
      <c r="AS65" s="42" t="e">
        <f t="shared" si="0"/>
        <v>#DIV/0!</v>
      </c>
    </row>
    <row r="66" spans="1:45" ht="18" customHeight="1">
      <c r="A66" s="34"/>
      <c r="B66" s="35"/>
      <c r="C66" s="36"/>
      <c r="D66" s="36"/>
      <c r="E66" s="37"/>
      <c r="F66" s="38"/>
      <c r="G66" s="38"/>
      <c r="H66" s="38"/>
      <c r="I66" s="38"/>
      <c r="J66" s="38"/>
      <c r="K66" s="39"/>
      <c r="L66" s="40"/>
      <c r="M66" s="40"/>
      <c r="N66" s="38"/>
      <c r="O66" s="38"/>
      <c r="P66" s="38"/>
      <c r="Q66" s="39"/>
      <c r="R66" s="40"/>
      <c r="S66" s="40"/>
      <c r="T66" s="40"/>
      <c r="U66" s="40"/>
      <c r="V66" s="38"/>
      <c r="W66" s="40"/>
      <c r="X66" s="40"/>
      <c r="Y66" s="40"/>
      <c r="Z66" s="41"/>
      <c r="AB66" s="6"/>
      <c r="AC66" s="6"/>
      <c r="AD66" s="6"/>
      <c r="AE66" s="6"/>
      <c r="AF66" s="6"/>
      <c r="AG66" s="6"/>
      <c r="AH66" s="6"/>
      <c r="AI66" s="6"/>
      <c r="AJ66" s="6"/>
      <c r="AK66" s="6"/>
      <c r="AL66" s="6"/>
      <c r="AM66" s="6"/>
      <c r="AN66" s="6"/>
      <c r="AO66" s="6"/>
      <c r="AP66" s="6"/>
      <c r="AQ66" s="6"/>
      <c r="AS66" s="42" t="e">
        <f t="shared" si="0"/>
        <v>#DIV/0!</v>
      </c>
    </row>
    <row r="67" spans="1:45" ht="18" customHeight="1">
      <c r="A67" s="34"/>
      <c r="B67" s="44"/>
      <c r="C67" s="36"/>
      <c r="D67" s="36"/>
      <c r="E67" s="37"/>
      <c r="F67" s="38"/>
      <c r="G67" s="38"/>
      <c r="H67" s="38"/>
      <c r="I67" s="38"/>
      <c r="J67" s="38"/>
      <c r="K67" s="39"/>
      <c r="L67" s="40"/>
      <c r="M67" s="40"/>
      <c r="N67" s="38"/>
      <c r="O67" s="38"/>
      <c r="P67" s="38"/>
      <c r="Q67" s="39"/>
      <c r="R67" s="40"/>
      <c r="S67" s="40"/>
      <c r="T67" s="40"/>
      <c r="U67" s="40"/>
      <c r="V67" s="38"/>
      <c r="W67" s="40"/>
      <c r="X67" s="40"/>
      <c r="Y67" s="40"/>
      <c r="Z67" s="41"/>
      <c r="AB67" s="6"/>
      <c r="AC67" s="6"/>
      <c r="AD67" s="6"/>
      <c r="AE67" s="6"/>
      <c r="AF67" s="6"/>
      <c r="AG67" s="6"/>
      <c r="AH67" s="6"/>
      <c r="AI67" s="6"/>
      <c r="AJ67" s="6"/>
      <c r="AK67" s="6"/>
      <c r="AL67" s="6"/>
      <c r="AM67" s="6"/>
      <c r="AN67" s="6"/>
      <c r="AO67" s="6"/>
      <c r="AP67" s="6"/>
      <c r="AQ67" s="6"/>
      <c r="AS67" s="42" t="e">
        <f t="shared" si="0"/>
        <v>#DIV/0!</v>
      </c>
    </row>
    <row r="68" spans="1:45" ht="18" customHeight="1">
      <c r="A68" s="34"/>
      <c r="B68" s="35"/>
      <c r="C68" s="36"/>
      <c r="D68" s="36"/>
      <c r="E68" s="37"/>
      <c r="F68" s="38"/>
      <c r="G68" s="38"/>
      <c r="H68" s="38"/>
      <c r="I68" s="38"/>
      <c r="J68" s="38"/>
      <c r="K68" s="39"/>
      <c r="L68" s="40"/>
      <c r="M68" s="40"/>
      <c r="N68" s="38"/>
      <c r="O68" s="38"/>
      <c r="P68" s="38"/>
      <c r="Q68" s="39"/>
      <c r="R68" s="40"/>
      <c r="S68" s="40"/>
      <c r="T68" s="40"/>
      <c r="U68" s="40"/>
      <c r="V68" s="38"/>
      <c r="W68" s="40"/>
      <c r="X68" s="40"/>
      <c r="Y68" s="40"/>
      <c r="Z68" s="41"/>
      <c r="AB68" s="6"/>
      <c r="AC68" s="6"/>
      <c r="AD68" s="6"/>
      <c r="AE68" s="6"/>
      <c r="AF68" s="6"/>
      <c r="AG68" s="6"/>
      <c r="AH68" s="6"/>
      <c r="AI68" s="6"/>
      <c r="AJ68" s="6"/>
      <c r="AK68" s="6"/>
      <c r="AL68" s="6"/>
      <c r="AM68" s="6"/>
      <c r="AN68" s="6"/>
      <c r="AO68" s="6"/>
      <c r="AP68" s="6"/>
      <c r="AQ68" s="6"/>
      <c r="AS68" s="42" t="e">
        <f t="shared" si="0"/>
        <v>#DIV/0!</v>
      </c>
    </row>
    <row r="69" spans="1:45" ht="18" customHeight="1">
      <c r="A69" s="34"/>
      <c r="B69" s="35"/>
      <c r="C69" s="36"/>
      <c r="D69" s="36"/>
      <c r="E69" s="37"/>
      <c r="F69" s="38"/>
      <c r="G69" s="38"/>
      <c r="H69" s="38"/>
      <c r="I69" s="38"/>
      <c r="J69" s="38"/>
      <c r="K69" s="39"/>
      <c r="L69" s="40"/>
      <c r="M69" s="40"/>
      <c r="N69" s="38"/>
      <c r="O69" s="38"/>
      <c r="P69" s="38"/>
      <c r="Q69" s="39"/>
      <c r="R69" s="40"/>
      <c r="S69" s="40"/>
      <c r="T69" s="40"/>
      <c r="U69" s="40"/>
      <c r="V69" s="38"/>
      <c r="W69" s="40"/>
      <c r="X69" s="40"/>
      <c r="Y69" s="40"/>
      <c r="Z69" s="41"/>
      <c r="AB69" s="6"/>
      <c r="AC69" s="6"/>
      <c r="AD69" s="6"/>
      <c r="AE69" s="6"/>
      <c r="AF69" s="6"/>
      <c r="AG69" s="6"/>
      <c r="AH69" s="6"/>
      <c r="AI69" s="6"/>
      <c r="AJ69" s="6"/>
      <c r="AK69" s="6"/>
      <c r="AL69" s="6"/>
      <c r="AM69" s="6"/>
      <c r="AN69" s="6"/>
      <c r="AO69" s="6"/>
      <c r="AP69" s="6"/>
      <c r="AQ69" s="6"/>
      <c r="AS69" s="42" t="e">
        <f t="shared" si="0"/>
        <v>#DIV/0!</v>
      </c>
    </row>
    <row r="70" spans="1:45" ht="18" customHeight="1">
      <c r="A70" s="34"/>
      <c r="B70" s="35"/>
      <c r="C70" s="36"/>
      <c r="D70" s="36"/>
      <c r="E70" s="37"/>
      <c r="F70" s="38"/>
      <c r="G70" s="38"/>
      <c r="H70" s="38"/>
      <c r="I70" s="38"/>
      <c r="J70" s="38"/>
      <c r="K70" s="39"/>
      <c r="L70" s="40"/>
      <c r="M70" s="40"/>
      <c r="N70" s="38"/>
      <c r="O70" s="38"/>
      <c r="P70" s="38"/>
      <c r="Q70" s="39"/>
      <c r="R70" s="40"/>
      <c r="S70" s="40"/>
      <c r="T70" s="40"/>
      <c r="U70" s="40"/>
      <c r="V70" s="38"/>
      <c r="W70" s="40"/>
      <c r="X70" s="40"/>
      <c r="Y70" s="40"/>
      <c r="Z70" s="41"/>
      <c r="AB70" s="6"/>
      <c r="AC70" s="6"/>
      <c r="AD70" s="6"/>
      <c r="AE70" s="6"/>
      <c r="AF70" s="6"/>
      <c r="AG70" s="6"/>
      <c r="AH70" s="6"/>
      <c r="AI70" s="6"/>
      <c r="AJ70" s="6"/>
      <c r="AK70" s="6"/>
      <c r="AL70" s="6"/>
      <c r="AM70" s="6"/>
      <c r="AN70" s="6"/>
      <c r="AO70" s="6"/>
      <c r="AP70" s="6"/>
      <c r="AQ70" s="6"/>
      <c r="AS70" s="42" t="e">
        <f t="shared" si="0"/>
        <v>#DIV/0!</v>
      </c>
    </row>
    <row r="71" spans="1:45" ht="18" customHeight="1">
      <c r="A71" s="34"/>
      <c r="B71" s="35"/>
      <c r="C71" s="36"/>
      <c r="D71" s="36"/>
      <c r="E71" s="37"/>
      <c r="F71" s="38"/>
      <c r="G71" s="38"/>
      <c r="H71" s="38"/>
      <c r="I71" s="38"/>
      <c r="J71" s="38"/>
      <c r="K71" s="39"/>
      <c r="L71" s="40"/>
      <c r="M71" s="40"/>
      <c r="N71" s="38"/>
      <c r="O71" s="38"/>
      <c r="P71" s="38"/>
      <c r="Q71" s="39"/>
      <c r="R71" s="40"/>
      <c r="S71" s="40"/>
      <c r="T71" s="40"/>
      <c r="U71" s="40"/>
      <c r="V71" s="38"/>
      <c r="W71" s="40"/>
      <c r="X71" s="40"/>
      <c r="Y71" s="40"/>
      <c r="Z71" s="41"/>
      <c r="AB71" s="6"/>
      <c r="AC71" s="6"/>
      <c r="AD71" s="6"/>
      <c r="AE71" s="6"/>
      <c r="AF71" s="6"/>
      <c r="AG71" s="6"/>
      <c r="AH71" s="6"/>
      <c r="AI71" s="6"/>
      <c r="AJ71" s="6"/>
      <c r="AK71" s="6"/>
      <c r="AL71" s="6"/>
      <c r="AM71" s="6"/>
      <c r="AN71" s="6"/>
      <c r="AO71" s="6"/>
      <c r="AP71" s="6"/>
      <c r="AQ71" s="6"/>
      <c r="AS71" s="42" t="e">
        <f t="shared" si="0"/>
        <v>#DIV/0!</v>
      </c>
    </row>
    <row r="72" spans="1:45" ht="18" customHeight="1">
      <c r="A72" s="34"/>
      <c r="B72" s="35"/>
      <c r="C72" s="36"/>
      <c r="D72" s="36"/>
      <c r="E72" s="37"/>
      <c r="F72" s="38"/>
      <c r="G72" s="38"/>
      <c r="H72" s="38"/>
      <c r="I72" s="38"/>
      <c r="J72" s="38"/>
      <c r="K72" s="39"/>
      <c r="L72" s="40"/>
      <c r="M72" s="40"/>
      <c r="N72" s="38"/>
      <c r="O72" s="38"/>
      <c r="P72" s="38"/>
      <c r="Q72" s="39"/>
      <c r="R72" s="40"/>
      <c r="S72" s="40"/>
      <c r="T72" s="40"/>
      <c r="U72" s="40"/>
      <c r="V72" s="38"/>
      <c r="W72" s="40"/>
      <c r="X72" s="40"/>
      <c r="Y72" s="40"/>
      <c r="Z72" s="41"/>
      <c r="AB72" s="6"/>
      <c r="AC72" s="6"/>
      <c r="AD72" s="6"/>
      <c r="AE72" s="6"/>
      <c r="AF72" s="6"/>
      <c r="AG72" s="6"/>
      <c r="AH72" s="6"/>
      <c r="AI72" s="6"/>
      <c r="AJ72" s="6"/>
      <c r="AK72" s="6"/>
      <c r="AL72" s="6"/>
      <c r="AM72" s="6"/>
      <c r="AN72" s="6"/>
      <c r="AO72" s="6"/>
      <c r="AP72" s="6"/>
      <c r="AQ72" s="6"/>
      <c r="AS72" s="42" t="e">
        <f t="shared" si="0"/>
        <v>#DIV/0!</v>
      </c>
    </row>
    <row r="73" spans="1:45" ht="18" customHeight="1">
      <c r="A73" s="34"/>
      <c r="B73" s="35"/>
      <c r="C73" s="36"/>
      <c r="D73" s="36"/>
      <c r="E73" s="37"/>
      <c r="F73" s="38"/>
      <c r="G73" s="38"/>
      <c r="H73" s="38"/>
      <c r="I73" s="38"/>
      <c r="J73" s="38"/>
      <c r="K73" s="39"/>
      <c r="L73" s="40"/>
      <c r="M73" s="40"/>
      <c r="N73" s="38"/>
      <c r="O73" s="38"/>
      <c r="P73" s="38"/>
      <c r="Q73" s="39"/>
      <c r="R73" s="40"/>
      <c r="S73" s="40"/>
      <c r="T73" s="40"/>
      <c r="U73" s="40"/>
      <c r="V73" s="38"/>
      <c r="W73" s="40"/>
      <c r="X73" s="40"/>
      <c r="Y73" s="40"/>
      <c r="Z73" s="41"/>
      <c r="AB73" s="6"/>
      <c r="AC73" s="6"/>
      <c r="AD73" s="6"/>
      <c r="AE73" s="6"/>
      <c r="AF73" s="6"/>
      <c r="AG73" s="6"/>
      <c r="AH73" s="6"/>
      <c r="AI73" s="6"/>
      <c r="AJ73" s="6"/>
      <c r="AK73" s="6"/>
      <c r="AL73" s="6"/>
      <c r="AM73" s="6"/>
      <c r="AN73" s="6"/>
      <c r="AO73" s="6"/>
      <c r="AP73" s="6"/>
      <c r="AQ73" s="6"/>
      <c r="AS73" s="42" t="e">
        <f t="shared" si="0"/>
        <v>#DIV/0!</v>
      </c>
    </row>
    <row r="74" spans="1:45" ht="18" customHeight="1">
      <c r="A74" s="34"/>
      <c r="B74" s="35"/>
      <c r="C74" s="36"/>
      <c r="D74" s="36"/>
      <c r="E74" s="37"/>
      <c r="F74" s="38"/>
      <c r="G74" s="38"/>
      <c r="H74" s="38"/>
      <c r="I74" s="38"/>
      <c r="J74" s="38"/>
      <c r="K74" s="39"/>
      <c r="L74" s="40"/>
      <c r="M74" s="40"/>
      <c r="N74" s="38"/>
      <c r="O74" s="38"/>
      <c r="P74" s="38"/>
      <c r="Q74" s="39"/>
      <c r="R74" s="40"/>
      <c r="S74" s="40"/>
      <c r="T74" s="40"/>
      <c r="U74" s="40"/>
      <c r="V74" s="38"/>
      <c r="W74" s="40"/>
      <c r="X74" s="40"/>
      <c r="Y74" s="40"/>
      <c r="Z74" s="41"/>
      <c r="AB74" s="6"/>
      <c r="AC74" s="6"/>
      <c r="AD74" s="6"/>
      <c r="AE74" s="6"/>
      <c r="AF74" s="6"/>
      <c r="AG74" s="6"/>
      <c r="AH74" s="6"/>
      <c r="AI74" s="6"/>
      <c r="AJ74" s="6"/>
      <c r="AK74" s="6"/>
      <c r="AL74" s="6"/>
      <c r="AM74" s="6"/>
      <c r="AN74" s="6"/>
      <c r="AO74" s="6"/>
      <c r="AP74" s="6"/>
      <c r="AQ74" s="6"/>
      <c r="AS74" s="42" t="e">
        <f t="shared" si="0"/>
        <v>#DIV/0!</v>
      </c>
    </row>
    <row r="75" spans="1:45" ht="18" customHeight="1">
      <c r="A75" s="34"/>
      <c r="B75" s="35"/>
      <c r="C75" s="36"/>
      <c r="D75" s="36"/>
      <c r="E75" s="37"/>
      <c r="F75" s="38"/>
      <c r="G75" s="38"/>
      <c r="H75" s="38"/>
      <c r="I75" s="38"/>
      <c r="J75" s="38"/>
      <c r="K75" s="39"/>
      <c r="L75" s="40"/>
      <c r="M75" s="40"/>
      <c r="N75" s="38"/>
      <c r="O75" s="38"/>
      <c r="P75" s="38"/>
      <c r="Q75" s="39"/>
      <c r="R75" s="40"/>
      <c r="S75" s="40"/>
      <c r="T75" s="40"/>
      <c r="U75" s="40"/>
      <c r="V75" s="38"/>
      <c r="W75" s="40"/>
      <c r="X75" s="40"/>
      <c r="Y75" s="40"/>
      <c r="Z75" s="41"/>
      <c r="AB75" s="6"/>
      <c r="AC75" s="6"/>
      <c r="AD75" s="6"/>
      <c r="AE75" s="6"/>
      <c r="AF75" s="6"/>
      <c r="AG75" s="6"/>
      <c r="AH75" s="6"/>
      <c r="AI75" s="6"/>
      <c r="AJ75" s="6"/>
      <c r="AK75" s="6"/>
      <c r="AL75" s="6"/>
      <c r="AM75" s="6"/>
      <c r="AN75" s="6"/>
      <c r="AO75" s="6"/>
      <c r="AP75" s="6"/>
      <c r="AQ75" s="6"/>
      <c r="AS75" s="42" t="e">
        <f t="shared" ref="AS75:AS111" si="1">(V75/$V$9)*100</f>
      </c>
    </row>
    <row r="76" spans="1:45" ht="18" customHeight="1">
      <c r="A76" s="34"/>
      <c r="B76" s="35"/>
      <c r="C76" s="36"/>
      <c r="D76" s="36"/>
      <c r="E76" s="37"/>
      <c r="F76" s="38"/>
      <c r="G76" s="38"/>
      <c r="H76" s="38"/>
      <c r="I76" s="38"/>
      <c r="J76" s="38"/>
      <c r="K76" s="39"/>
      <c r="L76" s="40"/>
      <c r="M76" s="40"/>
      <c r="N76" s="38"/>
      <c r="O76" s="38"/>
      <c r="P76" s="38"/>
      <c r="Q76" s="39"/>
      <c r="R76" s="40"/>
      <c r="S76" s="40"/>
      <c r="T76" s="40"/>
      <c r="U76" s="40"/>
      <c r="V76" s="38"/>
      <c r="W76" s="40"/>
      <c r="X76" s="40"/>
      <c r="Y76" s="40"/>
      <c r="Z76" s="41"/>
      <c r="AB76" s="6"/>
      <c r="AC76" s="6"/>
      <c r="AD76" s="6"/>
      <c r="AE76" s="6"/>
      <c r="AF76" s="6"/>
      <c r="AG76" s="6"/>
      <c r="AH76" s="6"/>
      <c r="AI76" s="6"/>
      <c r="AJ76" s="6"/>
      <c r="AK76" s="6"/>
      <c r="AL76" s="6"/>
      <c r="AM76" s="6"/>
      <c r="AN76" s="6"/>
      <c r="AO76" s="6"/>
      <c r="AP76" s="6"/>
      <c r="AQ76" s="6"/>
      <c r="AS76" s="42" t="e">
        <f t="shared" si="1"/>
        <v>#DIV/0!</v>
      </c>
    </row>
    <row r="77" spans="1:45" ht="18" customHeight="1">
      <c r="A77" s="34"/>
      <c r="B77" s="35"/>
      <c r="C77" s="36"/>
      <c r="D77" s="36"/>
      <c r="E77" s="37"/>
      <c r="F77" s="38"/>
      <c r="G77" s="38"/>
      <c r="H77" s="38"/>
      <c r="I77" s="38"/>
      <c r="J77" s="38"/>
      <c r="K77" s="39"/>
      <c r="L77" s="40"/>
      <c r="M77" s="40"/>
      <c r="N77" s="38"/>
      <c r="O77" s="38"/>
      <c r="P77" s="38"/>
      <c r="Q77" s="39"/>
      <c r="R77" s="40"/>
      <c r="S77" s="40"/>
      <c r="T77" s="40"/>
      <c r="U77" s="40"/>
      <c r="V77" s="38"/>
      <c r="W77" s="40"/>
      <c r="X77" s="40"/>
      <c r="Y77" s="40"/>
      <c r="Z77" s="41"/>
      <c r="AB77" s="6"/>
      <c r="AC77" s="6"/>
      <c r="AD77" s="6"/>
      <c r="AE77" s="6"/>
      <c r="AF77" s="6"/>
      <c r="AG77" s="6"/>
      <c r="AH77" s="6"/>
      <c r="AI77" s="6"/>
      <c r="AJ77" s="6"/>
      <c r="AK77" s="6"/>
      <c r="AL77" s="6"/>
      <c r="AM77" s="6"/>
      <c r="AN77" s="6"/>
      <c r="AO77" s="6"/>
      <c r="AP77" s="6"/>
      <c r="AQ77" s="6"/>
      <c r="AS77" s="42" t="e">
        <f t="shared" si="1"/>
        <v>#DIV/0!</v>
      </c>
    </row>
    <row r="78" spans="1:45" ht="18" customHeight="1">
      <c r="A78" s="34"/>
      <c r="B78" s="35"/>
      <c r="C78" s="36"/>
      <c r="D78" s="36"/>
      <c r="E78" s="37"/>
      <c r="F78" s="38"/>
      <c r="G78" s="38"/>
      <c r="H78" s="38"/>
      <c r="I78" s="38"/>
      <c r="J78" s="38"/>
      <c r="K78" s="39"/>
      <c r="L78" s="40"/>
      <c r="M78" s="40"/>
      <c r="N78" s="38"/>
      <c r="O78" s="38"/>
      <c r="P78" s="38"/>
      <c r="Q78" s="39"/>
      <c r="R78" s="40"/>
      <c r="S78" s="40"/>
      <c r="T78" s="40"/>
      <c r="U78" s="40"/>
      <c r="V78" s="38"/>
      <c r="W78" s="40"/>
      <c r="X78" s="40"/>
      <c r="Y78" s="40"/>
      <c r="Z78" s="41"/>
      <c r="AB78" s="6"/>
      <c r="AC78" s="6"/>
      <c r="AD78" s="6"/>
      <c r="AE78" s="6"/>
      <c r="AF78" s="6"/>
      <c r="AG78" s="6"/>
      <c r="AH78" s="6"/>
      <c r="AI78" s="6"/>
      <c r="AJ78" s="6"/>
      <c r="AK78" s="6"/>
      <c r="AL78" s="6"/>
      <c r="AM78" s="6"/>
      <c r="AN78" s="6"/>
      <c r="AO78" s="6"/>
      <c r="AP78" s="6"/>
      <c r="AQ78" s="6"/>
      <c r="AS78" s="42" t="e">
        <f t="shared" si="1"/>
        <v>#DIV/0!</v>
      </c>
    </row>
    <row r="79" spans="1:45" ht="18" customHeight="1">
      <c r="A79" s="34"/>
      <c r="B79" s="35"/>
      <c r="C79" s="36"/>
      <c r="D79" s="36"/>
      <c r="E79" s="37"/>
      <c r="F79" s="38"/>
      <c r="G79" s="38"/>
      <c r="H79" s="38"/>
      <c r="I79" s="38"/>
      <c r="J79" s="38"/>
      <c r="K79" s="39"/>
      <c r="L79" s="40"/>
      <c r="M79" s="40"/>
      <c r="N79" s="38"/>
      <c r="O79" s="38"/>
      <c r="P79" s="38"/>
      <c r="Q79" s="39"/>
      <c r="R79" s="40"/>
      <c r="S79" s="40"/>
      <c r="T79" s="40"/>
      <c r="U79" s="40"/>
      <c r="V79" s="38"/>
      <c r="W79" s="40"/>
      <c r="X79" s="40"/>
      <c r="Y79" s="40"/>
      <c r="Z79" s="41"/>
      <c r="AB79" s="6"/>
      <c r="AC79" s="6"/>
      <c r="AD79" s="6"/>
      <c r="AE79" s="6"/>
      <c r="AF79" s="6"/>
      <c r="AG79" s="6"/>
      <c r="AH79" s="6"/>
      <c r="AI79" s="6"/>
      <c r="AJ79" s="6"/>
      <c r="AK79" s="6"/>
      <c r="AL79" s="6"/>
      <c r="AM79" s="6"/>
      <c r="AN79" s="6"/>
      <c r="AO79" s="6"/>
      <c r="AP79" s="6"/>
      <c r="AQ79" s="6"/>
      <c r="AS79" s="42" t="e">
        <f t="shared" si="1"/>
        <v>#DIV/0!</v>
      </c>
    </row>
    <row r="80" spans="1:45" ht="18" customHeight="1">
      <c r="A80" s="34"/>
      <c r="B80" s="35"/>
      <c r="C80" s="36"/>
      <c r="D80" s="36"/>
      <c r="E80" s="37"/>
      <c r="F80" s="38"/>
      <c r="G80" s="38"/>
      <c r="H80" s="38"/>
      <c r="I80" s="38"/>
      <c r="J80" s="38"/>
      <c r="K80" s="39"/>
      <c r="L80" s="40"/>
      <c r="M80" s="40"/>
      <c r="N80" s="38"/>
      <c r="O80" s="38"/>
      <c r="P80" s="38"/>
      <c r="Q80" s="39"/>
      <c r="R80" s="40"/>
      <c r="S80" s="40"/>
      <c r="T80" s="40"/>
      <c r="U80" s="40"/>
      <c r="V80" s="38"/>
      <c r="W80" s="40"/>
      <c r="X80" s="40"/>
      <c r="Y80" s="40"/>
      <c r="Z80" s="41"/>
      <c r="AB80" s="6"/>
      <c r="AC80" s="6"/>
      <c r="AD80" s="6"/>
      <c r="AE80" s="6"/>
      <c r="AF80" s="6"/>
      <c r="AG80" s="6"/>
      <c r="AH80" s="6"/>
      <c r="AI80" s="6"/>
      <c r="AJ80" s="6"/>
      <c r="AK80" s="6"/>
      <c r="AL80" s="6"/>
      <c r="AM80" s="6"/>
      <c r="AN80" s="6"/>
      <c r="AO80" s="6"/>
      <c r="AP80" s="6"/>
      <c r="AQ80" s="6"/>
      <c r="AS80" s="42" t="e">
        <f t="shared" si="1"/>
        <v>#DIV/0!</v>
      </c>
    </row>
    <row r="81" spans="1:45" ht="18" customHeight="1">
      <c r="A81" s="34"/>
      <c r="B81" s="35"/>
      <c r="C81" s="36"/>
      <c r="D81" s="36"/>
      <c r="E81" s="37"/>
      <c r="F81" s="38"/>
      <c r="G81" s="38"/>
      <c r="H81" s="38"/>
      <c r="I81" s="38"/>
      <c r="J81" s="38"/>
      <c r="K81" s="39"/>
      <c r="L81" s="40"/>
      <c r="M81" s="40"/>
      <c r="N81" s="38"/>
      <c r="O81" s="38"/>
      <c r="P81" s="38"/>
      <c r="Q81" s="39"/>
      <c r="R81" s="40"/>
      <c r="S81" s="40"/>
      <c r="T81" s="40"/>
      <c r="U81" s="40"/>
      <c r="V81" s="38"/>
      <c r="W81" s="40"/>
      <c r="X81" s="40"/>
      <c r="Y81" s="40"/>
      <c r="Z81" s="41"/>
      <c r="AB81" s="6"/>
      <c r="AC81" s="6"/>
      <c r="AD81" s="6"/>
      <c r="AE81" s="6"/>
      <c r="AF81" s="6"/>
      <c r="AG81" s="6"/>
      <c r="AH81" s="6"/>
      <c r="AI81" s="6"/>
      <c r="AJ81" s="6"/>
      <c r="AK81" s="6"/>
      <c r="AL81" s="6"/>
      <c r="AM81" s="6"/>
      <c r="AN81" s="6"/>
      <c r="AO81" s="6"/>
      <c r="AP81" s="6"/>
      <c r="AQ81" s="6"/>
      <c r="AS81" s="42" t="e">
        <f t="shared" si="1"/>
        <v>#DIV/0!</v>
      </c>
    </row>
    <row r="82" spans="1:45" ht="18" customHeight="1">
      <c r="A82" s="34"/>
      <c r="B82" s="35"/>
      <c r="C82" s="36"/>
      <c r="D82" s="36"/>
      <c r="E82" s="37"/>
      <c r="F82" s="38"/>
      <c r="G82" s="38"/>
      <c r="H82" s="38"/>
      <c r="I82" s="38"/>
      <c r="J82" s="38"/>
      <c r="K82" s="39"/>
      <c r="L82" s="40"/>
      <c r="M82" s="40"/>
      <c r="N82" s="38"/>
      <c r="O82" s="38"/>
      <c r="P82" s="38"/>
      <c r="Q82" s="39"/>
      <c r="R82" s="40"/>
      <c r="S82" s="40"/>
      <c r="T82" s="40"/>
      <c r="U82" s="40"/>
      <c r="V82" s="38"/>
      <c r="W82" s="40"/>
      <c r="X82" s="40"/>
      <c r="Y82" s="40"/>
      <c r="Z82" s="41"/>
      <c r="AB82" s="6"/>
      <c r="AC82" s="6"/>
      <c r="AD82" s="6"/>
      <c r="AE82" s="6"/>
      <c r="AF82" s="6"/>
      <c r="AG82" s="6"/>
      <c r="AH82" s="6"/>
      <c r="AI82" s="6"/>
      <c r="AJ82" s="6"/>
      <c r="AK82" s="6"/>
      <c r="AL82" s="6"/>
      <c r="AM82" s="6"/>
      <c r="AN82" s="6"/>
      <c r="AO82" s="6"/>
      <c r="AP82" s="6"/>
      <c r="AQ82" s="6"/>
      <c r="AS82" s="42" t="e">
        <f t="shared" si="1"/>
        <v>#DIV/0!</v>
      </c>
    </row>
    <row r="83" spans="1:45" ht="18" customHeight="1">
      <c r="A83" s="34"/>
      <c r="B83" s="35"/>
      <c r="C83" s="36"/>
      <c r="D83" s="36"/>
      <c r="E83" s="37"/>
      <c r="F83" s="38"/>
      <c r="G83" s="38"/>
      <c r="H83" s="38"/>
      <c r="I83" s="38"/>
      <c r="J83" s="38"/>
      <c r="K83" s="39"/>
      <c r="L83" s="40"/>
      <c r="M83" s="40"/>
      <c r="N83" s="38"/>
      <c r="O83" s="38"/>
      <c r="P83" s="38"/>
      <c r="Q83" s="39"/>
      <c r="R83" s="40"/>
      <c r="S83" s="40"/>
      <c r="T83" s="40"/>
      <c r="U83" s="40"/>
      <c r="V83" s="38"/>
      <c r="W83" s="40"/>
      <c r="X83" s="40"/>
      <c r="Y83" s="40"/>
      <c r="Z83" s="41"/>
      <c r="AB83" s="6"/>
      <c r="AC83" s="6"/>
      <c r="AD83" s="6"/>
      <c r="AE83" s="6"/>
      <c r="AF83" s="6"/>
      <c r="AG83" s="6"/>
      <c r="AH83" s="6"/>
      <c r="AI83" s="6"/>
      <c r="AJ83" s="6"/>
      <c r="AK83" s="6"/>
      <c r="AL83" s="6"/>
      <c r="AM83" s="6"/>
      <c r="AN83" s="6"/>
      <c r="AO83" s="6"/>
      <c r="AP83" s="6"/>
      <c r="AQ83" s="6"/>
      <c r="AS83" s="42" t="e">
        <f t="shared" si="1"/>
        <v>#DIV/0!</v>
      </c>
    </row>
    <row r="84" spans="1:45" ht="18" customHeight="1">
      <c r="A84" s="34"/>
      <c r="B84" s="35"/>
      <c r="C84" s="36"/>
      <c r="D84" s="36"/>
      <c r="E84" s="37"/>
      <c r="F84" s="38"/>
      <c r="G84" s="38"/>
      <c r="H84" s="38"/>
      <c r="I84" s="38"/>
      <c r="J84" s="38"/>
      <c r="K84" s="39"/>
      <c r="L84" s="40"/>
      <c r="M84" s="40"/>
      <c r="N84" s="38"/>
      <c r="O84" s="38"/>
      <c r="P84" s="38"/>
      <c r="Q84" s="39"/>
      <c r="R84" s="40"/>
      <c r="S84" s="40"/>
      <c r="T84" s="40"/>
      <c r="U84" s="40"/>
      <c r="V84" s="38"/>
      <c r="W84" s="40"/>
      <c r="X84" s="40"/>
      <c r="Y84" s="40"/>
      <c r="Z84" s="41"/>
      <c r="AB84" s="6"/>
      <c r="AC84" s="6"/>
      <c r="AD84" s="6"/>
      <c r="AE84" s="6"/>
      <c r="AF84" s="6"/>
      <c r="AG84" s="6"/>
      <c r="AH84" s="6"/>
      <c r="AI84" s="6"/>
      <c r="AJ84" s="6"/>
      <c r="AK84" s="6"/>
      <c r="AL84" s="6"/>
      <c r="AM84" s="6"/>
      <c r="AN84" s="6"/>
      <c r="AO84" s="6"/>
      <c r="AP84" s="6"/>
      <c r="AQ84" s="6"/>
      <c r="AS84" s="42" t="e">
        <f t="shared" si="1"/>
        <v>#DIV/0!</v>
      </c>
    </row>
    <row r="85" spans="1:45" ht="18" customHeight="1">
      <c r="A85" s="34"/>
      <c r="B85" s="35"/>
      <c r="C85" s="36"/>
      <c r="D85" s="36"/>
      <c r="E85" s="37"/>
      <c r="F85" s="38"/>
      <c r="G85" s="38"/>
      <c r="H85" s="38"/>
      <c r="I85" s="38"/>
      <c r="J85" s="38"/>
      <c r="K85" s="39"/>
      <c r="L85" s="40"/>
      <c r="M85" s="40"/>
      <c r="N85" s="38"/>
      <c r="O85" s="38"/>
      <c r="P85" s="38"/>
      <c r="Q85" s="39"/>
      <c r="R85" s="40"/>
      <c r="S85" s="40"/>
      <c r="T85" s="40"/>
      <c r="U85" s="40"/>
      <c r="V85" s="38"/>
      <c r="W85" s="40"/>
      <c r="X85" s="40"/>
      <c r="Y85" s="40"/>
      <c r="Z85" s="41"/>
      <c r="AB85" s="6"/>
      <c r="AC85" s="6"/>
      <c r="AD85" s="6"/>
      <c r="AE85" s="6"/>
      <c r="AF85" s="6"/>
      <c r="AG85" s="6"/>
      <c r="AH85" s="6"/>
      <c r="AI85" s="6"/>
      <c r="AJ85" s="6"/>
      <c r="AK85" s="6"/>
      <c r="AL85" s="6"/>
      <c r="AM85" s="6"/>
      <c r="AN85" s="6"/>
      <c r="AO85" s="6"/>
      <c r="AP85" s="6"/>
      <c r="AQ85" s="6"/>
      <c r="AS85" s="42" t="e">
        <f t="shared" si="1"/>
        <v>#DIV/0!</v>
      </c>
    </row>
    <row r="86" spans="1:45" ht="18" customHeight="1">
      <c r="A86" s="34"/>
      <c r="B86" s="35"/>
      <c r="C86" s="36"/>
      <c r="D86" s="36"/>
      <c r="E86" s="37"/>
      <c r="F86" s="38"/>
      <c r="G86" s="38"/>
      <c r="H86" s="38"/>
      <c r="I86" s="38"/>
      <c r="J86" s="38"/>
      <c r="K86" s="39"/>
      <c r="L86" s="40"/>
      <c r="M86" s="40"/>
      <c r="N86" s="38"/>
      <c r="O86" s="38"/>
      <c r="P86" s="38"/>
      <c r="Q86" s="39"/>
      <c r="R86" s="40"/>
      <c r="S86" s="40"/>
      <c r="T86" s="40"/>
      <c r="U86" s="40"/>
      <c r="V86" s="38"/>
      <c r="W86" s="40"/>
      <c r="X86" s="40"/>
      <c r="Y86" s="40"/>
      <c r="Z86" s="41"/>
      <c r="AB86" s="6"/>
      <c r="AC86" s="6"/>
      <c r="AD86" s="6"/>
      <c r="AE86" s="6"/>
      <c r="AF86" s="6"/>
      <c r="AG86" s="6"/>
      <c r="AH86" s="6"/>
      <c r="AI86" s="6"/>
      <c r="AJ86" s="6"/>
      <c r="AK86" s="6"/>
      <c r="AL86" s="6"/>
      <c r="AM86" s="6"/>
      <c r="AN86" s="6"/>
      <c r="AO86" s="6"/>
      <c r="AP86" s="6"/>
      <c r="AQ86" s="6"/>
      <c r="AS86" s="42" t="e">
        <f t="shared" si="1"/>
        <v>#DIV/0!</v>
      </c>
    </row>
    <row r="87" spans="1:45" ht="18" customHeight="1">
      <c r="A87" s="34"/>
      <c r="B87" s="35"/>
      <c r="C87" s="36"/>
      <c r="D87" s="36"/>
      <c r="E87" s="37"/>
      <c r="F87" s="38"/>
      <c r="G87" s="38"/>
      <c r="H87" s="38"/>
      <c r="I87" s="38"/>
      <c r="J87" s="38"/>
      <c r="K87" s="39"/>
      <c r="L87" s="40"/>
      <c r="M87" s="40"/>
      <c r="N87" s="38"/>
      <c r="O87" s="38"/>
      <c r="P87" s="38"/>
      <c r="Q87" s="39"/>
      <c r="R87" s="40"/>
      <c r="S87" s="40"/>
      <c r="T87" s="40"/>
      <c r="U87" s="40"/>
      <c r="V87" s="38"/>
      <c r="W87" s="40"/>
      <c r="X87" s="40"/>
      <c r="Y87" s="40"/>
      <c r="Z87" s="41"/>
      <c r="AB87" s="6"/>
      <c r="AC87" s="6"/>
      <c r="AD87" s="6"/>
      <c r="AE87" s="6"/>
      <c r="AF87" s="6"/>
      <c r="AG87" s="6"/>
      <c r="AH87" s="6"/>
      <c r="AI87" s="6"/>
      <c r="AJ87" s="6"/>
      <c r="AK87" s="6"/>
      <c r="AL87" s="6"/>
      <c r="AM87" s="6"/>
      <c r="AN87" s="6"/>
      <c r="AO87" s="6"/>
      <c r="AP87" s="6"/>
      <c r="AQ87" s="6"/>
      <c r="AS87" s="42" t="e">
        <f t="shared" si="1"/>
        <v>#DIV/0!</v>
      </c>
    </row>
    <row r="88" spans="1:45" ht="18" customHeight="1">
      <c r="A88" s="34"/>
      <c r="B88" s="35"/>
      <c r="C88" s="36"/>
      <c r="D88" s="36"/>
      <c r="E88" s="37"/>
      <c r="F88" s="38"/>
      <c r="G88" s="38"/>
      <c r="H88" s="38"/>
      <c r="I88" s="38"/>
      <c r="J88" s="38"/>
      <c r="K88" s="39"/>
      <c r="L88" s="40"/>
      <c r="M88" s="40"/>
      <c r="N88" s="38"/>
      <c r="O88" s="38"/>
      <c r="P88" s="38"/>
      <c r="Q88" s="39"/>
      <c r="R88" s="40"/>
      <c r="S88" s="40"/>
      <c r="T88" s="40"/>
      <c r="U88" s="40"/>
      <c r="V88" s="38"/>
      <c r="W88" s="40"/>
      <c r="X88" s="40"/>
      <c r="Y88" s="40"/>
      <c r="Z88" s="41"/>
      <c r="AB88" s="6"/>
      <c r="AC88" s="6"/>
      <c r="AD88" s="6"/>
      <c r="AE88" s="6"/>
      <c r="AF88" s="6"/>
      <c r="AG88" s="6"/>
      <c r="AH88" s="6"/>
      <c r="AI88" s="6"/>
      <c r="AJ88" s="6"/>
      <c r="AK88" s="6"/>
      <c r="AL88" s="6"/>
      <c r="AM88" s="6"/>
      <c r="AN88" s="6"/>
      <c r="AO88" s="6"/>
      <c r="AP88" s="6"/>
      <c r="AQ88" s="6"/>
      <c r="AS88" s="42" t="e">
        <f t="shared" si="1"/>
        <v>#DIV/0!</v>
      </c>
    </row>
    <row r="89" spans="1:45" ht="18" customHeight="1">
      <c r="A89" s="34"/>
      <c r="B89" s="35"/>
      <c r="C89" s="36"/>
      <c r="D89" s="36"/>
      <c r="E89" s="37"/>
      <c r="F89" s="38"/>
      <c r="G89" s="38"/>
      <c r="H89" s="38"/>
      <c r="I89" s="38"/>
      <c r="J89" s="38"/>
      <c r="K89" s="39"/>
      <c r="L89" s="40"/>
      <c r="M89" s="40"/>
      <c r="N89" s="38"/>
      <c r="O89" s="38"/>
      <c r="P89" s="38"/>
      <c r="Q89" s="39"/>
      <c r="R89" s="40"/>
      <c r="S89" s="40"/>
      <c r="T89" s="40"/>
      <c r="U89" s="40"/>
      <c r="V89" s="38"/>
      <c r="W89" s="40"/>
      <c r="X89" s="40"/>
      <c r="Y89" s="40"/>
      <c r="Z89" s="41"/>
      <c r="AB89" s="6"/>
      <c r="AC89" s="6"/>
      <c r="AD89" s="6"/>
      <c r="AE89" s="6"/>
      <c r="AF89" s="6"/>
      <c r="AG89" s="6"/>
      <c r="AH89" s="6"/>
      <c r="AI89" s="6"/>
      <c r="AJ89" s="6"/>
      <c r="AK89" s="6"/>
      <c r="AL89" s="6"/>
      <c r="AM89" s="6"/>
      <c r="AN89" s="6"/>
      <c r="AO89" s="6"/>
      <c r="AP89" s="6"/>
      <c r="AQ89" s="6"/>
      <c r="AS89" s="42" t="e">
        <f t="shared" si="1"/>
        <v>#DIV/0!</v>
      </c>
    </row>
    <row r="90" spans="1:45" ht="18" customHeight="1">
      <c r="A90" s="34"/>
      <c r="B90" s="35"/>
      <c r="C90" s="36"/>
      <c r="D90" s="36"/>
      <c r="E90" s="37"/>
      <c r="F90" s="38"/>
      <c r="G90" s="38"/>
      <c r="H90" s="38"/>
      <c r="I90" s="38"/>
      <c r="J90" s="38"/>
      <c r="K90" s="39"/>
      <c r="L90" s="40"/>
      <c r="M90" s="40"/>
      <c r="N90" s="38"/>
      <c r="O90" s="38"/>
      <c r="P90" s="38"/>
      <c r="Q90" s="39"/>
      <c r="R90" s="40"/>
      <c r="S90" s="40"/>
      <c r="T90" s="40"/>
      <c r="U90" s="40"/>
      <c r="V90" s="38"/>
      <c r="W90" s="40"/>
      <c r="X90" s="40"/>
      <c r="Y90" s="40"/>
      <c r="Z90" s="41"/>
      <c r="AB90" s="6"/>
      <c r="AC90" s="6"/>
      <c r="AD90" s="6"/>
      <c r="AE90" s="6"/>
      <c r="AF90" s="6"/>
      <c r="AG90" s="6"/>
      <c r="AH90" s="6"/>
      <c r="AI90" s="6"/>
      <c r="AJ90" s="6"/>
      <c r="AK90" s="6"/>
      <c r="AL90" s="6"/>
      <c r="AM90" s="6"/>
      <c r="AN90" s="6"/>
      <c r="AO90" s="6"/>
      <c r="AP90" s="6"/>
      <c r="AQ90" s="6"/>
      <c r="AS90" s="42" t="e">
        <f t="shared" si="1"/>
        <v>#DIV/0!</v>
      </c>
    </row>
    <row r="91" spans="1:45" ht="18" customHeight="1">
      <c r="A91" s="34"/>
      <c r="B91" s="35"/>
      <c r="C91" s="36"/>
      <c r="D91" s="36"/>
      <c r="E91" s="37"/>
      <c r="F91" s="38"/>
      <c r="G91" s="38"/>
      <c r="H91" s="38"/>
      <c r="I91" s="38"/>
      <c r="J91" s="38"/>
      <c r="K91" s="39"/>
      <c r="L91" s="40"/>
      <c r="M91" s="40"/>
      <c r="N91" s="38"/>
      <c r="O91" s="38"/>
      <c r="P91" s="38"/>
      <c r="Q91" s="39"/>
      <c r="R91" s="40"/>
      <c r="S91" s="40"/>
      <c r="T91" s="40"/>
      <c r="U91" s="40"/>
      <c r="V91" s="38"/>
      <c r="W91" s="40"/>
      <c r="X91" s="40"/>
      <c r="Y91" s="40"/>
      <c r="Z91" s="41"/>
      <c r="AB91" s="6"/>
      <c r="AC91" s="6"/>
      <c r="AD91" s="6"/>
      <c r="AE91" s="6"/>
      <c r="AF91" s="6"/>
      <c r="AG91" s="6"/>
      <c r="AH91" s="6"/>
      <c r="AI91" s="6"/>
      <c r="AJ91" s="6"/>
      <c r="AK91" s="6"/>
      <c r="AL91" s="6"/>
      <c r="AM91" s="6"/>
      <c r="AN91" s="6"/>
      <c r="AO91" s="6"/>
      <c r="AP91" s="6"/>
      <c r="AQ91" s="6"/>
      <c r="AS91" s="42" t="e">
        <f t="shared" si="1"/>
        <v>#DIV/0!</v>
      </c>
    </row>
    <row r="92" spans="1:45" ht="18" customHeight="1">
      <c r="A92" s="34"/>
      <c r="B92" s="35"/>
      <c r="C92" s="36"/>
      <c r="D92" s="36"/>
      <c r="E92" s="37"/>
      <c r="F92" s="38"/>
      <c r="G92" s="38"/>
      <c r="H92" s="38"/>
      <c r="I92" s="38"/>
      <c r="J92" s="38"/>
      <c r="K92" s="39"/>
      <c r="L92" s="40"/>
      <c r="M92" s="40"/>
      <c r="N92" s="38"/>
      <c r="O92" s="38"/>
      <c r="P92" s="38"/>
      <c r="Q92" s="39"/>
      <c r="R92" s="40"/>
      <c r="S92" s="40"/>
      <c r="T92" s="40"/>
      <c r="U92" s="40"/>
      <c r="V92" s="38"/>
      <c r="W92" s="40"/>
      <c r="X92" s="40"/>
      <c r="Y92" s="40"/>
      <c r="Z92" s="41"/>
      <c r="AB92" s="6"/>
      <c r="AC92" s="6"/>
      <c r="AD92" s="6"/>
      <c r="AE92" s="6"/>
      <c r="AF92" s="6"/>
      <c r="AG92" s="6"/>
      <c r="AH92" s="6"/>
      <c r="AI92" s="6"/>
      <c r="AJ92" s="6"/>
      <c r="AK92" s="6"/>
      <c r="AL92" s="6"/>
      <c r="AM92" s="6"/>
      <c r="AN92" s="6"/>
      <c r="AO92" s="6"/>
      <c r="AP92" s="6"/>
      <c r="AQ92" s="6"/>
      <c r="AS92" s="42" t="e">
        <f t="shared" si="1"/>
        <v>#DIV/0!</v>
      </c>
    </row>
    <row r="93" spans="1:45" ht="18" customHeight="1">
      <c r="A93" s="34"/>
      <c r="B93" s="35"/>
      <c r="C93" s="36"/>
      <c r="D93" s="36"/>
      <c r="E93" s="37"/>
      <c r="F93" s="38"/>
      <c r="G93" s="38"/>
      <c r="H93" s="38"/>
      <c r="I93" s="38"/>
      <c r="J93" s="38"/>
      <c r="K93" s="39"/>
      <c r="L93" s="40"/>
      <c r="M93" s="40"/>
      <c r="N93" s="38"/>
      <c r="O93" s="38"/>
      <c r="P93" s="38"/>
      <c r="Q93" s="39"/>
      <c r="R93" s="40"/>
      <c r="S93" s="40"/>
      <c r="T93" s="40"/>
      <c r="U93" s="40"/>
      <c r="V93" s="38"/>
      <c r="W93" s="40"/>
      <c r="X93" s="40"/>
      <c r="Y93" s="40"/>
      <c r="Z93" s="41"/>
      <c r="AB93" s="6"/>
      <c r="AC93" s="6"/>
      <c r="AD93" s="6"/>
      <c r="AE93" s="6"/>
      <c r="AF93" s="6"/>
      <c r="AG93" s="6"/>
      <c r="AH93" s="6"/>
      <c r="AI93" s="6"/>
      <c r="AJ93" s="6"/>
      <c r="AK93" s="6"/>
      <c r="AL93" s="6"/>
      <c r="AM93" s="6"/>
      <c r="AN93" s="6"/>
      <c r="AO93" s="6"/>
      <c r="AP93" s="6"/>
      <c r="AQ93" s="6"/>
      <c r="AS93" s="42" t="e">
        <f t="shared" si="1"/>
        <v>#DIV/0!</v>
      </c>
    </row>
    <row r="94" spans="1:45" ht="18" customHeight="1">
      <c r="A94" s="34"/>
      <c r="B94" s="35"/>
      <c r="C94" s="36"/>
      <c r="D94" s="36"/>
      <c r="E94" s="37"/>
      <c r="F94" s="38"/>
      <c r="G94" s="38"/>
      <c r="H94" s="38"/>
      <c r="I94" s="38"/>
      <c r="J94" s="38"/>
      <c r="K94" s="39"/>
      <c r="L94" s="40"/>
      <c r="M94" s="40"/>
      <c r="N94" s="38"/>
      <c r="O94" s="38"/>
      <c r="P94" s="38"/>
      <c r="Q94" s="39"/>
      <c r="R94" s="40"/>
      <c r="S94" s="40"/>
      <c r="T94" s="40"/>
      <c r="U94" s="40"/>
      <c r="V94" s="38"/>
      <c r="W94" s="40"/>
      <c r="X94" s="40"/>
      <c r="Y94" s="40"/>
      <c r="Z94" s="41"/>
      <c r="AB94" s="6"/>
      <c r="AC94" s="6"/>
      <c r="AD94" s="6"/>
      <c r="AE94" s="6"/>
      <c r="AF94" s="6"/>
      <c r="AG94" s="6"/>
      <c r="AH94" s="6"/>
      <c r="AI94" s="6"/>
      <c r="AJ94" s="6"/>
      <c r="AK94" s="6"/>
      <c r="AL94" s="6"/>
      <c r="AM94" s="6"/>
      <c r="AN94" s="6"/>
      <c r="AO94" s="6"/>
      <c r="AP94" s="6"/>
      <c r="AQ94" s="6"/>
      <c r="AS94" s="42" t="e">
        <f t="shared" si="1"/>
        <v>#DIV/0!</v>
      </c>
    </row>
    <row r="95" spans="1:45" ht="18" customHeight="1">
      <c r="A95" s="34"/>
      <c r="B95" s="35"/>
      <c r="C95" s="36"/>
      <c r="D95" s="36"/>
      <c r="E95" s="37"/>
      <c r="F95" s="38"/>
      <c r="G95" s="38"/>
      <c r="H95" s="38"/>
      <c r="I95" s="38"/>
      <c r="J95" s="38"/>
      <c r="K95" s="39"/>
      <c r="L95" s="40"/>
      <c r="M95" s="40"/>
      <c r="N95" s="38"/>
      <c r="O95" s="38"/>
      <c r="P95" s="38"/>
      <c r="Q95" s="39"/>
      <c r="R95" s="40"/>
      <c r="S95" s="40"/>
      <c r="T95" s="40"/>
      <c r="U95" s="40"/>
      <c r="V95" s="38"/>
      <c r="W95" s="40"/>
      <c r="X95" s="40"/>
      <c r="Y95" s="40"/>
      <c r="Z95" s="41"/>
      <c r="AB95" s="6"/>
      <c r="AC95" s="6"/>
      <c r="AD95" s="6"/>
      <c r="AE95" s="6"/>
      <c r="AF95" s="6"/>
      <c r="AG95" s="6"/>
      <c r="AH95" s="6"/>
      <c r="AI95" s="6"/>
      <c r="AJ95" s="6"/>
      <c r="AK95" s="6"/>
      <c r="AL95" s="6"/>
      <c r="AM95" s="6"/>
      <c r="AN95" s="6"/>
      <c r="AO95" s="6"/>
      <c r="AP95" s="6"/>
      <c r="AQ95" s="6"/>
      <c r="AS95" s="42" t="e">
        <f t="shared" si="1"/>
        <v>#DIV/0!</v>
      </c>
    </row>
    <row r="96" spans="1:45" ht="18" customHeight="1">
      <c r="A96" s="34"/>
      <c r="B96" s="35"/>
      <c r="C96" s="36"/>
      <c r="D96" s="36"/>
      <c r="E96" s="37"/>
      <c r="F96" s="38"/>
      <c r="G96" s="38"/>
      <c r="H96" s="38"/>
      <c r="I96" s="38"/>
      <c r="J96" s="38"/>
      <c r="K96" s="39"/>
      <c r="L96" s="40"/>
      <c r="M96" s="40"/>
      <c r="N96" s="38"/>
      <c r="O96" s="38"/>
      <c r="P96" s="38"/>
      <c r="Q96" s="39"/>
      <c r="R96" s="40"/>
      <c r="S96" s="40"/>
      <c r="T96" s="40"/>
      <c r="U96" s="40"/>
      <c r="V96" s="38"/>
      <c r="W96" s="40"/>
      <c r="X96" s="40"/>
      <c r="Y96" s="40"/>
      <c r="Z96" s="41"/>
      <c r="AB96" s="6"/>
      <c r="AC96" s="6"/>
      <c r="AD96" s="6"/>
      <c r="AE96" s="6"/>
      <c r="AF96" s="6"/>
      <c r="AG96" s="6"/>
      <c r="AH96" s="6"/>
      <c r="AI96" s="6"/>
      <c r="AJ96" s="6"/>
      <c r="AK96" s="6"/>
      <c r="AL96" s="6"/>
      <c r="AM96" s="6"/>
      <c r="AN96" s="6"/>
      <c r="AO96" s="6"/>
      <c r="AP96" s="6"/>
      <c r="AQ96" s="6"/>
      <c r="AS96" s="42" t="e">
        <f t="shared" si="1"/>
        <v>#DIV/0!</v>
      </c>
    </row>
    <row r="97" spans="1:45" ht="18" customHeight="1">
      <c r="A97" s="34"/>
      <c r="B97" s="35"/>
      <c r="C97" s="36"/>
      <c r="D97" s="36"/>
      <c r="E97" s="37"/>
      <c r="F97" s="38"/>
      <c r="G97" s="38"/>
      <c r="H97" s="38"/>
      <c r="I97" s="38"/>
      <c r="J97" s="38"/>
      <c r="K97" s="39"/>
      <c r="L97" s="40"/>
      <c r="M97" s="40"/>
      <c r="N97" s="38"/>
      <c r="O97" s="38"/>
      <c r="P97" s="38"/>
      <c r="Q97" s="39"/>
      <c r="R97" s="40"/>
      <c r="S97" s="40"/>
      <c r="T97" s="40"/>
      <c r="U97" s="40"/>
      <c r="V97" s="38"/>
      <c r="W97" s="40"/>
      <c r="X97" s="40"/>
      <c r="Y97" s="40"/>
      <c r="Z97" s="41"/>
      <c r="AB97" s="6"/>
      <c r="AC97" s="6"/>
      <c r="AD97" s="6"/>
      <c r="AE97" s="6"/>
      <c r="AF97" s="6"/>
      <c r="AG97" s="6"/>
      <c r="AH97" s="6"/>
      <c r="AI97" s="6"/>
      <c r="AJ97" s="6"/>
      <c r="AK97" s="6"/>
      <c r="AL97" s="6"/>
      <c r="AM97" s="6"/>
      <c r="AN97" s="6"/>
      <c r="AO97" s="6"/>
      <c r="AP97" s="6"/>
      <c r="AQ97" s="6"/>
      <c r="AS97" s="42" t="e">
        <f t="shared" si="1"/>
        <v>#DIV/0!</v>
      </c>
    </row>
    <row r="98" spans="1:45" ht="18" customHeight="1">
      <c r="A98" s="34"/>
      <c r="B98" s="35"/>
      <c r="C98" s="36"/>
      <c r="D98" s="36"/>
      <c r="E98" s="37"/>
      <c r="F98" s="38"/>
      <c r="G98" s="38"/>
      <c r="H98" s="38"/>
      <c r="I98" s="38"/>
      <c r="J98" s="38"/>
      <c r="K98" s="39"/>
      <c r="L98" s="40"/>
      <c r="M98" s="40"/>
      <c r="N98" s="38"/>
      <c r="O98" s="38"/>
      <c r="P98" s="38"/>
      <c r="Q98" s="39"/>
      <c r="R98" s="40"/>
      <c r="S98" s="40"/>
      <c r="T98" s="40"/>
      <c r="U98" s="40"/>
      <c r="V98" s="38"/>
      <c r="W98" s="40"/>
      <c r="X98" s="40"/>
      <c r="Y98" s="40"/>
      <c r="Z98" s="41"/>
      <c r="AB98" s="6"/>
      <c r="AC98" s="6"/>
      <c r="AD98" s="6"/>
      <c r="AE98" s="6"/>
      <c r="AF98" s="6"/>
      <c r="AG98" s="6"/>
      <c r="AH98" s="6"/>
      <c r="AI98" s="6"/>
      <c r="AJ98" s="6"/>
      <c r="AK98" s="6"/>
      <c r="AL98" s="6"/>
      <c r="AM98" s="6"/>
      <c r="AN98" s="6"/>
      <c r="AO98" s="6"/>
      <c r="AP98" s="6"/>
      <c r="AQ98" s="6"/>
      <c r="AS98" s="42" t="e">
        <f t="shared" si="1"/>
        <v>#DIV/0!</v>
      </c>
    </row>
    <row r="99" spans="1:45" ht="18" customHeight="1">
      <c r="A99" s="34"/>
      <c r="B99" s="35"/>
      <c r="C99" s="36"/>
      <c r="D99" s="36"/>
      <c r="E99" s="37"/>
      <c r="F99" s="38"/>
      <c r="G99" s="38"/>
      <c r="H99" s="38"/>
      <c r="I99" s="38"/>
      <c r="J99" s="38"/>
      <c r="K99" s="39"/>
      <c r="L99" s="40"/>
      <c r="M99" s="40"/>
      <c r="N99" s="38"/>
      <c r="O99" s="38"/>
      <c r="P99" s="38"/>
      <c r="Q99" s="39"/>
      <c r="R99" s="40"/>
      <c r="S99" s="40"/>
      <c r="T99" s="40"/>
      <c r="U99" s="40"/>
      <c r="V99" s="38"/>
      <c r="W99" s="40"/>
      <c r="X99" s="40"/>
      <c r="Y99" s="40"/>
      <c r="Z99" s="41"/>
      <c r="AB99" s="6"/>
      <c r="AC99" s="6"/>
      <c r="AD99" s="6"/>
      <c r="AE99" s="6"/>
      <c r="AF99" s="6"/>
      <c r="AG99" s="6"/>
      <c r="AH99" s="6"/>
      <c r="AI99" s="6"/>
      <c r="AJ99" s="6"/>
      <c r="AK99" s="6"/>
      <c r="AL99" s="6"/>
      <c r="AM99" s="6"/>
      <c r="AN99" s="6"/>
      <c r="AO99" s="6"/>
      <c r="AP99" s="6"/>
      <c r="AQ99" s="6"/>
      <c r="AS99" s="42" t="e">
        <f t="shared" si="1"/>
        <v>#DIV/0!</v>
      </c>
    </row>
    <row r="100" spans="1:45" ht="18" customHeight="1">
      <c r="A100" s="34"/>
      <c r="B100" s="35"/>
      <c r="C100" s="36"/>
      <c r="D100" s="36"/>
      <c r="E100" s="37"/>
      <c r="F100" s="38"/>
      <c r="G100" s="38"/>
      <c r="H100" s="38"/>
      <c r="I100" s="38"/>
      <c r="J100" s="38"/>
      <c r="K100" s="39"/>
      <c r="L100" s="40"/>
      <c r="M100" s="40"/>
      <c r="N100" s="38"/>
      <c r="O100" s="38"/>
      <c r="P100" s="38"/>
      <c r="Q100" s="39"/>
      <c r="R100" s="40"/>
      <c r="S100" s="40"/>
      <c r="T100" s="40"/>
      <c r="U100" s="40"/>
      <c r="V100" s="38"/>
      <c r="W100" s="40"/>
      <c r="X100" s="40"/>
      <c r="Y100" s="40"/>
      <c r="Z100" s="41"/>
      <c r="AB100" s="6"/>
      <c r="AC100" s="6"/>
      <c r="AD100" s="6"/>
      <c r="AE100" s="6"/>
      <c r="AF100" s="6"/>
      <c r="AG100" s="6"/>
      <c r="AH100" s="6"/>
      <c r="AI100" s="6"/>
      <c r="AJ100" s="6"/>
      <c r="AK100" s="6"/>
      <c r="AL100" s="6"/>
      <c r="AM100" s="6"/>
      <c r="AN100" s="6"/>
      <c r="AO100" s="6"/>
      <c r="AP100" s="6"/>
      <c r="AQ100" s="6"/>
      <c r="AS100" s="42" t="e">
        <f t="shared" si="1"/>
        <v>#DIV/0!</v>
      </c>
    </row>
    <row r="101" spans="1:45" ht="18" customHeight="1">
      <c r="A101" s="34"/>
      <c r="B101" s="35"/>
      <c r="C101" s="36"/>
      <c r="D101" s="36"/>
      <c r="E101" s="37"/>
      <c r="F101" s="38"/>
      <c r="G101" s="38"/>
      <c r="H101" s="38"/>
      <c r="I101" s="38"/>
      <c r="J101" s="38"/>
      <c r="K101" s="39"/>
      <c r="L101" s="40"/>
      <c r="M101" s="40"/>
      <c r="N101" s="38"/>
      <c r="O101" s="38"/>
      <c r="P101" s="38"/>
      <c r="Q101" s="39"/>
      <c r="R101" s="40"/>
      <c r="S101" s="40"/>
      <c r="T101" s="40"/>
      <c r="U101" s="40"/>
      <c r="V101" s="38"/>
      <c r="W101" s="40"/>
      <c r="X101" s="40"/>
      <c r="Y101" s="40"/>
      <c r="Z101" s="41"/>
      <c r="AB101" s="6"/>
      <c r="AC101" s="6"/>
      <c r="AD101" s="6"/>
      <c r="AE101" s="6"/>
      <c r="AF101" s="6"/>
      <c r="AG101" s="6"/>
      <c r="AH101" s="6"/>
      <c r="AI101" s="6"/>
      <c r="AJ101" s="6"/>
      <c r="AK101" s="6"/>
      <c r="AL101" s="6"/>
      <c r="AM101" s="6"/>
      <c r="AN101" s="6"/>
      <c r="AO101" s="6"/>
      <c r="AP101" s="6"/>
      <c r="AQ101" s="6"/>
      <c r="AS101" s="42" t="e">
        <f t="shared" si="1"/>
        <v>#DIV/0!</v>
      </c>
    </row>
    <row r="102" spans="1:45" ht="18" customHeight="1">
      <c r="A102" s="34"/>
      <c r="B102" s="35"/>
      <c r="C102" s="36"/>
      <c r="D102" s="36"/>
      <c r="E102" s="37"/>
      <c r="F102" s="38"/>
      <c r="G102" s="38"/>
      <c r="H102" s="38"/>
      <c r="I102" s="38"/>
      <c r="J102" s="38"/>
      <c r="K102" s="39"/>
      <c r="L102" s="40"/>
      <c r="M102" s="40"/>
      <c r="N102" s="38"/>
      <c r="O102" s="38"/>
      <c r="P102" s="38"/>
      <c r="Q102" s="39"/>
      <c r="R102" s="40"/>
      <c r="S102" s="40"/>
      <c r="T102" s="40"/>
      <c r="U102" s="40"/>
      <c r="V102" s="38"/>
      <c r="W102" s="40"/>
      <c r="X102" s="40"/>
      <c r="Y102" s="40"/>
      <c r="Z102" s="41"/>
      <c r="AB102" s="6"/>
      <c r="AC102" s="6"/>
      <c r="AD102" s="6"/>
      <c r="AE102" s="6"/>
      <c r="AF102" s="6"/>
      <c r="AG102" s="6"/>
      <c r="AH102" s="6"/>
      <c r="AI102" s="6"/>
      <c r="AJ102" s="6"/>
      <c r="AK102" s="6"/>
      <c r="AL102" s="6"/>
      <c r="AM102" s="6"/>
      <c r="AN102" s="6"/>
      <c r="AO102" s="6"/>
      <c r="AP102" s="6"/>
      <c r="AQ102" s="6"/>
      <c r="AS102" s="42" t="e">
        <f t="shared" si="1"/>
        <v>#DIV/0!</v>
      </c>
    </row>
    <row r="103" spans="1:45" ht="18" customHeight="1">
      <c r="A103" s="34"/>
      <c r="B103" s="35"/>
      <c r="C103" s="36"/>
      <c r="D103" s="36"/>
      <c r="E103" s="37"/>
      <c r="F103" s="38"/>
      <c r="G103" s="38"/>
      <c r="H103" s="38"/>
      <c r="I103" s="38"/>
      <c r="J103" s="38"/>
      <c r="K103" s="39"/>
      <c r="L103" s="40"/>
      <c r="M103" s="40"/>
      <c r="N103" s="38"/>
      <c r="O103" s="38"/>
      <c r="P103" s="38"/>
      <c r="Q103" s="39"/>
      <c r="R103" s="40"/>
      <c r="S103" s="40"/>
      <c r="T103" s="40"/>
      <c r="U103" s="40"/>
      <c r="V103" s="38"/>
      <c r="W103" s="40"/>
      <c r="X103" s="40"/>
      <c r="Y103" s="40"/>
      <c r="Z103" s="41"/>
      <c r="AB103" s="6"/>
      <c r="AC103" s="6"/>
      <c r="AD103" s="6"/>
      <c r="AE103" s="6"/>
      <c r="AF103" s="6"/>
      <c r="AG103" s="6"/>
      <c r="AH103" s="6"/>
      <c r="AI103" s="6"/>
      <c r="AJ103" s="6"/>
      <c r="AK103" s="6"/>
      <c r="AL103" s="6"/>
      <c r="AM103" s="6"/>
      <c r="AN103" s="6"/>
      <c r="AO103" s="6"/>
      <c r="AP103" s="6"/>
      <c r="AQ103" s="6"/>
      <c r="AS103" s="42" t="e">
        <f t="shared" si="1"/>
        <v>#DIV/0!</v>
      </c>
    </row>
    <row r="104" spans="1:45" ht="18" customHeight="1">
      <c r="A104" s="34"/>
      <c r="B104" s="35"/>
      <c r="C104" s="36"/>
      <c r="D104" s="36"/>
      <c r="E104" s="37"/>
      <c r="F104" s="38"/>
      <c r="G104" s="38"/>
      <c r="H104" s="38"/>
      <c r="I104" s="38"/>
      <c r="J104" s="38"/>
      <c r="K104" s="39"/>
      <c r="L104" s="40"/>
      <c r="M104" s="40"/>
      <c r="N104" s="38"/>
      <c r="O104" s="38"/>
      <c r="P104" s="38"/>
      <c r="Q104" s="39"/>
      <c r="R104" s="40"/>
      <c r="S104" s="40"/>
      <c r="T104" s="40"/>
      <c r="U104" s="40"/>
      <c r="V104" s="38"/>
      <c r="W104" s="40"/>
      <c r="X104" s="40"/>
      <c r="Y104" s="40"/>
      <c r="Z104" s="41"/>
      <c r="AB104" s="6"/>
      <c r="AC104" s="6"/>
      <c r="AD104" s="6"/>
      <c r="AE104" s="6"/>
      <c r="AF104" s="6"/>
      <c r="AG104" s="6"/>
      <c r="AH104" s="6"/>
      <c r="AI104" s="6"/>
      <c r="AJ104" s="6"/>
      <c r="AK104" s="6"/>
      <c r="AL104" s="6"/>
      <c r="AM104" s="6"/>
      <c r="AN104" s="6"/>
      <c r="AO104" s="6"/>
      <c r="AP104" s="6"/>
      <c r="AQ104" s="6"/>
      <c r="AS104" s="42" t="e">
        <f t="shared" si="1"/>
        <v>#DIV/0!</v>
      </c>
    </row>
    <row r="105" spans="1:45" ht="18" customHeight="1">
      <c r="A105" s="34"/>
      <c r="B105" s="35"/>
      <c r="C105" s="36"/>
      <c r="D105" s="36"/>
      <c r="E105" s="37"/>
      <c r="F105" s="38"/>
      <c r="G105" s="38"/>
      <c r="H105" s="38"/>
      <c r="I105" s="38"/>
      <c r="J105" s="38"/>
      <c r="K105" s="39"/>
      <c r="L105" s="40"/>
      <c r="M105" s="40"/>
      <c r="N105" s="38"/>
      <c r="O105" s="38"/>
      <c r="P105" s="38"/>
      <c r="Q105" s="39"/>
      <c r="R105" s="40"/>
      <c r="S105" s="40"/>
      <c r="T105" s="40"/>
      <c r="U105" s="40"/>
      <c r="V105" s="38"/>
      <c r="W105" s="40"/>
      <c r="X105" s="40"/>
      <c r="Y105" s="40"/>
      <c r="Z105" s="41"/>
      <c r="AB105" s="6"/>
      <c r="AC105" s="6"/>
      <c r="AD105" s="6"/>
      <c r="AE105" s="6"/>
      <c r="AF105" s="6"/>
      <c r="AG105" s="6"/>
      <c r="AH105" s="6"/>
      <c r="AI105" s="6"/>
      <c r="AJ105" s="6"/>
      <c r="AK105" s="6"/>
      <c r="AL105" s="6"/>
      <c r="AM105" s="6"/>
      <c r="AN105" s="6"/>
      <c r="AO105" s="6"/>
      <c r="AP105" s="6"/>
      <c r="AQ105" s="6"/>
      <c r="AS105" s="42" t="e">
        <f t="shared" si="1"/>
        <v>#DIV/0!</v>
      </c>
    </row>
    <row r="106" spans="1:45" ht="18" customHeight="1">
      <c r="A106" s="34"/>
      <c r="B106" s="35"/>
      <c r="C106" s="36"/>
      <c r="D106" s="36"/>
      <c r="E106" s="37"/>
      <c r="F106" s="38"/>
      <c r="G106" s="38"/>
      <c r="H106" s="38"/>
      <c r="I106" s="38"/>
      <c r="J106" s="38"/>
      <c r="K106" s="39"/>
      <c r="L106" s="40"/>
      <c r="M106" s="40"/>
      <c r="N106" s="38"/>
      <c r="O106" s="38"/>
      <c r="P106" s="38"/>
      <c r="Q106" s="39"/>
      <c r="R106" s="40"/>
      <c r="S106" s="40"/>
      <c r="T106" s="40"/>
      <c r="U106" s="40"/>
      <c r="V106" s="38"/>
      <c r="W106" s="40"/>
      <c r="X106" s="40"/>
      <c r="Y106" s="40"/>
      <c r="Z106" s="41"/>
      <c r="AB106" s="6"/>
      <c r="AC106" s="6"/>
      <c r="AD106" s="6"/>
      <c r="AE106" s="6"/>
      <c r="AF106" s="6"/>
      <c r="AG106" s="6"/>
      <c r="AH106" s="6"/>
      <c r="AI106" s="6"/>
      <c r="AJ106" s="6"/>
      <c r="AK106" s="6"/>
      <c r="AL106" s="6"/>
      <c r="AM106" s="6"/>
      <c r="AN106" s="6"/>
      <c r="AO106" s="6"/>
      <c r="AP106" s="6"/>
      <c r="AQ106" s="6"/>
      <c r="AS106" s="42" t="e">
        <f t="shared" si="1"/>
        <v>#DIV/0!</v>
      </c>
    </row>
    <row r="107" spans="1:45" ht="18" customHeight="1">
      <c r="A107" s="34"/>
      <c r="B107" s="35"/>
      <c r="C107" s="36"/>
      <c r="D107" s="36"/>
      <c r="E107" s="37"/>
      <c r="F107" s="38"/>
      <c r="G107" s="38"/>
      <c r="H107" s="38"/>
      <c r="I107" s="38"/>
      <c r="J107" s="38"/>
      <c r="K107" s="39"/>
      <c r="L107" s="40"/>
      <c r="M107" s="40"/>
      <c r="N107" s="38"/>
      <c r="O107" s="38"/>
      <c r="P107" s="38"/>
      <c r="Q107" s="39"/>
      <c r="R107" s="40"/>
      <c r="S107" s="40"/>
      <c r="T107" s="40"/>
      <c r="U107" s="40"/>
      <c r="V107" s="38"/>
      <c r="W107" s="40"/>
      <c r="X107" s="40"/>
      <c r="Y107" s="40"/>
      <c r="Z107" s="41"/>
      <c r="AB107" s="6"/>
      <c r="AC107" s="6"/>
      <c r="AD107" s="6"/>
      <c r="AE107" s="6"/>
      <c r="AF107" s="6"/>
      <c r="AG107" s="6"/>
      <c r="AH107" s="6"/>
      <c r="AI107" s="6"/>
      <c r="AJ107" s="6"/>
      <c r="AK107" s="6"/>
      <c r="AL107" s="6"/>
      <c r="AM107" s="6"/>
      <c r="AN107" s="6"/>
      <c r="AO107" s="6"/>
      <c r="AP107" s="6"/>
      <c r="AQ107" s="6"/>
      <c r="AS107" s="42" t="e">
        <f t="shared" si="1"/>
        <v>#DIV/0!</v>
      </c>
    </row>
    <row r="108" spans="1:45" ht="18" customHeight="1">
      <c r="A108" s="34"/>
      <c r="B108" s="35"/>
      <c r="C108" s="36"/>
      <c r="D108" s="36"/>
      <c r="E108" s="37"/>
      <c r="F108" s="38"/>
      <c r="G108" s="38"/>
      <c r="H108" s="38"/>
      <c r="I108" s="38"/>
      <c r="J108" s="38"/>
      <c r="K108" s="39"/>
      <c r="L108" s="40"/>
      <c r="M108" s="40"/>
      <c r="N108" s="38"/>
      <c r="O108" s="38"/>
      <c r="P108" s="38"/>
      <c r="Q108" s="39"/>
      <c r="R108" s="40"/>
      <c r="S108" s="40"/>
      <c r="T108" s="40"/>
      <c r="U108" s="40"/>
      <c r="V108" s="38"/>
      <c r="W108" s="40"/>
      <c r="X108" s="40"/>
      <c r="Y108" s="40"/>
      <c r="Z108" s="41"/>
      <c r="AB108" s="6"/>
      <c r="AC108" s="6"/>
      <c r="AD108" s="6"/>
      <c r="AE108" s="6"/>
      <c r="AF108" s="6"/>
      <c r="AG108" s="6"/>
      <c r="AH108" s="6"/>
      <c r="AI108" s="6"/>
      <c r="AJ108" s="6"/>
      <c r="AK108" s="6"/>
      <c r="AL108" s="6"/>
      <c r="AM108" s="6"/>
      <c r="AN108" s="6"/>
      <c r="AO108" s="6"/>
      <c r="AP108" s="6"/>
      <c r="AQ108" s="6"/>
      <c r="AS108" s="42" t="e">
        <f t="shared" si="1"/>
        <v>#DIV/0!</v>
      </c>
    </row>
    <row r="109" spans="1:45" ht="18" customHeight="1">
      <c r="A109" s="34"/>
      <c r="B109" s="35"/>
      <c r="C109" s="36"/>
      <c r="D109" s="36"/>
      <c r="E109" s="37"/>
      <c r="F109" s="38"/>
      <c r="G109" s="38"/>
      <c r="H109" s="38"/>
      <c r="I109" s="38"/>
      <c r="J109" s="38"/>
      <c r="K109" s="39"/>
      <c r="L109" s="40"/>
      <c r="M109" s="40"/>
      <c r="N109" s="38"/>
      <c r="O109" s="38"/>
      <c r="P109" s="38"/>
      <c r="Q109" s="39"/>
      <c r="R109" s="40"/>
      <c r="S109" s="40"/>
      <c r="T109" s="40"/>
      <c r="U109" s="40"/>
      <c r="V109" s="38"/>
      <c r="W109" s="40"/>
      <c r="X109" s="40"/>
      <c r="Y109" s="40"/>
      <c r="Z109" s="41"/>
      <c r="AB109" s="6"/>
      <c r="AC109" s="6"/>
      <c r="AD109" s="6"/>
      <c r="AE109" s="6"/>
      <c r="AF109" s="6"/>
      <c r="AG109" s="6"/>
      <c r="AH109" s="6"/>
      <c r="AI109" s="6"/>
      <c r="AJ109" s="6"/>
      <c r="AK109" s="6"/>
      <c r="AL109" s="6"/>
      <c r="AM109" s="6"/>
      <c r="AN109" s="6"/>
      <c r="AO109" s="6"/>
      <c r="AP109" s="6"/>
      <c r="AQ109" s="6"/>
      <c r="AS109" s="42" t="e">
        <f t="shared" si="1"/>
        <v>#DIV/0!</v>
      </c>
    </row>
    <row r="110" spans="1:45" ht="18" customHeight="1">
      <c r="A110" s="34"/>
      <c r="B110" s="35"/>
      <c r="C110" s="36"/>
      <c r="D110" s="36"/>
      <c r="E110" s="37"/>
      <c r="F110" s="38"/>
      <c r="G110" s="38"/>
      <c r="H110" s="38"/>
      <c r="I110" s="38"/>
      <c r="J110" s="38"/>
      <c r="K110" s="39"/>
      <c r="L110" s="40"/>
      <c r="M110" s="40"/>
      <c r="N110" s="38"/>
      <c r="O110" s="38"/>
      <c r="P110" s="38"/>
      <c r="Q110" s="39"/>
      <c r="R110" s="40"/>
      <c r="S110" s="40"/>
      <c r="T110" s="40"/>
      <c r="U110" s="40"/>
      <c r="V110" s="38"/>
      <c r="W110" s="40"/>
      <c r="X110" s="40"/>
      <c r="Y110" s="40"/>
      <c r="Z110" s="41"/>
      <c r="AB110" s="6"/>
      <c r="AC110" s="6"/>
      <c r="AD110" s="6"/>
      <c r="AE110" s="6"/>
      <c r="AF110" s="6"/>
      <c r="AG110" s="6"/>
      <c r="AH110" s="6"/>
      <c r="AI110" s="6"/>
      <c r="AJ110" s="6"/>
      <c r="AK110" s="6"/>
      <c r="AL110" s="6"/>
      <c r="AM110" s="6"/>
      <c r="AN110" s="6"/>
      <c r="AO110" s="6"/>
      <c r="AP110" s="6"/>
      <c r="AQ110" s="6"/>
      <c r="AS110" s="42" t="e">
        <f t="shared" si="1"/>
        <v>#DIV/0!</v>
      </c>
    </row>
    <row r="111" spans="1:45" ht="18" customHeight="1" thickBot="1">
      <c r="A111" s="45"/>
      <c r="B111" s="46"/>
      <c r="C111" s="47"/>
      <c r="D111" s="47"/>
      <c r="E111" s="48"/>
      <c r="F111" s="38"/>
      <c r="G111" s="38"/>
      <c r="H111" s="38"/>
      <c r="I111" s="38"/>
      <c r="J111" s="38"/>
      <c r="K111" s="39"/>
      <c r="L111" s="40"/>
      <c r="M111" s="40"/>
      <c r="N111" s="38"/>
      <c r="O111" s="38"/>
      <c r="P111" s="38"/>
      <c r="Q111" s="39"/>
      <c r="R111" s="40"/>
      <c r="S111" s="40"/>
      <c r="T111" s="40"/>
      <c r="U111" s="40"/>
      <c r="V111" s="38"/>
      <c r="W111" s="40"/>
      <c r="X111" s="40"/>
      <c r="Y111" s="40"/>
      <c r="Z111" s="41"/>
      <c r="AB111" s="6"/>
      <c r="AC111" s="6"/>
      <c r="AD111" s="6"/>
      <c r="AE111" s="6"/>
      <c r="AF111" s="6"/>
      <c r="AG111" s="6"/>
      <c r="AH111" s="6"/>
      <c r="AI111" s="6"/>
      <c r="AJ111" s="6"/>
      <c r="AK111" s="6"/>
      <c r="AL111" s="6"/>
      <c r="AM111" s="6"/>
      <c r="AN111" s="6"/>
      <c r="AO111" s="6"/>
      <c r="AP111" s="6"/>
      <c r="AQ111" s="6"/>
      <c r="AS111" s="42" t="e">
        <f t="shared" si="1"/>
        <v>#DIV/0!</v>
      </c>
    </row>
    <row r="112" spans="1:45" ht="17.45" hidden="1" customHeight="1">
      <c r="A112" s="236" t="s">
        <v>159</v>
      </c>
      <c r="B112" s="289" t="s">
        <v>160</v>
      </c>
      <c r="C112" s="289"/>
      <c r="D112" s="289"/>
      <c r="E112" s="232"/>
      <c r="F112" s="8"/>
      <c r="G112" s="212"/>
      <c r="H112" s="212"/>
      <c r="I112" s="212"/>
      <c r="J112" s="8"/>
      <c r="K112" s="212"/>
      <c r="L112" s="212"/>
      <c r="M112" s="212"/>
      <c r="N112" s="8"/>
      <c r="O112" s="212"/>
      <c r="P112" s="212"/>
      <c r="Q112" s="212"/>
      <c r="R112" s="234"/>
      <c r="S112" s="212"/>
      <c r="T112" s="212"/>
      <c r="U112" s="212"/>
      <c r="V112" s="8"/>
      <c r="W112" s="212"/>
      <c r="X112" s="212"/>
      <c r="Y112" s="212"/>
      <c r="Z112" s="235"/>
      <c r="AA112" s="212"/>
      <c r="AB112" s="212"/>
      <c r="AC112" s="3"/>
      <c r="AD112" s="3"/>
      <c r="AE112" s="2"/>
      <c r="AF112" s="3"/>
      <c r="AG112" s="3"/>
      <c r="AH112" s="3"/>
      <c r="AI112" s="145"/>
      <c r="AJ112" s="1"/>
      <c r="AK112" s="1"/>
      <c r="AL112" s="1"/>
      <c r="AM112" s="50"/>
      <c r="AN112" s="1"/>
      <c r="AO112" s="1"/>
      <c r="AP112" s="1"/>
      <c r="AQ112" s="1"/>
      <c r="AR112" s="1"/>
      <c r="AS112" s="1"/>
    </row>
    <row r="118" spans="12:45" s="2" customFormat="1">
      <c r="L118" s="3"/>
      <c r="M118" s="3"/>
      <c r="R118" s="3"/>
      <c r="S118" s="3"/>
      <c r="T118" s="3"/>
      <c r="U118" s="3"/>
      <c r="W118" s="3"/>
      <c r="X118" s="3"/>
      <c r="Y118" s="3"/>
      <c r="Z118" s="4"/>
      <c r="AA118" s="19"/>
      <c r="AB118" s="19"/>
      <c r="AC118" s="19"/>
      <c r="AD118" s="19"/>
      <c r="AE118" s="19"/>
      <c r="AF118" s="19"/>
      <c r="AG118" s="19"/>
      <c r="AH118" s="19"/>
      <c r="AI118" s="19"/>
      <c r="AJ118" s="19"/>
      <c r="AK118" s="19"/>
      <c r="AL118" s="19"/>
      <c r="AM118" s="19"/>
      <c r="AN118" s="19"/>
      <c r="AO118" s="19"/>
      <c r="AP118" s="19"/>
      <c r="AQ118" s="19"/>
      <c r="AR118" s="49"/>
      <c r="AS118" s="49"/>
    </row>
  </sheetData>
  <autoFilter ref="B10:B111" xr:uid="{00000000-0009-0000-0000-000000000000}"/>
  <mergeCells count="50">
    <mergeCell ref="B63:D63"/>
    <mergeCell ref="F63:I63"/>
    <mergeCell ref="B112:D112"/>
    <mergeCell ref="F62:I62"/>
    <mergeCell ref="J62:M62"/>
    <mergeCell ref="N62:Q62"/>
    <mergeCell ref="R62:U62"/>
    <mergeCell ref="V62:Y62"/>
    <mergeCell ref="Z62:AB62"/>
    <mergeCell ref="AP61:AR61"/>
    <mergeCell ref="AT61:AV61"/>
    <mergeCell ref="AX61:AZ61"/>
    <mergeCell ref="BB61:BD61"/>
    <mergeCell ref="BF61:BH61"/>
    <mergeCell ref="B61:D61"/>
    <mergeCell ref="Z61:AB61"/>
    <mergeCell ref="AD61:AF61"/>
    <mergeCell ref="AH61:AJ61"/>
    <mergeCell ref="AL61:AN61"/>
    <mergeCell ref="AC7:AJ7"/>
    <mergeCell ref="AK7:AP7"/>
    <mergeCell ref="AC8:AJ8"/>
    <mergeCell ref="AK8:AP8"/>
    <mergeCell ref="AK9:AP9"/>
    <mergeCell ref="Z8:Z9"/>
    <mergeCell ref="N8:S8"/>
    <mergeCell ref="Y8:Y9"/>
    <mergeCell ref="F8:M8"/>
    <mergeCell ref="W7:X7"/>
    <mergeCell ref="Y7:Z7"/>
    <mergeCell ref="AC10:AJ12"/>
    <mergeCell ref="AK10:AP12"/>
    <mergeCell ref="S5:U5"/>
    <mergeCell ref="F7:I7"/>
    <mergeCell ref="T8:X8"/>
    <mergeCell ref="Q7:V7"/>
    <mergeCell ref="G4:H4"/>
    <mergeCell ref="N7:P7"/>
    <mergeCell ref="B4:F4"/>
    <mergeCell ref="I4:K4"/>
    <mergeCell ref="A1:Z2"/>
    <mergeCell ref="V5:X5"/>
    <mergeCell ref="B5:F5"/>
    <mergeCell ref="L4:O4"/>
    <mergeCell ref="J7:M7"/>
    <mergeCell ref="A3:Z3"/>
    <mergeCell ref="A7:B7"/>
    <mergeCell ref="G5:O5"/>
    <mergeCell ref="Q5:R5"/>
    <mergeCell ref="Y5:Z5"/>
  </mergeCells>
  <conditionalFormatting sqref="R112:U112">
    <cfRule type="cellIs" dxfId="24" priority="4" operator="lessThan">
      <formula>75</formula>
    </cfRule>
  </conditionalFormatting>
  <conditionalFormatting sqref="V62:Y63">
    <cfRule type="containsText" dxfId="23" priority="6" operator="containsText" text="Developing">
      <formula>NOT(ISERROR(SEARCH("Developing",V62)))</formula>
    </cfRule>
    <cfRule type="containsText" dxfId="22" priority="7" operator="containsText" text="Emerging">
      <formula>NOT(ISERROR(SEARCH("Emerging",V62)))</formula>
    </cfRule>
  </conditionalFormatting>
  <conditionalFormatting sqref="V112:Y112">
    <cfRule type="containsText" dxfId="21" priority="2" operator="containsText" text="Developing">
      <formula>NOT(ISERROR(SEARCH("Developing",V112)))</formula>
    </cfRule>
    <cfRule type="containsText" dxfId="20" priority="3" operator="containsText" text="Emerging">
      <formula>NOT(ISERROR(SEARCH("Emerging",V112)))</formula>
    </cfRule>
  </conditionalFormatting>
  <conditionalFormatting sqref="Z62:AB63">
    <cfRule type="containsText" dxfId="19" priority="5" operator="containsText" text="FAILED">
      <formula>NOT(ISERROR(SEARCH("FAILED",Z62)))</formula>
    </cfRule>
  </conditionalFormatting>
  <conditionalFormatting sqref="Z112:AB112">
    <cfRule type="containsText" dxfId="18" priority="1" operator="containsText" text="FAILED">
      <formula>NOT(ISERROR(SEARCH("FAILED",Z112)))</formula>
    </cfRule>
  </conditionalFormatting>
  <dataValidations count="2">
    <dataValidation allowBlank="1" showInputMessage="1" showErrorMessage="1" prompt="Do not type name of learners here. Go to INPUT DATA sheet." sqref="B61 B112" xr:uid="{14E00815-ED2D-49A4-97F7-19A9AF5A76BA}"/>
    <dataValidation type="whole" operator="lessThanOrEqual" allowBlank="1" showInputMessage="1" showErrorMessage="1" error="INPUT NUMBER LESS THAN OR EQUAL THE HIGHEST POSSIBLE SCORE" prompt="Input Raw Score" sqref="JB12:JD12 WVN12:WVP12 WLR12:WLT12 WBV12:WBX12 VRZ12:VSB12 VID12:VIF12 UYH12:UYJ12 UOL12:UON12 UEP12:UER12 TUT12:TUV12 TKX12:TKZ12 TBB12:TBD12 SRF12:SRH12 SHJ12:SHL12 RXN12:RXP12 RNR12:RNT12 RDV12:RDX12 QTZ12:QUB12 QKD12:QKF12 QAH12:QAJ12 PQL12:PQN12 PGP12:PGR12 OWT12:OWV12 OMX12:OMZ12 ODB12:ODD12 NTF12:NTH12 NJJ12:NJL12 MZN12:MZP12 MPR12:MPT12 MFV12:MFX12 LVZ12:LWB12 LMD12:LMF12 LCH12:LCJ12 KSL12:KSN12 KIP12:KIR12 JYT12:JYV12 JOX12:JOZ12 JFB12:JFD12 IVF12:IVH12 ILJ12:ILL12 IBN12:IBP12 HRR12:HRT12 HHV12:HHX12 GXZ12:GYB12 GOD12:GOF12 GEH12:GEJ12 FUL12:FUN12 FKP12:FKR12 FAT12:FAV12 EQX12:EQZ12 EHB12:EHD12 DXF12:DXH12 DNJ12:DNL12 DDN12:DDP12 CTR12:CTT12 CJV12:CJX12 BZZ12:CAB12 BQD12:BQF12 BGH12:BGJ12 AWL12:AWN12 AMP12:AMR12 ACT12:ACV12 SX12:SZ12 IO12:IS12 WVA12:WVE12 WLE12:WLI12 WBI12:WBM12 VRM12:VRQ12 VHQ12:VHU12 UXU12:UXY12 UNY12:UOC12 UEC12:UEG12 TUG12:TUK12 TKK12:TKO12 TAO12:TAS12 SQS12:SQW12 SGW12:SHA12 RXA12:RXE12 RNE12:RNI12 RDI12:RDM12 QTM12:QTQ12 QJQ12:QJU12 PZU12:PZY12 PPY12:PQC12 PGC12:PGG12 OWG12:OWK12 OMK12:OMO12 OCO12:OCS12 NSS12:NSW12 NIW12:NJA12 MZA12:MZE12 MPE12:MPI12 MFI12:MFM12 LVM12:LVQ12 LLQ12:LLU12 LBU12:LBY12 KRY12:KSC12 KIC12:KIG12 JYG12:JYK12 JOK12:JOO12 JEO12:JES12 IUS12:IUW12 IKW12:ILA12 IBA12:IBE12 HRE12:HRI12 HHI12:HHM12 GXM12:GXQ12 GNQ12:GNU12 GDU12:GDY12 FTY12:FUC12 FKC12:FKG12 FAG12:FAK12 EQK12:EQO12 EGO12:EGS12 DWS12:DWW12 DMW12:DNA12 DDA12:DDE12 CTE12:CTI12 CJI12:CJM12 BZM12:BZQ12 BPQ12:BPU12 BFU12:BFY12 AVY12:AWC12 AMC12:AMG12 ACG12:ACK12 SK12:SO12" xr:uid="{45FA4434-D9B9-4847-BC9E-E813B76E5597}">
      <formula1>#REF!</formula1>
    </dataValidation>
  </dataValidations>
  <printOptions horizontalCentered="1"/>
  <pageMargins left="0.7" right="0.7" top="0.75" bottom="0.75" header="0.3" footer="0.3"/>
  <pageSetup/>
  <rowBreaks count="1" manualBreakCount="1">
    <brk id="60" max="22" man="1"/>
  </rowBreaks>
</worksheet>
</file>

<file path=xl/worksheets/sheet2.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100-000000000000}">
  <sheetPr>
    <tabColor rgb="FFFF9933"/>
  </sheetPr>
  <dimension ref="A1:AX122"/>
  <sheetViews>
    <sheetView showGridLines="0" topLeftCell="A9" zoomScale="115" zoomScaleNormal="115" workbookViewId="0">
      <selection activeCell="A12" sqref="A12:XFD12"/>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42" t="s">
        <v>15</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 t="shared" ref="I13:I78" si="0">IF(COUNT($D13:$H13)=0,"",SUM($D13:$H13))</f>
        <v/>
      </c>
      <c r="J13" s="86" t="str">
        <f t="shared" ref="J13:J78" si="1">IF(ISERROR(IF($I13="","",ROUND(($I13/$I$10)*$J$10,2))),"",IF($I13="","",ROUND(($I13/$I$10)*$J$10,2)))</f>
        <v/>
      </c>
      <c r="K13" s="87" t="str">
        <f t="shared" ref="K13:K78" si="2">IF($J13="","",ROUND($J13*$K$10,2))</f>
        <v/>
      </c>
      <c r="L13" s="83"/>
      <c r="M13" s="84"/>
      <c r="N13" s="84"/>
      <c r="O13" s="85" t="str">
        <f t="shared" ref="O13:O78" si="3">IF(COUNT($L13:$N13)=0,"",SUM($L13:$N13))</f>
        <v/>
      </c>
      <c r="P13" s="86" t="str">
        <f t="shared" ref="P13:P78" si="4">IF(ISERROR(IF($O13="","",ROUND(($O13/$O$10)*$P$10,2))),"",IF($O13="","",ROUND(($O13/$O$10)*$P$10,2)))</f>
        <v/>
      </c>
      <c r="Q13" s="87" t="str">
        <f t="shared" ref="Q13:Q78" si="5">IF($P13="","",ROUND($P13*$Q$10,2))</f>
        <v/>
      </c>
      <c r="R13" s="83"/>
      <c r="S13" s="84"/>
      <c r="T13" s="84"/>
      <c r="U13" s="85" t="str">
        <f t="shared" ref="U13:U78" si="6">IF(COUNT($R13:$T13)=0,"",SUM($R13:$T13))</f>
        <v/>
      </c>
      <c r="V13" s="86" t="str">
        <f t="shared" ref="V13:V78" si="7">IF(ISERROR(IF($U13="","",ROUND(($U13/$U$10)*$V$10,2))),"",IF($U13="","",ROUND(($U13/$U$10)*$V$10,2)))</f>
        <v/>
      </c>
      <c r="W13" s="87" t="str">
        <f t="shared" ref="W13:W78" si="8">IF($V13="","",ROUND($V13*$W$10,2))</f>
        <v/>
      </c>
      <c r="X13" s="88" t="str">
        <f>IF(ISERROR(IF($U13="","",ROUND(SUM($K13,$Q13,$W13),2))),"",IF($U13="","",ROUND(SUM($K13,$Q13,$W13),2)))</f>
        <v/>
      </c>
      <c r="Y13" s="89" t="str">
        <f>IF(ISERROR(IF($U13="","",VLOOKUP(X13,NewTransmu,4,TRUE))),"",IF($U13="","",VLOOKUP(X13,NewTransmu,4,TRUE)))</f>
        <v/>
      </c>
      <c r="Z13" s="90" t="str">
        <f t="shared" ref="Z13:Z78" si="9">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 t="shared" ref="AT13:AT78" si="10">(R13/$R$10)*100</f>
      </c>
      <c r="AU13" s="42" t="e">
        <f t="shared" ref="AU13:AU78" si="11">(S13/$S$10)*100</f>
      </c>
      <c r="AV13" s="42" t="e">
        <f t="shared" ref="AV13:AV78" si="12">(T13/$T$10)*100</f>
      </c>
      <c r="AX13" s="6"/>
    </row>
    <row r="14" spans="1:50" ht="18" customHeight="1">
      <c r="A14" s="91"/>
      <c r="B14" s="191"/>
      <c r="C14" s="36">
        <f>INPUT!B12</f>
      </c>
      <c r="D14" s="92"/>
      <c r="E14" s="93"/>
      <c r="F14" s="93"/>
      <c r="G14" s="93"/>
      <c r="H14" s="93"/>
      <c r="I14" s="94" t="str">
        <f t="shared" si="0"/>
        <v/>
      </c>
      <c r="J14" s="59" t="str">
        <f t="shared" si="1"/>
        <v/>
      </c>
      <c r="K14" s="95" t="str">
        <f t="shared" si="2"/>
        <v/>
      </c>
      <c r="L14" s="92"/>
      <c r="M14" s="93"/>
      <c r="N14" s="93"/>
      <c r="O14" s="94" t="str">
        <f t="shared" si="3"/>
        <v/>
      </c>
      <c r="P14" s="59" t="str">
        <f t="shared" si="4"/>
        <v/>
      </c>
      <c r="Q14" s="95" t="str">
        <f t="shared" si="5"/>
        <v/>
      </c>
      <c r="R14" s="92"/>
      <c r="S14" s="93"/>
      <c r="T14" s="93"/>
      <c r="U14" s="94" t="str">
        <f t="shared" si="6"/>
        <v/>
      </c>
      <c r="V14" s="59" t="str">
        <f t="shared" si="7"/>
        <v/>
      </c>
      <c r="W14" s="95" t="str">
        <f t="shared" si="8"/>
        <v/>
      </c>
      <c r="X14" s="96" t="str">
        <f t="shared" ref="X14:X79" si="13">IF(ISERROR(IF($T14="","",ROUND(SUM($K14,$Q14,$W14),2))),"",IF($T14="","",ROUND(SUM($K14,$Q14,$W14),2)))</f>
        <v/>
      </c>
      <c r="Y14" s="97" t="str">
        <f t="shared" ref="Y14:Y79" si="14">IF(ISERROR(IF($T14="","",VLOOKUP(X14,NewTransmu,4,TRUE))),"",IF($T14="","",VLOOKUP(X14,NewTransmu,4,TRUE)))</f>
        <v/>
      </c>
      <c r="Z14" s="98" t="str">
        <f t="shared" si="9"/>
        <v/>
      </c>
      <c r="AB14" s="99"/>
      <c r="AC14" s="99" t="s">
        <v>125</v>
      </c>
      <c r="AD14" s="99" t="s">
        <v>123</v>
      </c>
      <c r="AE14" s="99" t="s">
        <v>124</v>
      </c>
      <c r="AF14" s="23"/>
      <c r="AG14" s="23"/>
      <c r="AH14" s="23"/>
      <c r="AI14" s="23"/>
      <c r="AJ14" s="23"/>
      <c r="AK14" s="23"/>
      <c r="AL14" s="23"/>
      <c r="AM14" s="23"/>
      <c r="AN14" s="23"/>
      <c r="AO14" s="23"/>
      <c r="AP14" s="23"/>
      <c r="AQ14" s="23"/>
      <c r="AR14" s="23"/>
      <c r="AS14" s="42"/>
      <c r="AT14" s="42" t="e">
        <f t="shared" si="10"/>
        <v>#DIV/0!</v>
      </c>
      <c r="AU14" s="42" t="e">
        <f t="shared" si="11"/>
        <v>#DIV/0!</v>
      </c>
      <c r="AV14" s="42" t="e">
        <f t="shared" si="12"/>
        <v>#DIV/0!</v>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13"/>
        <v/>
      </c>
      <c r="Y15" s="97" t="str">
        <f t="shared" si="14"/>
        <v/>
      </c>
      <c r="Z15" s="98" t="str">
        <f t="shared" si="9"/>
        <v/>
      </c>
      <c r="AB15" s="100" t="s">
        <v>21</v>
      </c>
      <c r="AC15" s="101">
        <f>COUNTA(R13:R115)</f>
      </c>
      <c r="AD15" s="101">
        <f>COUNTA(S13:S115)</f>
      </c>
      <c r="AE15" s="101">
        <f>COUNTA(T13:T115)</f>
      </c>
      <c r="AF15" s="23"/>
      <c r="AG15" s="23"/>
      <c r="AH15" s="23"/>
      <c r="AI15" s="23"/>
      <c r="AJ15" s="23"/>
      <c r="AK15" s="23"/>
      <c r="AL15" s="23"/>
      <c r="AM15" s="23"/>
      <c r="AN15" s="23"/>
      <c r="AO15" s="23"/>
      <c r="AP15" s="23"/>
      <c r="AQ15" s="23"/>
      <c r="AR15" s="23"/>
      <c r="AS15" s="42"/>
      <c r="AT15" s="42" t="e">
        <f t="shared" si="10"/>
        <v>#DIV/0!</v>
      </c>
      <c r="AU15" s="42" t="e">
        <f t="shared" si="11"/>
        <v>#DIV/0!</v>
      </c>
      <c r="AV15" s="42" t="e">
        <f t="shared" si="12"/>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13"/>
        <v/>
      </c>
      <c r="Y16" s="97" t="str">
        <f t="shared" si="14"/>
        <v/>
      </c>
      <c r="Z16" s="98" t="str">
        <f t="shared" si="9"/>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0"/>
        <v>#DIV/0!</v>
      </c>
      <c r="AU16" s="42" t="e">
        <f t="shared" si="11"/>
        <v>#DIV/0!</v>
      </c>
      <c r="AV16" s="42" t="e">
        <f t="shared" si="12"/>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13"/>
        <v/>
      </c>
      <c r="Y17" s="97" t="str">
        <f t="shared" si="14"/>
        <v/>
      </c>
      <c r="Z17" s="98" t="str">
        <f t="shared" si="9"/>
        <v/>
      </c>
      <c r="AB17" s="103"/>
      <c r="AC17" s="103"/>
      <c r="AD17" s="103"/>
      <c r="AE17" s="103"/>
      <c r="AF17" s="23"/>
      <c r="AG17" s="23"/>
      <c r="AH17" s="23"/>
      <c r="AI17" s="23"/>
      <c r="AJ17" s="23"/>
      <c r="AK17" s="23"/>
      <c r="AL17" s="23"/>
      <c r="AM17" s="23"/>
      <c r="AN17" s="23"/>
      <c r="AO17" s="23"/>
      <c r="AP17" s="23"/>
      <c r="AQ17" s="23"/>
      <c r="AR17" s="23"/>
      <c r="AS17" s="42"/>
      <c r="AT17" s="42" t="e">
        <f t="shared" si="10"/>
        <v>#DIV/0!</v>
      </c>
      <c r="AU17" s="42" t="e">
        <f t="shared" si="11"/>
        <v>#DIV/0!</v>
      </c>
      <c r="AV17" s="42" t="e">
        <f t="shared" si="12"/>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13"/>
        <v/>
      </c>
      <c r="Y18" s="97" t="str">
        <f t="shared" si="14"/>
        <v/>
      </c>
      <c r="Z18" s="98" t="str">
        <f t="shared" si="9"/>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0"/>
        <v>#DIV/0!</v>
      </c>
      <c r="AU18" s="42" t="e">
        <f t="shared" si="11"/>
        <v>#DIV/0!</v>
      </c>
      <c r="AV18" s="42" t="e">
        <f t="shared" si="12"/>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13"/>
        <v/>
      </c>
      <c r="Y19" s="97" t="str">
        <f t="shared" si="14"/>
        <v/>
      </c>
      <c r="Z19" s="98" t="str">
        <f t="shared" si="9"/>
        <v/>
      </c>
      <c r="AB19" s="105" t="s">
        <v>24</v>
      </c>
      <c r="AC19" s="106">
        <f>COUNTIF(AT13:AT115,"&gt;=75")</f>
      </c>
      <c r="AD19" s="106">
        <f>COUNTIF(AU13:AU115,"&gt;=75")</f>
      </c>
      <c r="AE19" s="106">
        <f>COUNTIF(AV13:AV115,"&gt;=75")</f>
      </c>
      <c r="AF19" s="23"/>
      <c r="AG19" s="23"/>
      <c r="AH19" s="23"/>
      <c r="AI19" s="23"/>
      <c r="AJ19" s="23"/>
      <c r="AK19" s="23"/>
      <c r="AL19" s="23"/>
      <c r="AM19" s="23"/>
      <c r="AN19" s="23"/>
      <c r="AO19" s="23"/>
      <c r="AP19" s="23"/>
      <c r="AQ19" s="23"/>
      <c r="AR19" s="23"/>
      <c r="AS19" s="42"/>
      <c r="AT19" s="42" t="e">
        <f t="shared" si="10"/>
        <v>#DIV/0!</v>
      </c>
      <c r="AU19" s="42" t="e">
        <f t="shared" si="11"/>
        <v>#DIV/0!</v>
      </c>
      <c r="AV19" s="42" t="e">
        <f t="shared" si="12"/>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13"/>
        <v/>
      </c>
      <c r="Y20" s="97" t="str">
        <f t="shared" si="14"/>
        <v/>
      </c>
      <c r="Z20" s="98" t="str">
        <f t="shared" si="9"/>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0"/>
        <v>#DIV/0!</v>
      </c>
      <c r="AU20" s="42" t="e">
        <f t="shared" si="11"/>
        <v>#DIV/0!</v>
      </c>
      <c r="AV20" s="42" t="e">
        <f t="shared" si="12"/>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13"/>
        <v/>
      </c>
      <c r="Y21" s="97" t="str">
        <f t="shared" si="14"/>
        <v/>
      </c>
      <c r="Z21" s="98" t="str">
        <f t="shared" si="9"/>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0"/>
        <v>#DIV/0!</v>
      </c>
      <c r="AU21" s="42" t="e">
        <f t="shared" si="11"/>
        <v>#DIV/0!</v>
      </c>
      <c r="AV21" s="42" t="e">
        <f t="shared" si="12"/>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13"/>
        <v/>
      </c>
      <c r="Y22" s="97" t="str">
        <f t="shared" si="14"/>
        <v/>
      </c>
      <c r="Z22" s="98" t="str">
        <f t="shared" si="9"/>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0"/>
        <v>#DIV/0!</v>
      </c>
      <c r="AU22" s="42" t="e">
        <f t="shared" si="11"/>
        <v>#DIV/0!</v>
      </c>
      <c r="AV22" s="42" t="e">
        <f t="shared" si="12"/>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13"/>
        <v/>
      </c>
      <c r="Y23" s="97" t="str">
        <f t="shared" si="14"/>
        <v/>
      </c>
      <c r="Z23" s="98" t="str">
        <f t="shared" si="9"/>
        <v/>
      </c>
      <c r="AB23" s="103"/>
      <c r="AC23" s="103"/>
      <c r="AD23" s="103"/>
      <c r="AE23" s="103"/>
      <c r="AR23" s="50"/>
      <c r="AT23" s="42" t="e">
        <f t="shared" si="10"/>
        <v>#DIV/0!</v>
      </c>
      <c r="AU23" s="42" t="e">
        <f t="shared" si="11"/>
        <v>#DIV/0!</v>
      </c>
      <c r="AV23" s="42" t="e">
        <f t="shared" si="12"/>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13"/>
        <v/>
      </c>
      <c r="Y24" s="97" t="str">
        <f t="shared" si="14"/>
        <v/>
      </c>
      <c r="Z24" s="98" t="str">
        <f t="shared" si="9"/>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0"/>
        <v>#DIV/0!</v>
      </c>
      <c r="AU24" s="42" t="e">
        <f t="shared" si="11"/>
        <v>#DIV/0!</v>
      </c>
      <c r="AV24" s="42" t="e">
        <f t="shared" si="12"/>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13"/>
        <v/>
      </c>
      <c r="Y25" s="97" t="str">
        <f t="shared" si="14"/>
        <v/>
      </c>
      <c r="Z25" s="98" t="str">
        <f t="shared" si="9"/>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0"/>
        <v>#DIV/0!</v>
      </c>
      <c r="AU25" s="42" t="e">
        <f t="shared" si="11"/>
        <v>#DIV/0!</v>
      </c>
      <c r="AV25" s="42" t="e">
        <f t="shared" si="12"/>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13"/>
        <v/>
      </c>
      <c r="Y26" s="97" t="str">
        <f t="shared" si="14"/>
        <v/>
      </c>
      <c r="Z26" s="98" t="str">
        <f t="shared" si="9"/>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0"/>
        <v>#DIV/0!</v>
      </c>
      <c r="AU26" s="42" t="e">
        <f t="shared" si="11"/>
        <v>#DIV/0!</v>
      </c>
      <c r="AV26" s="42" t="e">
        <f t="shared" si="12"/>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13"/>
        <v/>
      </c>
      <c r="Y27" s="97" t="str">
        <f t="shared" si="14"/>
        <v/>
      </c>
      <c r="Z27" s="98" t="str">
        <f t="shared" si="9"/>
        <v/>
      </c>
      <c r="AB27" s="105" t="s">
        <v>30</v>
      </c>
      <c r="AC27" s="109" t="str">
        <f>IFERROR(_xlfn.STDEV.S(R13:R115),"")</f>
        <v/>
      </c>
      <c r="AD27" s="109" t="e">
        <f>_xlfn.STDEV.S(S13:S115)</f>
      </c>
      <c r="AE27" s="109" t="e">
        <f>_xlfn.STDEV.S(T13:T115)</f>
      </c>
      <c r="AR27" s="50"/>
      <c r="AT27" s="42" t="e">
        <f t="shared" si="10"/>
        <v>#DIV/0!</v>
      </c>
      <c r="AU27" s="42" t="e">
        <f t="shared" si="11"/>
        <v>#DIV/0!</v>
      </c>
      <c r="AV27" s="42" t="e">
        <f t="shared" si="12"/>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13"/>
        <v/>
      </c>
      <c r="Y28" s="97" t="str">
        <f t="shared" si="14"/>
        <v/>
      </c>
      <c r="Z28" s="98" t="str">
        <f t="shared" si="9"/>
        <v/>
      </c>
      <c r="AB28" s="105" t="s">
        <v>31</v>
      </c>
      <c r="AC28" s="110" t="str">
        <f>IFERROR(AC25/AC16,"")</f>
        <v/>
      </c>
      <c r="AD28" s="110" t="str">
        <f>IFERROR(AD25/AD16,"")</f>
        <v/>
      </c>
      <c r="AE28" s="110" t="str">
        <f>IFERROR(AE25/AE16,"")</f>
        <v/>
      </c>
      <c r="AR28" s="50"/>
      <c r="AT28" s="42" t="e">
        <f t="shared" si="10"/>
        <v>#DIV/0!</v>
      </c>
      <c r="AU28" s="42" t="e">
        <f t="shared" si="11"/>
        <v>#DIV/0!</v>
      </c>
      <c r="AV28" s="42" t="e">
        <f t="shared" si="12"/>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13"/>
        <v/>
      </c>
      <c r="Y29" s="97" t="str">
        <f t="shared" si="14"/>
        <v/>
      </c>
      <c r="Z29" s="98" t="str">
        <f t="shared" si="9"/>
        <v/>
      </c>
      <c r="AB29" s="6"/>
      <c r="AC29" s="6"/>
      <c r="AD29" s="6"/>
      <c r="AE29" s="6"/>
      <c r="AR29" s="50"/>
      <c r="AT29" s="42" t="e">
        <f t="shared" si="10"/>
        <v>#DIV/0!</v>
      </c>
      <c r="AU29" s="42" t="e">
        <f t="shared" si="11"/>
        <v>#DIV/0!</v>
      </c>
      <c r="AV29" s="42" t="e">
        <f t="shared" si="12"/>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13"/>
        <v/>
      </c>
      <c r="Y30" s="97" t="str">
        <f t="shared" si="14"/>
        <v/>
      </c>
      <c r="Z30" s="98" t="str">
        <f t="shared" si="9"/>
        <v/>
      </c>
      <c r="AB30" s="104" t="s">
        <v>32</v>
      </c>
      <c r="AC30" s="99" t="s">
        <v>125</v>
      </c>
      <c r="AD30" s="99" t="s">
        <v>123</v>
      </c>
      <c r="AE30" s="99" t="s">
        <v>124</v>
      </c>
      <c r="AR30" s="50"/>
      <c r="AT30" s="42" t="e">
        <f t="shared" si="10"/>
        <v>#DIV/0!</v>
      </c>
      <c r="AU30" s="42" t="e">
        <f t="shared" si="11"/>
        <v>#DIV/0!</v>
      </c>
      <c r="AV30" s="42" t="e">
        <f t="shared" si="12"/>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13"/>
        <v/>
      </c>
      <c r="Y31" s="97" t="str">
        <f t="shared" si="14"/>
        <v/>
      </c>
      <c r="Z31" s="98" t="str">
        <f t="shared" si="9"/>
        <v/>
      </c>
      <c r="AB31" s="105" t="s">
        <v>33</v>
      </c>
      <c r="AC31" s="111" t="str">
        <f>IF(COUNTA(R13:R115)=0,"",MAX(R13:R115))</f>
        <v/>
      </c>
      <c r="AD31" s="111" t="str">
        <f>IF(COUNTA(S13:S115)=0,"",MAX(S13:S115))</f>
        <v/>
      </c>
      <c r="AE31" s="111" t="str">
        <f>IF(COUNTA(T13:T115)=0,"",MAX(T13:T115))</f>
        <v/>
      </c>
      <c r="AR31" s="50"/>
      <c r="AT31" s="42" t="e">
        <f t="shared" si="10"/>
        <v>#DIV/0!</v>
      </c>
      <c r="AU31" s="42" t="e">
        <f t="shared" si="11"/>
        <v>#DIV/0!</v>
      </c>
      <c r="AV31" s="42" t="e">
        <f t="shared" si="12"/>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13"/>
        <v/>
      </c>
      <c r="Y32" s="97" t="str">
        <f t="shared" si="14"/>
        <v/>
      </c>
      <c r="Z32" s="98" t="str">
        <f t="shared" si="9"/>
        <v/>
      </c>
      <c r="AB32" s="105" t="s">
        <v>34</v>
      </c>
      <c r="AC32" s="111" t="str">
        <f>IF(COUNTA(R13:R115)=0,"",MIN(R13:R115))</f>
        <v/>
      </c>
      <c r="AD32" s="111" t="str">
        <f>IF(COUNTA(S13:S115)=0,"",MIN(S13:S115))</f>
        <v/>
      </c>
      <c r="AE32" s="111" t="str">
        <f>IF(COUNTA(T13:T115)=0,"",MIN(T13:T115))</f>
        <v/>
      </c>
      <c r="AR32" s="50"/>
      <c r="AT32" s="42" t="e">
        <f t="shared" si="10"/>
        <v>#DIV/0!</v>
      </c>
      <c r="AU32" s="42" t="e">
        <f t="shared" si="11"/>
        <v>#DIV/0!</v>
      </c>
      <c r="AV32" s="42" t="e">
        <f t="shared" si="12"/>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13"/>
        <v/>
      </c>
      <c r="Y33" s="97" t="str">
        <f t="shared" si="14"/>
        <v/>
      </c>
      <c r="Z33" s="98" t="str">
        <f t="shared" si="9"/>
        <v/>
      </c>
      <c r="AB33" s="105" t="s">
        <v>35</v>
      </c>
      <c r="AC33" s="111" t="str">
        <f>IF(COUNTA(R13:R115)=0,"",SUM(R13:R115))</f>
        <v/>
      </c>
      <c r="AD33" s="111" t="str">
        <f>IF(COUNTA(S13:S115)=0,"",SUM(S13:S115))</f>
        <v/>
      </c>
      <c r="AE33" s="111" t="str">
        <f>IF(COUNTA(T13:T115)=0,"",SUM(T13:T115))</f>
        <v/>
      </c>
      <c r="AR33" s="50"/>
      <c r="AT33" s="42" t="e">
        <f t="shared" si="10"/>
        <v>#DIV/0!</v>
      </c>
      <c r="AU33" s="42" t="e">
        <f t="shared" si="11"/>
        <v>#DIV/0!</v>
      </c>
      <c r="AV33" s="42" t="e">
        <f t="shared" si="12"/>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13"/>
        <v/>
      </c>
      <c r="Y34" s="97" t="str">
        <f t="shared" si="14"/>
        <v/>
      </c>
      <c r="Z34" s="98" t="str">
        <f t="shared" si="9"/>
        <v/>
      </c>
      <c r="AB34" s="2"/>
      <c r="AC34" s="1"/>
      <c r="AE34" s="1"/>
      <c r="AF34" s="1"/>
      <c r="AG34" s="1"/>
      <c r="AH34" s="1"/>
      <c r="AI34" s="1"/>
      <c r="AJ34" s="1"/>
      <c r="AK34" s="1"/>
      <c r="AL34" s="1"/>
      <c r="AM34" s="1"/>
      <c r="AN34" s="1"/>
      <c r="AO34" s="1"/>
      <c r="AP34" s="1"/>
      <c r="AQ34" s="1"/>
      <c r="AR34" s="1"/>
      <c r="AS34" s="6"/>
      <c r="AT34" s="42" t="e">
        <f t="shared" si="10"/>
        <v>#DIV/0!</v>
      </c>
      <c r="AU34" s="42" t="e">
        <f t="shared" si="11"/>
        <v>#DIV/0!</v>
      </c>
      <c r="AV34" s="42" t="e">
        <f t="shared" si="12"/>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13"/>
        <v/>
      </c>
      <c r="Y35" s="97" t="str">
        <f t="shared" si="14"/>
        <v/>
      </c>
      <c r="Z35" s="98" t="str">
        <f t="shared" si="9"/>
        <v/>
      </c>
      <c r="AB35" s="2"/>
      <c r="AC35" s="1"/>
      <c r="AE35" s="1"/>
      <c r="AF35" s="1"/>
      <c r="AG35" s="1"/>
      <c r="AH35" s="1"/>
      <c r="AI35" s="1"/>
      <c r="AJ35" s="1"/>
      <c r="AK35" s="1"/>
      <c r="AL35" s="1"/>
      <c r="AM35" s="1"/>
      <c r="AN35" s="1"/>
      <c r="AO35" s="1"/>
      <c r="AP35" s="1"/>
      <c r="AQ35" s="1"/>
      <c r="AR35" s="1"/>
      <c r="AS35" s="6"/>
      <c r="AT35" s="42" t="e">
        <f t="shared" si="10"/>
        <v>#DIV/0!</v>
      </c>
      <c r="AU35" s="42" t="e">
        <f t="shared" si="11"/>
        <v>#DIV/0!</v>
      </c>
      <c r="AV35" s="42" t="e">
        <f t="shared" si="12"/>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13"/>
        <v/>
      </c>
      <c r="Y36" s="97" t="str">
        <f t="shared" si="14"/>
        <v/>
      </c>
      <c r="Z36" s="98" t="str">
        <f t="shared" si="9"/>
        <v/>
      </c>
      <c r="AB36" s="2"/>
      <c r="AC36" s="1"/>
      <c r="AE36" s="1"/>
      <c r="AF36" s="1"/>
      <c r="AG36" s="1"/>
      <c r="AH36" s="1"/>
      <c r="AI36" s="1"/>
      <c r="AJ36" s="1"/>
      <c r="AK36" s="1"/>
      <c r="AL36" s="1"/>
      <c r="AM36" s="1"/>
      <c r="AN36" s="1"/>
      <c r="AO36" s="1"/>
      <c r="AP36" s="1"/>
      <c r="AQ36" s="1"/>
      <c r="AR36" s="1"/>
      <c r="AS36" s="6"/>
      <c r="AT36" s="42" t="e">
        <f t="shared" si="10"/>
        <v>#DIV/0!</v>
      </c>
      <c r="AU36" s="42" t="e">
        <f t="shared" si="11"/>
        <v>#DIV/0!</v>
      </c>
      <c r="AV36" s="42" t="e">
        <f t="shared" si="12"/>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13"/>
        <v/>
      </c>
      <c r="Y37" s="97" t="str">
        <f t="shared" si="14"/>
        <v/>
      </c>
      <c r="Z37" s="98" t="str">
        <f t="shared" si="9"/>
        <v/>
      </c>
      <c r="AB37" s="2"/>
      <c r="AC37" s="1"/>
      <c r="AE37" s="1"/>
      <c r="AF37" s="1"/>
      <c r="AG37" s="1"/>
      <c r="AH37" s="1"/>
      <c r="AI37" s="1"/>
      <c r="AJ37" s="1"/>
      <c r="AK37" s="1"/>
      <c r="AL37" s="1"/>
      <c r="AM37" s="1"/>
      <c r="AN37" s="1"/>
      <c r="AO37" s="1"/>
      <c r="AP37" s="1"/>
      <c r="AQ37" s="1"/>
      <c r="AR37" s="1"/>
      <c r="AS37" s="6"/>
      <c r="AT37" s="42" t="e">
        <f t="shared" si="10"/>
        <v>#DIV/0!</v>
      </c>
      <c r="AU37" s="42" t="e">
        <f t="shared" si="11"/>
        <v>#DIV/0!</v>
      </c>
      <c r="AV37" s="42" t="e">
        <f t="shared" si="12"/>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13"/>
        <v/>
      </c>
      <c r="Y38" s="97" t="str">
        <f t="shared" si="14"/>
        <v/>
      </c>
      <c r="Z38" s="98" t="str">
        <f t="shared" si="9"/>
        <v/>
      </c>
      <c r="AB38" s="2"/>
      <c r="AC38" s="1"/>
      <c r="AE38" s="1"/>
      <c r="AF38" s="1"/>
      <c r="AG38" s="1"/>
      <c r="AH38" s="1"/>
      <c r="AI38" s="1"/>
      <c r="AJ38" s="1"/>
      <c r="AK38" s="1"/>
      <c r="AL38" s="1"/>
      <c r="AM38" s="1"/>
      <c r="AN38" s="1"/>
      <c r="AO38" s="1"/>
      <c r="AP38" s="1"/>
      <c r="AQ38" s="1"/>
      <c r="AR38" s="1"/>
      <c r="AS38" s="6"/>
      <c r="AT38" s="42" t="e">
        <f t="shared" si="10"/>
        <v>#DIV/0!</v>
      </c>
      <c r="AU38" s="42" t="e">
        <f t="shared" si="11"/>
        <v>#DIV/0!</v>
      </c>
      <c r="AV38" s="42" t="e">
        <f t="shared" si="12"/>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13"/>
        <v/>
      </c>
      <c r="Y39" s="97" t="str">
        <f t="shared" si="14"/>
        <v/>
      </c>
      <c r="Z39" s="98" t="str">
        <f t="shared" si="9"/>
        <v/>
      </c>
      <c r="AB39" s="2"/>
      <c r="AC39" s="1"/>
      <c r="AE39" s="1"/>
      <c r="AF39" s="1"/>
      <c r="AG39" s="1"/>
      <c r="AH39" s="1"/>
      <c r="AI39" s="1"/>
      <c r="AJ39" s="1"/>
      <c r="AK39" s="1"/>
      <c r="AL39" s="1"/>
      <c r="AM39" s="1"/>
      <c r="AN39" s="1"/>
      <c r="AO39" s="1"/>
      <c r="AP39" s="1"/>
      <c r="AQ39" s="1"/>
      <c r="AR39" s="1"/>
      <c r="AS39" s="6"/>
      <c r="AT39" s="42" t="e">
        <f t="shared" si="10"/>
        <v>#DIV/0!</v>
      </c>
      <c r="AU39" s="42" t="e">
        <f t="shared" si="11"/>
        <v>#DIV/0!</v>
      </c>
      <c r="AV39" s="42" t="e">
        <f t="shared" si="12"/>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13"/>
        <v/>
      </c>
      <c r="Y40" s="97" t="str">
        <f t="shared" si="14"/>
        <v/>
      </c>
      <c r="Z40" s="98" t="str">
        <f t="shared" si="9"/>
        <v/>
      </c>
      <c r="AB40" s="2"/>
      <c r="AC40" s="1"/>
      <c r="AE40" s="1"/>
      <c r="AF40" s="1"/>
      <c r="AG40" s="1"/>
      <c r="AH40" s="1"/>
      <c r="AI40" s="1"/>
      <c r="AJ40" s="1"/>
      <c r="AK40" s="1"/>
      <c r="AL40" s="1"/>
      <c r="AM40" s="1"/>
      <c r="AN40" s="1"/>
      <c r="AO40" s="1"/>
      <c r="AP40" s="1"/>
      <c r="AQ40" s="1"/>
      <c r="AR40" s="1"/>
      <c r="AS40" s="6"/>
      <c r="AT40" s="42" t="e">
        <f t="shared" si="10"/>
        <v>#DIV/0!</v>
      </c>
      <c r="AU40" s="42" t="e">
        <f t="shared" si="11"/>
        <v>#DIV/0!</v>
      </c>
      <c r="AV40" s="42" t="e">
        <f t="shared" si="12"/>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13"/>
        <v/>
      </c>
      <c r="Y41" s="97" t="str">
        <f t="shared" si="14"/>
        <v/>
      </c>
      <c r="Z41" s="98" t="str">
        <f t="shared" si="9"/>
        <v/>
      </c>
      <c r="AB41" s="2"/>
      <c r="AC41" s="1"/>
      <c r="AE41" s="1"/>
      <c r="AF41" s="1"/>
      <c r="AG41" s="1"/>
      <c r="AH41" s="1"/>
      <c r="AI41" s="1"/>
      <c r="AJ41" s="1"/>
      <c r="AK41" s="1"/>
      <c r="AL41" s="1"/>
      <c r="AM41" s="1"/>
      <c r="AN41" s="1"/>
      <c r="AO41" s="1"/>
      <c r="AP41" s="1"/>
      <c r="AQ41" s="1"/>
      <c r="AR41" s="1"/>
      <c r="AS41" s="6"/>
      <c r="AT41" s="42" t="e">
        <f t="shared" si="10"/>
        <v>#DIV/0!</v>
      </c>
      <c r="AU41" s="42" t="e">
        <f t="shared" si="11"/>
        <v>#DIV/0!</v>
      </c>
      <c r="AV41" s="42" t="e">
        <f t="shared" si="12"/>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13"/>
        <v/>
      </c>
      <c r="Y42" s="97" t="str">
        <f t="shared" si="14"/>
        <v/>
      </c>
      <c r="Z42" s="98" t="str">
        <f t="shared" si="9"/>
        <v/>
      </c>
      <c r="AB42" s="2"/>
      <c r="AC42" s="1"/>
      <c r="AE42" s="1"/>
      <c r="AF42" s="1"/>
      <c r="AG42" s="1"/>
      <c r="AH42" s="1"/>
      <c r="AI42" s="1"/>
      <c r="AJ42" s="1"/>
      <c r="AK42" s="1"/>
      <c r="AL42" s="1"/>
      <c r="AM42" s="1"/>
      <c r="AN42" s="1"/>
      <c r="AO42" s="1"/>
      <c r="AP42" s="1"/>
      <c r="AQ42" s="1"/>
      <c r="AR42" s="1"/>
      <c r="AS42" s="6"/>
      <c r="AT42" s="42" t="e">
        <f t="shared" si="10"/>
        <v>#DIV/0!</v>
      </c>
      <c r="AU42" s="42" t="e">
        <f t="shared" si="11"/>
        <v>#DIV/0!</v>
      </c>
      <c r="AV42" s="42" t="e">
        <f t="shared" si="12"/>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13"/>
        <v/>
      </c>
      <c r="Y43" s="97" t="str">
        <f t="shared" si="14"/>
        <v/>
      </c>
      <c r="Z43" s="98" t="str">
        <f t="shared" si="9"/>
        <v/>
      </c>
      <c r="AB43" s="2"/>
      <c r="AC43" s="1"/>
      <c r="AE43" s="1"/>
      <c r="AF43" s="1"/>
      <c r="AG43" s="1"/>
      <c r="AH43" s="1"/>
      <c r="AI43" s="1"/>
      <c r="AJ43" s="1"/>
      <c r="AK43" s="1"/>
      <c r="AL43" s="1"/>
      <c r="AM43" s="1"/>
      <c r="AN43" s="1"/>
      <c r="AO43" s="1"/>
      <c r="AP43" s="1"/>
      <c r="AQ43" s="1"/>
      <c r="AR43" s="1"/>
      <c r="AS43" s="6"/>
      <c r="AT43" s="42" t="e">
        <f t="shared" si="10"/>
        <v>#DIV/0!</v>
      </c>
      <c r="AU43" s="42" t="e">
        <f t="shared" si="11"/>
        <v>#DIV/0!</v>
      </c>
      <c r="AV43" s="42" t="e">
        <f t="shared" si="12"/>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13"/>
        <v/>
      </c>
      <c r="Y44" s="97" t="str">
        <f t="shared" si="14"/>
        <v/>
      </c>
      <c r="Z44" s="98" t="str">
        <f t="shared" si="9"/>
        <v/>
      </c>
      <c r="AB44" s="2"/>
      <c r="AC44" s="1"/>
      <c r="AE44" s="1"/>
      <c r="AF44" s="1"/>
      <c r="AG44" s="1"/>
      <c r="AH44" s="1"/>
      <c r="AI44" s="1"/>
      <c r="AJ44" s="1"/>
      <c r="AK44" s="1"/>
      <c r="AL44" s="1"/>
      <c r="AM44" s="1"/>
      <c r="AN44" s="1"/>
      <c r="AO44" s="1"/>
      <c r="AP44" s="1"/>
      <c r="AQ44" s="1"/>
      <c r="AR44" s="1"/>
      <c r="AS44" s="6"/>
      <c r="AT44" s="42" t="e">
        <f t="shared" si="10"/>
        <v>#DIV/0!</v>
      </c>
      <c r="AU44" s="42" t="e">
        <f t="shared" si="11"/>
        <v>#DIV/0!</v>
      </c>
      <c r="AV44" s="42" t="e">
        <f t="shared" si="12"/>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13"/>
        <v/>
      </c>
      <c r="Y45" s="97" t="str">
        <f t="shared" si="14"/>
        <v/>
      </c>
      <c r="Z45" s="98" t="str">
        <f t="shared" si="9"/>
        <v/>
      </c>
      <c r="AB45" s="2"/>
      <c r="AC45" s="1"/>
      <c r="AE45" s="1"/>
      <c r="AF45" s="1"/>
      <c r="AG45" s="1"/>
      <c r="AH45" s="1"/>
      <c r="AI45" s="1"/>
      <c r="AJ45" s="1"/>
      <c r="AK45" s="1"/>
      <c r="AL45" s="1"/>
      <c r="AM45" s="1"/>
      <c r="AN45" s="1"/>
      <c r="AO45" s="1"/>
      <c r="AP45" s="1"/>
      <c r="AQ45" s="1"/>
      <c r="AR45" s="1"/>
      <c r="AS45" s="6"/>
      <c r="AT45" s="42" t="e">
        <f t="shared" si="10"/>
        <v>#DIV/0!</v>
      </c>
      <c r="AU45" s="42" t="e">
        <f t="shared" si="11"/>
        <v>#DIV/0!</v>
      </c>
      <c r="AV45" s="42" t="e">
        <f t="shared" si="12"/>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13"/>
        <v/>
      </c>
      <c r="Y46" s="97" t="str">
        <f t="shared" si="14"/>
        <v/>
      </c>
      <c r="Z46" s="98" t="str">
        <f t="shared" si="9"/>
        <v/>
      </c>
      <c r="AB46" s="2"/>
      <c r="AC46" s="1"/>
      <c r="AE46" s="1"/>
      <c r="AF46" s="1"/>
      <c r="AG46" s="1"/>
      <c r="AH46" s="1"/>
      <c r="AI46" s="1"/>
      <c r="AJ46" s="1"/>
      <c r="AK46" s="1"/>
      <c r="AL46" s="1"/>
      <c r="AM46" s="1"/>
      <c r="AN46" s="1"/>
      <c r="AO46" s="1"/>
      <c r="AP46" s="1"/>
      <c r="AQ46" s="1"/>
      <c r="AR46" s="1"/>
      <c r="AS46" s="6"/>
      <c r="AT46" s="42" t="e">
        <f t="shared" si="10"/>
        <v>#DIV/0!</v>
      </c>
      <c r="AU46" s="42" t="e">
        <f t="shared" si="11"/>
        <v>#DIV/0!</v>
      </c>
      <c r="AV46" s="42" t="e">
        <f t="shared" si="12"/>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13"/>
        <v/>
      </c>
      <c r="Y47" s="97" t="str">
        <f t="shared" si="14"/>
        <v/>
      </c>
      <c r="Z47" s="98" t="str">
        <f t="shared" si="9"/>
        <v/>
      </c>
      <c r="AB47" s="2"/>
      <c r="AC47" s="1"/>
      <c r="AE47" s="1"/>
      <c r="AF47" s="1"/>
      <c r="AG47" s="1"/>
      <c r="AH47" s="1"/>
      <c r="AI47" s="1"/>
      <c r="AJ47" s="1"/>
      <c r="AK47" s="1"/>
      <c r="AL47" s="1"/>
      <c r="AM47" s="1"/>
      <c r="AN47" s="1"/>
      <c r="AO47" s="1"/>
      <c r="AP47" s="1"/>
      <c r="AQ47" s="1"/>
      <c r="AR47" s="1"/>
      <c r="AS47" s="6"/>
      <c r="AT47" s="42" t="e">
        <f t="shared" si="10"/>
        <v>#DIV/0!</v>
      </c>
      <c r="AU47" s="42" t="e">
        <f t="shared" si="11"/>
        <v>#DIV/0!</v>
      </c>
      <c r="AV47" s="42" t="e">
        <f t="shared" si="12"/>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13"/>
        <v/>
      </c>
      <c r="Y48" s="97" t="str">
        <f t="shared" si="14"/>
        <v/>
      </c>
      <c r="Z48" s="98" t="str">
        <f t="shared" si="9"/>
        <v/>
      </c>
      <c r="AB48" s="2"/>
      <c r="AC48" s="1"/>
      <c r="AE48" s="1"/>
      <c r="AF48" s="1"/>
      <c r="AG48" s="1"/>
      <c r="AH48" s="1"/>
      <c r="AI48" s="1"/>
      <c r="AJ48" s="1"/>
      <c r="AK48" s="1"/>
      <c r="AL48" s="1"/>
      <c r="AM48" s="1"/>
      <c r="AN48" s="1"/>
      <c r="AO48" s="1"/>
      <c r="AP48" s="1"/>
      <c r="AQ48" s="1"/>
      <c r="AR48" s="1"/>
      <c r="AS48" s="6"/>
      <c r="AT48" s="42" t="e">
        <f t="shared" si="10"/>
        <v>#DIV/0!</v>
      </c>
      <c r="AU48" s="42" t="e">
        <f t="shared" si="11"/>
        <v>#DIV/0!</v>
      </c>
      <c r="AV48" s="42" t="e">
        <f t="shared" si="12"/>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13"/>
        <v/>
      </c>
      <c r="Y49" s="97" t="str">
        <f t="shared" si="14"/>
        <v/>
      </c>
      <c r="Z49" s="98" t="str">
        <f t="shared" si="9"/>
        <v/>
      </c>
      <c r="AB49" s="2"/>
      <c r="AC49" s="1"/>
      <c r="AE49" s="1"/>
      <c r="AF49" s="1"/>
      <c r="AG49" s="1"/>
      <c r="AH49" s="1"/>
      <c r="AI49" s="1"/>
      <c r="AJ49" s="1"/>
      <c r="AK49" s="1"/>
      <c r="AL49" s="1"/>
      <c r="AM49" s="1"/>
      <c r="AN49" s="1"/>
      <c r="AO49" s="1"/>
      <c r="AP49" s="1"/>
      <c r="AQ49" s="1"/>
      <c r="AR49" s="1"/>
      <c r="AS49" s="6"/>
      <c r="AT49" s="42" t="e">
        <f t="shared" si="10"/>
        <v>#DIV/0!</v>
      </c>
      <c r="AU49" s="42" t="e">
        <f t="shared" si="11"/>
        <v>#DIV/0!</v>
      </c>
      <c r="AV49" s="42" t="e">
        <f t="shared" si="12"/>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13"/>
        <v/>
      </c>
      <c r="Y50" s="97" t="str">
        <f t="shared" si="14"/>
        <v/>
      </c>
      <c r="Z50" s="98" t="str">
        <f t="shared" si="9"/>
        <v/>
      </c>
      <c r="AB50" s="2"/>
      <c r="AC50" s="1"/>
      <c r="AE50" s="1"/>
      <c r="AF50" s="1"/>
      <c r="AG50" s="1"/>
      <c r="AH50" s="1"/>
      <c r="AI50" s="1"/>
      <c r="AJ50" s="1"/>
      <c r="AK50" s="1"/>
      <c r="AL50" s="1"/>
      <c r="AM50" s="1"/>
      <c r="AN50" s="1"/>
      <c r="AO50" s="1"/>
      <c r="AP50" s="1"/>
      <c r="AQ50" s="1"/>
      <c r="AR50" s="1"/>
      <c r="AS50" s="6"/>
      <c r="AT50" s="42" t="e">
        <f t="shared" si="10"/>
        <v>#DIV/0!</v>
      </c>
      <c r="AU50" s="42" t="e">
        <f t="shared" si="11"/>
        <v>#DIV/0!</v>
      </c>
      <c r="AV50" s="42" t="e">
        <f t="shared" si="12"/>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13"/>
        <v/>
      </c>
      <c r="Y51" s="97" t="str">
        <f t="shared" si="14"/>
        <v/>
      </c>
      <c r="Z51" s="98" t="str">
        <f t="shared" si="9"/>
        <v/>
      </c>
      <c r="AB51" s="2"/>
      <c r="AC51" s="1"/>
      <c r="AE51" s="1"/>
      <c r="AF51" s="1"/>
      <c r="AG51" s="1"/>
      <c r="AH51" s="1"/>
      <c r="AI51" s="1"/>
      <c r="AJ51" s="1"/>
      <c r="AK51" s="1"/>
      <c r="AL51" s="1"/>
      <c r="AM51" s="1"/>
      <c r="AN51" s="1"/>
      <c r="AO51" s="1"/>
      <c r="AP51" s="1"/>
      <c r="AQ51" s="1"/>
      <c r="AR51" s="1"/>
      <c r="AS51" s="6"/>
      <c r="AT51" s="42" t="e">
        <f t="shared" si="10"/>
        <v>#DIV/0!</v>
      </c>
      <c r="AU51" s="42" t="e">
        <f t="shared" si="11"/>
        <v>#DIV/0!</v>
      </c>
      <c r="AV51" s="42" t="e">
        <f t="shared" si="12"/>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13"/>
        <v/>
      </c>
      <c r="Y52" s="97" t="str">
        <f t="shared" si="14"/>
        <v/>
      </c>
      <c r="Z52" s="98" t="str">
        <f t="shared" si="9"/>
        <v/>
      </c>
      <c r="AB52" s="2"/>
      <c r="AC52" s="1"/>
      <c r="AE52" s="1"/>
      <c r="AF52" s="1"/>
      <c r="AG52" s="1"/>
      <c r="AH52" s="1"/>
      <c r="AI52" s="1"/>
      <c r="AJ52" s="1"/>
      <c r="AK52" s="1"/>
      <c r="AL52" s="1"/>
      <c r="AM52" s="1"/>
      <c r="AN52" s="1"/>
      <c r="AO52" s="1"/>
      <c r="AP52" s="1"/>
      <c r="AQ52" s="1"/>
      <c r="AR52" s="1"/>
      <c r="AS52" s="6"/>
      <c r="AT52" s="42" t="e">
        <f t="shared" si="10"/>
        <v>#DIV/0!</v>
      </c>
      <c r="AU52" s="42" t="e">
        <f t="shared" si="11"/>
        <v>#DIV/0!</v>
      </c>
      <c r="AV52" s="42" t="e">
        <f t="shared" si="12"/>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13"/>
        <v/>
      </c>
      <c r="Y53" s="97" t="str">
        <f t="shared" si="14"/>
        <v/>
      </c>
      <c r="Z53" s="98" t="str">
        <f t="shared" si="9"/>
        <v/>
      </c>
      <c r="AB53" s="2"/>
      <c r="AC53" s="1"/>
      <c r="AE53" s="1"/>
      <c r="AF53" s="1"/>
      <c r="AG53" s="1"/>
      <c r="AH53" s="1"/>
      <c r="AI53" s="1"/>
      <c r="AJ53" s="1"/>
      <c r="AK53" s="1"/>
      <c r="AL53" s="1"/>
      <c r="AM53" s="1"/>
      <c r="AN53" s="1"/>
      <c r="AO53" s="1"/>
      <c r="AP53" s="1"/>
      <c r="AQ53" s="1"/>
      <c r="AR53" s="1"/>
      <c r="AS53" s="6"/>
      <c r="AT53" s="42" t="e">
        <f t="shared" si="10"/>
        <v>#DIV/0!</v>
      </c>
      <c r="AU53" s="42" t="e">
        <f t="shared" si="11"/>
        <v>#DIV/0!</v>
      </c>
      <c r="AV53" s="42" t="e">
        <f t="shared" si="12"/>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13"/>
        <v/>
      </c>
      <c r="Y54" s="97" t="str">
        <f t="shared" si="14"/>
        <v/>
      </c>
      <c r="Z54" s="98" t="str">
        <f t="shared" si="9"/>
        <v/>
      </c>
      <c r="AB54" s="2"/>
      <c r="AC54" s="1"/>
      <c r="AE54" s="1"/>
      <c r="AF54" s="1"/>
      <c r="AG54" s="1"/>
      <c r="AH54" s="1"/>
      <c r="AI54" s="1"/>
      <c r="AJ54" s="1"/>
      <c r="AK54" s="1"/>
      <c r="AL54" s="1"/>
      <c r="AM54" s="1"/>
      <c r="AN54" s="1"/>
      <c r="AO54" s="1"/>
      <c r="AP54" s="1"/>
      <c r="AQ54" s="1"/>
      <c r="AR54" s="1"/>
      <c r="AS54" s="6"/>
      <c r="AT54" s="42" t="e">
        <f t="shared" si="10"/>
        <v>#DIV/0!</v>
      </c>
      <c r="AU54" s="42" t="e">
        <f t="shared" si="11"/>
        <v>#DIV/0!</v>
      </c>
      <c r="AV54" s="42" t="e">
        <f t="shared" si="12"/>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13"/>
        <v/>
      </c>
      <c r="Y55" s="97" t="str">
        <f t="shared" si="14"/>
        <v/>
      </c>
      <c r="Z55" s="98" t="str">
        <f t="shared" si="9"/>
        <v/>
      </c>
      <c r="AB55" s="2"/>
      <c r="AC55" s="1"/>
      <c r="AE55" s="1"/>
      <c r="AF55" s="1"/>
      <c r="AG55" s="1"/>
      <c r="AH55" s="1"/>
      <c r="AI55" s="1"/>
      <c r="AJ55" s="1"/>
      <c r="AK55" s="1"/>
      <c r="AL55" s="1"/>
      <c r="AM55" s="1"/>
      <c r="AN55" s="1"/>
      <c r="AO55" s="1"/>
      <c r="AP55" s="1"/>
      <c r="AQ55" s="1"/>
      <c r="AR55" s="1"/>
      <c r="AS55" s="6"/>
      <c r="AT55" s="42" t="e">
        <f t="shared" si="10"/>
        <v>#DIV/0!</v>
      </c>
      <c r="AU55" s="42" t="e">
        <f t="shared" si="11"/>
        <v>#DIV/0!</v>
      </c>
      <c r="AV55" s="42" t="e">
        <f t="shared" si="12"/>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13"/>
        <v/>
      </c>
      <c r="Y56" s="97" t="str">
        <f t="shared" si="14"/>
        <v/>
      </c>
      <c r="Z56" s="98" t="str">
        <f t="shared" si="9"/>
        <v/>
      </c>
      <c r="AB56" s="2"/>
      <c r="AC56" s="1"/>
      <c r="AE56" s="1"/>
      <c r="AF56" s="1"/>
      <c r="AG56" s="1"/>
      <c r="AH56" s="1"/>
      <c r="AI56" s="1"/>
      <c r="AJ56" s="1"/>
      <c r="AK56" s="1"/>
      <c r="AL56" s="1"/>
      <c r="AM56" s="1"/>
      <c r="AN56" s="1"/>
      <c r="AO56" s="1"/>
      <c r="AP56" s="1"/>
      <c r="AQ56" s="1"/>
      <c r="AR56" s="1"/>
      <c r="AS56" s="6"/>
      <c r="AT56" s="42" t="e">
        <f t="shared" si="10"/>
        <v>#DIV/0!</v>
      </c>
      <c r="AU56" s="42" t="e">
        <f t="shared" si="11"/>
        <v>#DIV/0!</v>
      </c>
      <c r="AV56" s="42" t="e">
        <f t="shared" si="12"/>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13"/>
        <v/>
      </c>
      <c r="Y57" s="97" t="str">
        <f t="shared" si="14"/>
        <v/>
      </c>
      <c r="Z57" s="98" t="str">
        <f t="shared" si="9"/>
        <v/>
      </c>
      <c r="AB57" s="2"/>
      <c r="AC57" s="1"/>
      <c r="AE57" s="1"/>
      <c r="AF57" s="1"/>
      <c r="AG57" s="1"/>
      <c r="AH57" s="1"/>
      <c r="AI57" s="1"/>
      <c r="AJ57" s="1"/>
      <c r="AK57" s="1"/>
      <c r="AL57" s="1"/>
      <c r="AM57" s="1"/>
      <c r="AN57" s="1"/>
      <c r="AO57" s="1"/>
      <c r="AP57" s="1"/>
      <c r="AQ57" s="1"/>
      <c r="AR57" s="1"/>
      <c r="AS57" s="6"/>
      <c r="AT57" s="42" t="e">
        <f t="shared" si="10"/>
        <v>#DIV/0!</v>
      </c>
      <c r="AU57" s="42" t="e">
        <f t="shared" si="11"/>
        <v>#DIV/0!</v>
      </c>
      <c r="AV57" s="42" t="e">
        <f t="shared" si="12"/>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13"/>
        <v/>
      </c>
      <c r="Y58" s="97" t="str">
        <f t="shared" si="14"/>
        <v/>
      </c>
      <c r="Z58" s="98" t="str">
        <f t="shared" si="9"/>
        <v/>
      </c>
      <c r="AB58" s="2"/>
      <c r="AC58" s="1"/>
      <c r="AE58" s="1"/>
      <c r="AF58" s="1"/>
      <c r="AG58" s="1"/>
      <c r="AH58" s="1"/>
      <c r="AI58" s="1"/>
      <c r="AJ58" s="1"/>
      <c r="AK58" s="1"/>
      <c r="AL58" s="1"/>
      <c r="AM58" s="1"/>
      <c r="AN58" s="1"/>
      <c r="AO58" s="1"/>
      <c r="AP58" s="1"/>
      <c r="AQ58" s="1"/>
      <c r="AR58" s="1"/>
      <c r="AS58" s="6"/>
      <c r="AT58" s="42" t="e">
        <f t="shared" si="10"/>
        <v>#DIV/0!</v>
      </c>
      <c r="AU58" s="42" t="e">
        <f t="shared" si="11"/>
        <v>#DIV/0!</v>
      </c>
      <c r="AV58" s="42" t="e">
        <f t="shared" si="12"/>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13"/>
        <v/>
      </c>
      <c r="Y59" s="97" t="str">
        <f t="shared" si="14"/>
        <v/>
      </c>
      <c r="Z59" s="98" t="str">
        <f t="shared" si="9"/>
        <v/>
      </c>
      <c r="AB59" s="2"/>
      <c r="AC59" s="1"/>
      <c r="AE59" s="1"/>
      <c r="AF59" s="1"/>
      <c r="AG59" s="1"/>
      <c r="AH59" s="1"/>
      <c r="AI59" s="1"/>
      <c r="AJ59" s="1"/>
      <c r="AK59" s="1"/>
      <c r="AL59" s="1"/>
      <c r="AM59" s="1"/>
      <c r="AN59" s="1"/>
      <c r="AO59" s="1"/>
      <c r="AP59" s="1"/>
      <c r="AQ59" s="1"/>
      <c r="AR59" s="1"/>
      <c r="AS59" s="6"/>
      <c r="AT59" s="42" t="e">
        <f t="shared" si="10"/>
        <v>#DIV/0!</v>
      </c>
      <c r="AU59" s="42" t="e">
        <f t="shared" si="11"/>
        <v>#DIV/0!</v>
      </c>
      <c r="AV59" s="42" t="e">
        <f t="shared" si="12"/>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13"/>
        <v/>
      </c>
      <c r="Y60" s="97" t="str">
        <f t="shared" si="14"/>
        <v/>
      </c>
      <c r="Z60" s="98" t="str">
        <f t="shared" si="9"/>
        <v/>
      </c>
      <c r="AB60" s="2"/>
      <c r="AC60" s="1"/>
      <c r="AE60" s="1"/>
      <c r="AF60" s="1"/>
      <c r="AG60" s="1"/>
      <c r="AH60" s="1"/>
      <c r="AI60" s="1"/>
      <c r="AJ60" s="1"/>
      <c r="AK60" s="1"/>
      <c r="AL60" s="1"/>
      <c r="AM60" s="1"/>
      <c r="AN60" s="1"/>
      <c r="AO60" s="1"/>
      <c r="AP60" s="1"/>
      <c r="AQ60" s="1"/>
      <c r="AR60" s="1"/>
      <c r="AS60" s="6"/>
      <c r="AT60" s="42" t="e">
        <f t="shared" si="10"/>
        <v>#DIV/0!</v>
      </c>
      <c r="AU60" s="42" t="e">
        <f t="shared" si="11"/>
        <v>#DIV/0!</v>
      </c>
      <c r="AV60" s="42" t="e">
        <f t="shared" si="12"/>
        <v>#DIV/0!</v>
      </c>
      <c r="AX60" s="6"/>
    </row>
    <row r="61" spans="1:50" ht="19.149999999999999"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13"/>
        <v/>
      </c>
      <c r="Y61" s="97" t="str">
        <f t="shared" si="14"/>
        <v/>
      </c>
      <c r="Z61" s="98" t="str">
        <f t="shared" si="9"/>
        <v/>
      </c>
      <c r="AB61" s="2"/>
      <c r="AC61" s="1"/>
      <c r="AE61" s="1"/>
      <c r="AF61" s="1"/>
      <c r="AG61" s="1"/>
      <c r="AH61" s="1"/>
      <c r="AI61" s="1"/>
      <c r="AJ61" s="1"/>
      <c r="AK61" s="1"/>
      <c r="AL61" s="1"/>
      <c r="AM61" s="1"/>
      <c r="AN61" s="1"/>
      <c r="AO61" s="1"/>
      <c r="AP61" s="1"/>
      <c r="AQ61" s="1"/>
      <c r="AR61" s="1"/>
      <c r="AS61" s="6"/>
      <c r="AT61" s="42" t="e">
        <f t="shared" si="10"/>
        <v>#DIV/0!</v>
      </c>
      <c r="AU61" s="42" t="e">
        <f t="shared" si="11"/>
        <v>#DIV/0!</v>
      </c>
      <c r="AV61" s="42" t="e">
        <f t="shared" si="12"/>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13"/>
        <v/>
      </c>
      <c r="Y62" s="119" t="str">
        <f t="shared" si="14"/>
        <v/>
      </c>
      <c r="Z62" s="120" t="str">
        <f t="shared" si="9"/>
        <v/>
      </c>
      <c r="AB62" s="2"/>
      <c r="AC62" s="1"/>
      <c r="AE62" s="1"/>
      <c r="AF62" s="1"/>
      <c r="AG62" s="1"/>
      <c r="AH62" s="1"/>
      <c r="AI62" s="1"/>
      <c r="AJ62" s="1"/>
      <c r="AK62" s="1"/>
      <c r="AL62" s="1"/>
      <c r="AM62" s="1"/>
      <c r="AN62" s="1"/>
      <c r="AO62" s="1"/>
      <c r="AP62" s="1"/>
      <c r="AQ62" s="1"/>
      <c r="AR62" s="1"/>
      <c r="AS62" s="6"/>
      <c r="AT62" s="42" t="e">
        <f t="shared" si="10"/>
        <v>#DIV/0!</v>
      </c>
      <c r="AU62" s="42" t="e">
        <f t="shared" si="11"/>
        <v>#DIV/0!</v>
      </c>
      <c r="AV62" s="42" t="e">
        <f t="shared" si="12"/>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c>
      <c r="AU64" s="42" t="e">
        <f>(S64/$S$10)*100</f>
      </c>
      <c r="AV64" s="42" t="e">
        <f>(T64/$T$10)*100</f>
      </c>
      <c r="AX64" s="6"/>
    </row>
    <row r="65" spans="1:50" ht="17.25"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13"/>
        <v/>
      </c>
      <c r="Y66" s="89" t="str">
        <f t="shared" si="14"/>
        <v/>
      </c>
      <c r="Z66" s="90" t="str">
        <f t="shared" si="9"/>
        <v/>
      </c>
      <c r="AB66" s="2"/>
      <c r="AC66" s="1"/>
      <c r="AE66" s="1"/>
      <c r="AF66" s="1"/>
      <c r="AG66" s="1"/>
      <c r="AH66" s="1"/>
      <c r="AI66" s="1"/>
      <c r="AJ66" s="1"/>
      <c r="AK66" s="1"/>
      <c r="AL66" s="1"/>
      <c r="AM66" s="1"/>
      <c r="AN66" s="1"/>
      <c r="AO66" s="1"/>
      <c r="AP66" s="1"/>
      <c r="AQ66" s="1"/>
      <c r="AR66" s="1"/>
      <c r="AS66" s="6"/>
      <c r="AT66" s="42" t="e">
        <f t="shared" si="10"/>
        <v>#DIV/0!</v>
      </c>
      <c r="AU66" s="42" t="e">
        <f t="shared" si="11"/>
        <v>#DIV/0!</v>
      </c>
      <c r="AV66" s="42" t="e">
        <f t="shared" si="12"/>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13"/>
        <v/>
      </c>
      <c r="Y67" s="97" t="str">
        <f t="shared" si="14"/>
        <v/>
      </c>
      <c r="Z67" s="98" t="str">
        <f t="shared" si="9"/>
        <v/>
      </c>
      <c r="AB67" s="2"/>
      <c r="AC67" s="1"/>
      <c r="AE67" s="1"/>
      <c r="AF67" s="1"/>
      <c r="AG67" s="1"/>
      <c r="AH67" s="1"/>
      <c r="AI67" s="1"/>
      <c r="AJ67" s="1"/>
      <c r="AK67" s="1"/>
      <c r="AL67" s="1"/>
      <c r="AM67" s="1"/>
      <c r="AN67" s="1"/>
      <c r="AO67" s="1"/>
      <c r="AP67" s="1"/>
      <c r="AQ67" s="1"/>
      <c r="AR67" s="1"/>
      <c r="AS67" s="6"/>
      <c r="AT67" s="42" t="e">
        <f t="shared" si="10"/>
        <v>#DIV/0!</v>
      </c>
      <c r="AU67" s="42" t="e">
        <f t="shared" si="11"/>
        <v>#DIV/0!</v>
      </c>
      <c r="AV67" s="42" t="e">
        <f t="shared" si="12"/>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13"/>
        <v/>
      </c>
      <c r="Y68" s="97" t="str">
        <f t="shared" si="14"/>
        <v/>
      </c>
      <c r="Z68" s="98" t="str">
        <f t="shared" si="9"/>
        <v/>
      </c>
      <c r="AB68" s="2"/>
      <c r="AC68" s="1"/>
      <c r="AE68" s="1"/>
      <c r="AF68" s="1"/>
      <c r="AG68" s="1"/>
      <c r="AH68" s="1"/>
      <c r="AI68" s="1"/>
      <c r="AJ68" s="1"/>
      <c r="AK68" s="1"/>
      <c r="AL68" s="1"/>
      <c r="AM68" s="1"/>
      <c r="AN68" s="1"/>
      <c r="AO68" s="1"/>
      <c r="AP68" s="1"/>
      <c r="AQ68" s="1"/>
      <c r="AR68" s="1"/>
      <c r="AS68" s="6"/>
      <c r="AT68" s="42" t="e">
        <f t="shared" si="10"/>
        <v>#DIV/0!</v>
      </c>
      <c r="AU68" s="42" t="e">
        <f t="shared" si="11"/>
        <v>#DIV/0!</v>
      </c>
      <c r="AV68" s="42" t="e">
        <f t="shared" si="12"/>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13"/>
        <v/>
      </c>
      <c r="Y69" s="97" t="str">
        <f t="shared" si="14"/>
        <v/>
      </c>
      <c r="Z69" s="98" t="str">
        <f t="shared" si="9"/>
        <v/>
      </c>
      <c r="AB69" s="2"/>
      <c r="AC69" s="1"/>
      <c r="AE69" s="1"/>
      <c r="AF69" s="1"/>
      <c r="AG69" s="1"/>
      <c r="AH69" s="1"/>
      <c r="AI69" s="1"/>
      <c r="AJ69" s="1"/>
      <c r="AK69" s="1"/>
      <c r="AL69" s="1"/>
      <c r="AM69" s="1"/>
      <c r="AN69" s="1"/>
      <c r="AO69" s="1"/>
      <c r="AP69" s="1"/>
      <c r="AQ69" s="1"/>
      <c r="AR69" s="1"/>
      <c r="AS69" s="6"/>
      <c r="AT69" s="42" t="e">
        <f t="shared" si="10"/>
        <v>#DIV/0!</v>
      </c>
      <c r="AU69" s="42" t="e">
        <f t="shared" si="11"/>
        <v>#DIV/0!</v>
      </c>
      <c r="AV69" s="42" t="e">
        <f t="shared" si="12"/>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13"/>
        <v/>
      </c>
      <c r="Y70" s="97" t="str">
        <f t="shared" si="14"/>
        <v/>
      </c>
      <c r="Z70" s="98" t="str">
        <f t="shared" si="9"/>
        <v/>
      </c>
      <c r="AB70" s="2"/>
      <c r="AC70" s="1"/>
      <c r="AE70" s="1"/>
      <c r="AF70" s="1"/>
      <c r="AG70" s="1"/>
      <c r="AH70" s="1"/>
      <c r="AI70" s="1"/>
      <c r="AJ70" s="1"/>
      <c r="AK70" s="1"/>
      <c r="AL70" s="1"/>
      <c r="AM70" s="1"/>
      <c r="AN70" s="1"/>
      <c r="AO70" s="1"/>
      <c r="AP70" s="1"/>
      <c r="AQ70" s="1"/>
      <c r="AR70" s="1"/>
      <c r="AS70" s="6"/>
      <c r="AT70" s="42" t="e">
        <f t="shared" si="10"/>
        <v>#DIV/0!</v>
      </c>
      <c r="AU70" s="42" t="e">
        <f t="shared" si="11"/>
        <v>#DIV/0!</v>
      </c>
      <c r="AV70" s="42" t="e">
        <f t="shared" si="12"/>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13"/>
        <v/>
      </c>
      <c r="Y71" s="97" t="str">
        <f t="shared" si="14"/>
        <v/>
      </c>
      <c r="Z71" s="98" t="str">
        <f t="shared" si="9"/>
        <v/>
      </c>
      <c r="AB71" s="2"/>
      <c r="AC71" s="1"/>
      <c r="AE71" s="1"/>
      <c r="AF71" s="1"/>
      <c r="AG71" s="1"/>
      <c r="AH71" s="1"/>
      <c r="AI71" s="1"/>
      <c r="AJ71" s="1"/>
      <c r="AK71" s="1"/>
      <c r="AL71" s="1"/>
      <c r="AM71" s="1"/>
      <c r="AN71" s="1"/>
      <c r="AO71" s="1"/>
      <c r="AP71" s="1"/>
      <c r="AQ71" s="1"/>
      <c r="AR71" s="1"/>
      <c r="AS71" s="6"/>
      <c r="AT71" s="42" t="e">
        <f t="shared" si="10"/>
        <v>#DIV/0!</v>
      </c>
      <c r="AU71" s="42" t="e">
        <f t="shared" si="11"/>
        <v>#DIV/0!</v>
      </c>
      <c r="AV71" s="42" t="e">
        <f t="shared" si="12"/>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13"/>
        <v/>
      </c>
      <c r="Y72" s="97" t="str">
        <f t="shared" si="14"/>
        <v/>
      </c>
      <c r="Z72" s="98" t="str">
        <f t="shared" si="9"/>
        <v/>
      </c>
      <c r="AB72" s="2"/>
      <c r="AC72" s="1"/>
      <c r="AE72" s="1"/>
      <c r="AF72" s="1"/>
      <c r="AG72" s="1"/>
      <c r="AH72" s="1"/>
      <c r="AI72" s="1"/>
      <c r="AJ72" s="1"/>
      <c r="AK72" s="1"/>
      <c r="AL72" s="1"/>
      <c r="AM72" s="1"/>
      <c r="AN72" s="1"/>
      <c r="AO72" s="1"/>
      <c r="AP72" s="1"/>
      <c r="AQ72" s="1"/>
      <c r="AR72" s="1"/>
      <c r="AS72" s="6"/>
      <c r="AT72" s="42" t="e">
        <f t="shared" si="10"/>
        <v>#DIV/0!</v>
      </c>
      <c r="AU72" s="42" t="e">
        <f t="shared" si="11"/>
        <v>#DIV/0!</v>
      </c>
      <c r="AV72" s="42" t="e">
        <f t="shared" si="12"/>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13"/>
        <v/>
      </c>
      <c r="Y73" s="97" t="str">
        <f t="shared" si="14"/>
        <v/>
      </c>
      <c r="Z73" s="98" t="str">
        <f t="shared" si="9"/>
        <v/>
      </c>
      <c r="AB73" s="2"/>
      <c r="AC73" s="1"/>
      <c r="AE73" s="1"/>
      <c r="AF73" s="1"/>
      <c r="AG73" s="1"/>
      <c r="AH73" s="1"/>
      <c r="AI73" s="1"/>
      <c r="AJ73" s="1"/>
      <c r="AK73" s="1"/>
      <c r="AL73" s="1"/>
      <c r="AM73" s="1"/>
      <c r="AN73" s="1"/>
      <c r="AO73" s="1"/>
      <c r="AP73" s="1"/>
      <c r="AQ73" s="1"/>
      <c r="AR73" s="1"/>
      <c r="AS73" s="6"/>
      <c r="AT73" s="42" t="e">
        <f t="shared" si="10"/>
        <v>#DIV/0!</v>
      </c>
      <c r="AU73" s="42" t="e">
        <f t="shared" si="11"/>
        <v>#DIV/0!</v>
      </c>
      <c r="AV73" s="42" t="e">
        <f t="shared" si="12"/>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13"/>
        <v/>
      </c>
      <c r="Y74" s="97" t="str">
        <f t="shared" si="14"/>
        <v/>
      </c>
      <c r="Z74" s="98" t="str">
        <f t="shared" si="9"/>
        <v/>
      </c>
      <c r="AB74" s="2"/>
      <c r="AC74" s="1"/>
      <c r="AE74" s="1"/>
      <c r="AF74" s="1"/>
      <c r="AG74" s="1"/>
      <c r="AH74" s="1"/>
      <c r="AI74" s="1"/>
      <c r="AJ74" s="1"/>
      <c r="AK74" s="1"/>
      <c r="AL74" s="1"/>
      <c r="AM74" s="1"/>
      <c r="AN74" s="1"/>
      <c r="AO74" s="1"/>
      <c r="AP74" s="1"/>
      <c r="AQ74" s="1"/>
      <c r="AR74" s="1"/>
      <c r="AS74" s="6"/>
      <c r="AT74" s="42" t="e">
        <f t="shared" si="10"/>
        <v>#DIV/0!</v>
      </c>
      <c r="AU74" s="42" t="e">
        <f t="shared" si="11"/>
        <v>#DIV/0!</v>
      </c>
      <c r="AV74" s="42" t="e">
        <f t="shared" si="12"/>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13"/>
        <v/>
      </c>
      <c r="Y75" s="97" t="str">
        <f t="shared" si="14"/>
        <v/>
      </c>
      <c r="Z75" s="98" t="str">
        <f t="shared" si="9"/>
        <v/>
      </c>
      <c r="AB75" s="2"/>
      <c r="AC75" s="1"/>
      <c r="AE75" s="1"/>
      <c r="AF75" s="1"/>
      <c r="AG75" s="1"/>
      <c r="AH75" s="1"/>
      <c r="AI75" s="1"/>
      <c r="AJ75" s="1"/>
      <c r="AK75" s="1"/>
      <c r="AL75" s="1"/>
      <c r="AM75" s="1"/>
      <c r="AN75" s="1"/>
      <c r="AO75" s="1"/>
      <c r="AP75" s="1"/>
      <c r="AQ75" s="1"/>
      <c r="AR75" s="1"/>
      <c r="AS75" s="6"/>
      <c r="AT75" s="42" t="e">
        <f t="shared" si="10"/>
        <v>#DIV/0!</v>
      </c>
      <c r="AU75" s="42" t="e">
        <f t="shared" si="11"/>
        <v>#DIV/0!</v>
      </c>
      <c r="AV75" s="42" t="e">
        <f t="shared" si="12"/>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13"/>
        <v/>
      </c>
      <c r="Y76" s="97" t="str">
        <f t="shared" si="14"/>
        <v/>
      </c>
      <c r="Z76" s="98" t="str">
        <f t="shared" si="9"/>
        <v/>
      </c>
      <c r="AB76" s="2"/>
      <c r="AC76" s="1"/>
      <c r="AE76" s="1"/>
      <c r="AF76" s="1"/>
      <c r="AG76" s="1"/>
      <c r="AH76" s="1"/>
      <c r="AI76" s="1"/>
      <c r="AJ76" s="1"/>
      <c r="AK76" s="1"/>
      <c r="AL76" s="1"/>
      <c r="AM76" s="1"/>
      <c r="AN76" s="1"/>
      <c r="AO76" s="1"/>
      <c r="AP76" s="1"/>
      <c r="AQ76" s="1"/>
      <c r="AR76" s="1"/>
      <c r="AS76" s="6"/>
      <c r="AT76" s="42" t="e">
        <f t="shared" si="10"/>
        <v>#DIV/0!</v>
      </c>
      <c r="AU76" s="42" t="e">
        <f t="shared" si="11"/>
        <v>#DIV/0!</v>
      </c>
      <c r="AV76" s="42" t="e">
        <f t="shared" si="12"/>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13"/>
        <v/>
      </c>
      <c r="Y77" s="97" t="str">
        <f t="shared" si="14"/>
        <v/>
      </c>
      <c r="Z77" s="98" t="str">
        <f t="shared" si="9"/>
        <v/>
      </c>
      <c r="AB77" s="2"/>
      <c r="AC77" s="1"/>
      <c r="AE77" s="1"/>
      <c r="AF77" s="1"/>
      <c r="AG77" s="1"/>
      <c r="AH77" s="1"/>
      <c r="AI77" s="1"/>
      <c r="AJ77" s="1"/>
      <c r="AK77" s="1"/>
      <c r="AL77" s="1"/>
      <c r="AM77" s="1"/>
      <c r="AN77" s="1"/>
      <c r="AO77" s="1"/>
      <c r="AP77" s="1"/>
      <c r="AQ77" s="1"/>
      <c r="AR77" s="1"/>
      <c r="AS77" s="6"/>
      <c r="AT77" s="42" t="e">
        <f t="shared" si="10"/>
        <v>#DIV/0!</v>
      </c>
      <c r="AU77" s="42" t="e">
        <f t="shared" si="11"/>
        <v>#DIV/0!</v>
      </c>
      <c r="AV77" s="42" t="e">
        <f t="shared" si="12"/>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13"/>
        <v/>
      </c>
      <c r="Y78" s="97" t="str">
        <f t="shared" si="14"/>
        <v/>
      </c>
      <c r="Z78" s="98" t="str">
        <f t="shared" si="9"/>
        <v/>
      </c>
      <c r="AB78" s="2"/>
      <c r="AC78" s="1"/>
      <c r="AE78" s="1"/>
      <c r="AF78" s="1"/>
      <c r="AG78" s="1"/>
      <c r="AH78" s="1"/>
      <c r="AI78" s="1"/>
      <c r="AJ78" s="1"/>
      <c r="AK78" s="1"/>
      <c r="AL78" s="1"/>
      <c r="AM78" s="1"/>
      <c r="AN78" s="1"/>
      <c r="AO78" s="1"/>
      <c r="AP78" s="1"/>
      <c r="AQ78" s="1"/>
      <c r="AR78" s="1"/>
      <c r="AS78" s="6"/>
      <c r="AT78" s="42" t="e">
        <f t="shared" si="10"/>
        <v>#DIV/0!</v>
      </c>
      <c r="AU78" s="42" t="e">
        <f t="shared" si="11"/>
        <v>#DIV/0!</v>
      </c>
      <c r="AV78" s="42" t="e">
        <f t="shared" si="12"/>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13"/>
        <v/>
      </c>
      <c r="Y79" s="97" t="str">
        <f t="shared" si="14"/>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229"/>
      <c r="C115" s="230">
        <f>INPUT!B111</f>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mergeCells count="28">
    <mergeCell ref="B64:C64"/>
    <mergeCell ref="A7:C7"/>
    <mergeCell ref="X8:X10"/>
    <mergeCell ref="Y8:Y10"/>
    <mergeCell ref="A10:C10"/>
    <mergeCell ref="B11:C11"/>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17" priority="6" operator="lessThan">
      <formula>75</formula>
    </cfRule>
  </conditionalFormatting>
  <conditionalFormatting sqref="Y66:Y116">
    <cfRule type="cellIs" dxfId="16" priority="3" operator="lessThan">
      <formula>75</formula>
    </cfRule>
  </conditionalFormatting>
  <conditionalFormatting sqref="Z13:Z116">
    <cfRule type="containsText" dxfId="15" priority="1" operator="containsText" text="Emerging">
      <formula>NOT(ISERROR(SEARCH("Emerging",Z13)))</formula>
    </cfRule>
    <cfRule type="containsText" dxfId="14" priority="2" operator="containsText" text="Developing">
      <formula>NOT(ISERROR(SEARCH("Developing",Z13)))</formula>
    </cfRule>
  </conditionalFormatting>
  <dataValidations xWindow="911" yWindow="589" count="51">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3:B62 A63:C63 A116:C116"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C66:C115 C13:C62"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7" right="0.7" top="0.75" bottom="0.75" header="0.3" footer="0.3"/>
  <pageSetup/>
  <rowBreaks count="1" manualBreakCount="1">
    <brk id="63" max="27" man="1"/>
  </rowBreaks>
  <drawing r:id="rId2"/>
</worksheet>
</file>

<file path=xl/worksheets/sheet3.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300-000000000000}">
  <sheetPr>
    <tabColor rgb="FFFF9933"/>
  </sheetPr>
  <dimension ref="A1:AX122"/>
  <sheetViews>
    <sheetView showGridLines="0" zoomScaleNormal="100" workbookViewId="0">
      <selection activeCell="C13" sqref="C13"/>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59" t="s">
        <v>36</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c>
      <c r="AU13" s="42" t="e">
        <f>(S13/$S$10)*100</f>
      </c>
      <c r="AV13" s="42" t="e">
        <f>(T13/$T$10)*100</f>
      </c>
      <c r="AX13" s="6"/>
    </row>
    <row r="14" spans="1:50" ht="18" customHeight="1">
      <c r="A14" s="91"/>
      <c r="B14" s="191"/>
      <c r="C14" s="36">
        <f>INPUT!B12</f>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c>
      <c r="AU14" s="42" t="e">
        <f t="shared" ref="AU14:AU78" si="13">(S14/$S$10)*100</f>
      </c>
      <c r="AV14" s="42" t="e">
        <f t="shared" ref="AV14:AV78" si="14">(T14/$T$10)*100</f>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COUNTA(R13:R115)</f>
      </c>
      <c r="AD15" s="101">
        <f>COUNTA(S13:S115)</f>
      </c>
      <c r="AE15" s="101">
        <f>COUNTA(T13:T115)</f>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COUNTIF(AT13:AT115,"&gt;=75")</f>
      </c>
      <c r="AD19" s="106">
        <f>COUNTIF(AU13:AU115,"&gt;=75")</f>
      </c>
      <c r="AE19" s="106">
        <f>COUNTIF(AV13:AV115,"&gt;=75")</f>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IFERROR(_xlfn.STDEV.S(R13:R115),"")</f>
        <v/>
      </c>
      <c r="AD27" s="109" t="e">
        <f>_xlfn.STDEV.S(S13:S115)</f>
      </c>
      <c r="AE27" s="109" t="e">
        <f>_xlfn.STDEV.S(T13:T115)</f>
      </c>
      <c r="AR27" s="50"/>
      <c r="AT27" s="42" t="e">
        <f t="shared" si="12"/>
        <v>#DIV/0!</v>
      </c>
      <c r="AU27" s="42" t="e">
        <f t="shared" si="13"/>
        <v>#DIV/0!</v>
      </c>
      <c r="AV27" s="42" t="e">
        <f t="shared" si="14"/>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IF(COUNTA(R13:R115)=0,"",MAX(R13:R115))</f>
        <v/>
      </c>
      <c r="AD31" s="111" t="str">
        <f>IF(COUNTA(S13:S115)=0,"",MAX(S13:S115))</f>
        <v/>
      </c>
      <c r="AE31" s="111" t="str">
        <f>IF(COUNTA(T13:T115)=0,"",MAX(T13:T115))</f>
        <v/>
      </c>
      <c r="AR31" s="50"/>
      <c r="AT31" s="42" t="e">
        <f t="shared" si="12"/>
        <v>#DIV/0!</v>
      </c>
      <c r="AU31" s="42" t="e">
        <f t="shared" si="13"/>
        <v>#DIV/0!</v>
      </c>
      <c r="AV31" s="42" t="e">
        <f t="shared" si="14"/>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IF(COUNTA(R13:R115)=0,"",MIN(R13:R115))</f>
        <v/>
      </c>
      <c r="AD32" s="111" t="str">
        <f>IF(COUNTA(S13:S115)=0,"",MIN(S13:S115))</f>
        <v/>
      </c>
      <c r="AE32" s="111" t="str">
        <f>IF(COUNTA(T13:T115)=0,"",MIN(T13:T115))</f>
        <v/>
      </c>
      <c r="AR32" s="50"/>
      <c r="AT32" s="42" t="e">
        <f t="shared" si="12"/>
        <v>#DIV/0!</v>
      </c>
      <c r="AU32" s="42" t="e">
        <f t="shared" si="13"/>
        <v>#DIV/0!</v>
      </c>
      <c r="AV32" s="42" t="e">
        <f t="shared" si="14"/>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IF(COUNTA(R13:R115)=0,"",SUM(R13:R115))</f>
        <v/>
      </c>
      <c r="AD33" s="111" t="str">
        <f>IF(COUNTA(S13:S115)=0,"",SUM(S13:S115))</f>
        <v/>
      </c>
      <c r="AE33" s="111" t="str">
        <f>IF(COUNTA(T13:T115)=0,"",SUM(T13:T115))</f>
        <v/>
      </c>
      <c r="AR33" s="50"/>
      <c r="AT33" s="42" t="e">
        <f t="shared" si="12"/>
        <v>#DIV/0!</v>
      </c>
      <c r="AU33" s="42" t="e">
        <f t="shared" si="13"/>
        <v>#DIV/0!</v>
      </c>
      <c r="AV33" s="42" t="e">
        <f t="shared" si="14"/>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c>
      <c r="AU64" s="42" t="e">
        <f>(S64/$S$10)*100</f>
      </c>
      <c r="AV64" s="42" t="e">
        <f>(T64/$T$10)*100</f>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230">
        <f>INPUT!B111</f>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autoFilter ref="C12:C115" xr:uid="{00000000-0009-0000-0000-000003000000}"/>
  <mergeCells count="28">
    <mergeCell ref="B64:C64"/>
    <mergeCell ref="B8:B9"/>
    <mergeCell ref="C8:C9"/>
    <mergeCell ref="A8:A9"/>
    <mergeCell ref="A10:C10"/>
    <mergeCell ref="B11:C11"/>
    <mergeCell ref="A1:X2"/>
    <mergeCell ref="I7:K7"/>
    <mergeCell ref="L7:N7"/>
    <mergeCell ref="O7:Q7"/>
    <mergeCell ref="R7:T7"/>
    <mergeCell ref="U7:W7"/>
    <mergeCell ref="A7:C7"/>
    <mergeCell ref="D4:E4"/>
    <mergeCell ref="W5:X5"/>
    <mergeCell ref="P5:R5"/>
    <mergeCell ref="A3:X3"/>
    <mergeCell ref="I4:L4"/>
    <mergeCell ref="N5:O5"/>
    <mergeCell ref="Z8:Z10"/>
    <mergeCell ref="Y8:Y10"/>
    <mergeCell ref="R8:W8"/>
    <mergeCell ref="F4:H4"/>
    <mergeCell ref="X8:X10"/>
    <mergeCell ref="L8:Q8"/>
    <mergeCell ref="D5:L5"/>
    <mergeCell ref="D8:K8"/>
    <mergeCell ref="S5:V5"/>
  </mergeCells>
  <conditionalFormatting sqref="Y13:Y63">
    <cfRule type="cellIs" dxfId="13" priority="6" operator="lessThan">
      <formula>75</formula>
    </cfRule>
  </conditionalFormatting>
  <conditionalFormatting sqref="Y66:Y116">
    <cfRule type="cellIs" dxfId="12" priority="3" operator="lessThan">
      <formula>75</formula>
    </cfRule>
  </conditionalFormatting>
  <conditionalFormatting sqref="Z13:Z116">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count="5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C66:C115 C13:C62"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3:B62 A63:C63 A116:C116"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printOptions horizontalCentered="1"/>
  <pageMargins left="0.7" right="0.7" top="0.75" bottom="0.75" header="0.3" footer="0.3"/>
  <pageSetup/>
  <drawing r:id="rId1"/>
</worksheet>
</file>

<file path=xl/worksheets/sheet4.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400-000000000000}">
  <sheetPr>
    <tabColor rgb="FFFF9933"/>
  </sheetPr>
  <dimension ref="A1:AX123"/>
  <sheetViews>
    <sheetView showGridLines="0" topLeftCell="A83" zoomScale="85" zoomScaleNormal="85" workbookViewId="0">
      <selection activeCell="A116" sqref="A116:XFD116"/>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42" t="s">
        <v>38</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c>
      <c r="AU13" s="42" t="e">
        <f>(S13/$S$10)*100</f>
      </c>
      <c r="AV13" s="42" t="e">
        <f>(T13/$T$10)*100</f>
      </c>
      <c r="AX13" s="6"/>
    </row>
    <row r="14" spans="1:50" ht="18" customHeight="1">
      <c r="A14" s="91"/>
      <c r="B14" s="191"/>
      <c r="C14" s="36">
        <f>INPUT!B12</f>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c>
      <c r="AU14" s="42" t="e">
        <f t="shared" ref="AU14:AU78" si="13">(S14/$S$10)*100</f>
      </c>
      <c r="AV14" s="42" t="e">
        <f t="shared" ref="AV14:AV78" si="14">(T14/$T$10)*100</f>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COUNTA(R13:R116)</f>
      </c>
      <c r="AD15" s="101">
        <f>COUNTA(S13:S116)</f>
      </c>
      <c r="AE15" s="101">
        <f>COUNTA(T13:T116)</f>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COUNTIF(AT13:AT116,"&gt;=75")</f>
      </c>
      <c r="AD19" s="106">
        <f>COUNTIF(AU13:AU116,"&gt;=75")</f>
      </c>
      <c r="AE19" s="106">
        <f>COUNTIF(AV13:AV116,"&gt;=75")</f>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IFERROR(AVERAGE(R13:R116),"")</f>
        <v/>
      </c>
      <c r="AD25" s="109" t="str">
        <f>IFERROR(AVERAGE(S13:S116),"")</f>
        <v/>
      </c>
      <c r="AE25" s="109" t="str">
        <f>IFERROR(AVERAGE(T13:T116),"")</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IFERROR(MEDIAN(R13:R116),"")</f>
        <v/>
      </c>
      <c r="AD26" s="109" t="str">
        <f>IFERROR(MEDIAN(S13:S116),"")</f>
        <v/>
      </c>
      <c r="AE26" s="109" t="str">
        <f>IFERROR(MEDIAN(T13:T116),"")</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IFERROR(_xlfn.STDEV.S(R13:R116),"")</f>
        <v/>
      </c>
      <c r="AD27" s="109" t="e">
        <f>_xlfn.STDEV.S(S13:S116)</f>
      </c>
      <c r="AE27" s="109" t="e">
        <f>_xlfn.STDEV.S(T13:T116)</f>
      </c>
      <c r="AR27" s="50"/>
      <c r="AT27" s="42" t="e">
        <f t="shared" si="12"/>
        <v>#DIV/0!</v>
      </c>
      <c r="AU27" s="42" t="e">
        <f t="shared" si="13"/>
        <v>#DIV/0!</v>
      </c>
      <c r="AV27" s="42" t="e">
        <f t="shared" si="14"/>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IF(COUNTA(R13:R116)=0,"",MAX(R13:R116))</f>
        <v/>
      </c>
      <c r="AD31" s="111" t="str">
        <f>IF(COUNTA(S13:S116)=0,"",MAX(S13:S116))</f>
        <v/>
      </c>
      <c r="AE31" s="111" t="str">
        <f>IF(COUNTA(T13:T116)=0,"",MAX(T13:T116))</f>
        <v/>
      </c>
      <c r="AR31" s="50"/>
      <c r="AT31" s="42" t="e">
        <f t="shared" si="12"/>
        <v>#DIV/0!</v>
      </c>
      <c r="AU31" s="42" t="e">
        <f t="shared" si="13"/>
        <v>#DIV/0!</v>
      </c>
      <c r="AV31" s="42" t="e">
        <f t="shared" si="14"/>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IF(COUNTA(R13:R116)=0,"",MIN(R13:R116))</f>
        <v/>
      </c>
      <c r="AD32" s="111" t="str">
        <f>IF(COUNTA(S13:S116)=0,"",MIN(S13:S116))</f>
        <v/>
      </c>
      <c r="AE32" s="111" t="str">
        <f>IF(COUNTA(T13:T116)=0,"",MIN(T13:T116))</f>
        <v/>
      </c>
      <c r="AR32" s="50"/>
      <c r="AT32" s="42" t="e">
        <f t="shared" si="12"/>
        <v>#DIV/0!</v>
      </c>
      <c r="AU32" s="42" t="e">
        <f t="shared" si="13"/>
        <v>#DIV/0!</v>
      </c>
      <c r="AV32" s="42" t="e">
        <f t="shared" si="14"/>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IF(COUNTA(R13:R116)=0,"",SUM(R13:R116))</f>
        <v/>
      </c>
      <c r="AD33" s="111" t="str">
        <f>IF(COUNTA(S13:S116)=0,"",SUM(S13:S116))</f>
        <v/>
      </c>
      <c r="AE33" s="111" t="str">
        <f>IF(COUNTA(T13:T116)=0,"",SUM(T13:T116))</f>
        <v/>
      </c>
      <c r="AR33" s="50"/>
      <c r="AT33" s="42" t="e">
        <f t="shared" si="12"/>
        <v>#DIV/0!</v>
      </c>
      <c r="AU33" s="42" t="e">
        <f t="shared" si="13"/>
        <v>#DIV/0!</v>
      </c>
      <c r="AV33" s="42" t="e">
        <f t="shared" si="14"/>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 t="shared" si="12"/>
        <v>#DIV/0!</v>
      </c>
      <c r="AU64" s="42" t="e">
        <f t="shared" si="13"/>
        <v>#DIV/0!</v>
      </c>
      <c r="AV64" s="42" t="e">
        <f t="shared" si="14"/>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254"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48"/>
      <c r="D115" s="113"/>
      <c r="E115" s="114"/>
      <c r="F115" s="114"/>
      <c r="G115" s="114"/>
      <c r="H115" s="114"/>
      <c r="I115" s="115"/>
      <c r="J115" s="116"/>
      <c r="K115" s="117"/>
      <c r="L115" s="113"/>
      <c r="M115" s="114"/>
      <c r="N115" s="114"/>
      <c r="O115" s="115"/>
      <c r="P115" s="116"/>
      <c r="Q115" s="117"/>
      <c r="R115" s="113"/>
      <c r="S115" s="114"/>
      <c r="T115" s="114"/>
      <c r="U115" s="115"/>
      <c r="V115" s="116"/>
      <c r="W115" s="117"/>
      <c r="X115" s="253"/>
      <c r="Y115" s="120"/>
      <c r="Z115" s="120"/>
      <c r="AC115" s="1"/>
      <c r="AE115" s="1"/>
      <c r="AF115" s="1"/>
      <c r="AG115" s="1"/>
      <c r="AH115" s="1"/>
      <c r="AI115" s="1"/>
      <c r="AJ115" s="1"/>
      <c r="AK115" s="1"/>
      <c r="AL115" s="1"/>
      <c r="AM115" s="1"/>
      <c r="AN115" s="1"/>
      <c r="AO115" s="1"/>
      <c r="AP115" s="1"/>
      <c r="AQ115" s="1"/>
      <c r="AR115" s="1"/>
      <c r="AS115" s="6"/>
      <c r="AT115" s="42"/>
      <c r="AU115" s="42"/>
      <c r="AV115" s="42"/>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49"/>
      <c r="AU123" s="49"/>
      <c r="AV123" s="49"/>
      <c r="AW123" s="49"/>
    </row>
  </sheetData>
  <autoFilter ref="B12:B114" xr:uid="{00000000-0009-0000-0000-000004000000}"/>
  <mergeCells count="28">
    <mergeCell ref="B64:C64"/>
    <mergeCell ref="B11:C11"/>
    <mergeCell ref="A7:C7"/>
    <mergeCell ref="X8:X10"/>
    <mergeCell ref="Y8:Y10"/>
    <mergeCell ref="A10:C10"/>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9" priority="5" operator="lessThan">
      <formula>75</formula>
    </cfRule>
  </conditionalFormatting>
  <conditionalFormatting sqref="Y66:Y114 Y116">
    <cfRule type="cellIs" dxfId="8" priority="8" operator="lessThan">
      <formula>75</formula>
    </cfRule>
  </conditionalFormatting>
  <conditionalFormatting sqref="Y115">
    <cfRule type="containsText" dxfId="7" priority="1" operator="containsText" text="Emerging">
      <formula>NOT(ISERROR(SEARCH("Emerging",Y115)))</formula>
    </cfRule>
    <cfRule type="containsText" dxfId="6" priority="2" operator="containsText" text="Developing">
      <formula>NOT(ISERROR(SEARCH("Developing",Y115)))</formula>
    </cfRule>
  </conditionalFormatting>
  <conditionalFormatting sqref="Z13:Z116">
    <cfRule type="containsText" dxfId="5" priority="3" operator="containsText" text="Emerging">
      <formula>NOT(ISERROR(SEARCH("Emerging",Z13)))</formula>
    </cfRule>
    <cfRule type="containsText" dxfId="4" priority="4" operator="containsText" text="Developing">
      <formula>NOT(ISERROR(SEARCH("Developing",Z13)))</formula>
    </cfRule>
  </conditionalFormatting>
  <dataValidations count="51">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13: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C66:C115 C13:C62"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printOptions horizontalCentered="1"/>
  <pageMargins left="0.7" right="0.7" top="0.75" bottom="0.75" header="0.3" footer="0.3"/>
  <pageSetup/>
  <drawing r:id="rId1"/>
</worksheet>
</file>

<file path=xl/worksheets/sheet5.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500-000000000000}">
  <sheetPr>
    <tabColor rgb="FFFF9933"/>
  </sheetPr>
  <dimension ref="A1:BH124"/>
  <sheetViews>
    <sheetView showGridLines="0" topLeftCell="A5" zoomScale="160" zoomScaleNormal="160" workbookViewId="0">
      <selection activeCell="A13" sqref="A13:XFD13"/>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50" customWidth="1"/>
    <col min="56" max="60" width="4.7109375" style="1" customWidth="1"/>
  </cols>
  <sheetData>
    <row r="1" spans="1:57" ht="15" customHeight="1">
      <c r="A1" s="335" t="s">
        <v>39</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131"/>
      <c r="AD1" s="131"/>
      <c r="AE1" s="131"/>
      <c r="AF1" s="131"/>
      <c r="AG1" s="131"/>
      <c r="AH1" s="131"/>
      <c r="AI1" s="131"/>
    </row>
    <row r="2" spans="1:57"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131"/>
      <c r="AD2" s="131"/>
      <c r="AE2" s="131"/>
      <c r="AF2" s="131"/>
      <c r="AG2" s="131"/>
      <c r="AH2" s="131"/>
      <c r="AI2" s="131"/>
    </row>
    <row r="3" spans="1:57" ht="15" customHeight="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131"/>
      <c r="AD3" s="131"/>
      <c r="AE3" s="131"/>
      <c r="AF3" s="131"/>
      <c r="AG3" s="131"/>
      <c r="AH3" s="131"/>
      <c r="AI3" s="131"/>
    </row>
    <row r="4" spans="1:57">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3"/>
      <c r="AD4" s="133"/>
      <c r="AE4" s="133"/>
      <c r="AF4" s="133"/>
      <c r="AG4" s="133"/>
      <c r="AH4" s="133"/>
      <c r="AI4" s="133"/>
    </row>
    <row r="5" spans="1:57" ht="21" customHeight="1">
      <c r="A5" s="49"/>
      <c r="B5" s="406" t="s">
        <v>2</v>
      </c>
      <c r="C5" s="281"/>
      <c r="D5" s="281"/>
      <c r="E5" s="281"/>
      <c r="F5" s="381"/>
      <c r="G5" s="407">
        <f>INPUT!G4</f>
      </c>
      <c r="H5" s="277"/>
      <c r="I5" s="277"/>
      <c r="J5" s="278"/>
      <c r="K5" s="134"/>
      <c r="L5" s="408" t="s">
        <v>3</v>
      </c>
      <c r="M5" s="409"/>
      <c r="N5" s="410"/>
      <c r="O5" s="407" t="str">
        <f>INPUT!L4</f>
      </c>
      <c r="P5" s="277"/>
      <c r="Q5" s="277"/>
      <c r="R5" s="278"/>
      <c r="S5" s="411"/>
      <c r="T5" s="281"/>
      <c r="U5" s="281"/>
      <c r="V5" s="281"/>
      <c r="W5" s="412"/>
      <c r="X5" s="281"/>
      <c r="Y5" s="281"/>
      <c r="Z5" s="281"/>
      <c r="AA5" s="281"/>
      <c r="AB5" s="281"/>
      <c r="AD5" s="1"/>
      <c r="AE5" s="12"/>
      <c r="AF5" s="12"/>
      <c r="AG5" s="12"/>
      <c r="AH5" s="12"/>
      <c r="AI5" s="12"/>
      <c r="AJ5" s="12"/>
      <c r="AK5" s="12"/>
      <c r="AL5" s="12"/>
      <c r="AM5" s="12"/>
    </row>
    <row r="6" spans="1:57" ht="21" customHeight="1">
      <c r="A6" s="49"/>
      <c r="B6" s="413" t="s">
        <v>5</v>
      </c>
      <c r="C6" s="281"/>
      <c r="D6" s="281"/>
      <c r="E6" s="281"/>
      <c r="F6" s="281"/>
      <c r="G6" s="414" t="str">
        <f>INPUT!G5</f>
      </c>
      <c r="H6" s="277"/>
      <c r="I6" s="277"/>
      <c r="J6" s="277"/>
      <c r="K6" s="277"/>
      <c r="L6" s="277"/>
      <c r="M6" s="277"/>
      <c r="N6" s="277"/>
      <c r="O6" s="277"/>
      <c r="P6" s="277"/>
      <c r="Q6" s="277"/>
      <c r="R6" s="278"/>
      <c r="S6" s="411" t="s">
        <v>6</v>
      </c>
      <c r="T6" s="281"/>
      <c r="U6" s="281"/>
      <c r="V6" s="281"/>
      <c r="W6" s="414">
        <f>INPUT!S5</f>
      </c>
      <c r="X6" s="277"/>
      <c r="Y6" s="277"/>
      <c r="Z6" s="277"/>
      <c r="AA6" s="277"/>
      <c r="AB6" s="278"/>
      <c r="AC6" s="135"/>
      <c r="AD6" s="135"/>
      <c r="AE6" s="135"/>
      <c r="AF6" s="136"/>
      <c r="AG6" s="136"/>
      <c r="AH6" s="136"/>
      <c r="AI6" s="137"/>
      <c r="AJ6" s="12"/>
      <c r="AK6" s="12"/>
      <c r="AL6" s="12"/>
      <c r="AM6" s="12"/>
    </row>
    <row r="7" spans="1:57" ht="14.65" customHeight="1" thickBot="1">
      <c r="A7" s="49"/>
      <c r="B7" s="49"/>
      <c r="C7" s="49"/>
      <c r="D7" s="49"/>
      <c r="E7" s="49"/>
      <c r="F7" s="49"/>
      <c r="G7" s="49"/>
      <c r="H7" s="49"/>
      <c r="I7" s="49"/>
      <c r="J7" s="49"/>
      <c r="K7" s="49"/>
      <c r="L7" s="49"/>
      <c r="M7" s="49"/>
      <c r="N7" s="49"/>
      <c r="O7" s="49"/>
      <c r="P7" s="49"/>
      <c r="Q7" s="138"/>
      <c r="R7" s="138"/>
      <c r="S7" s="49"/>
      <c r="T7" s="49"/>
      <c r="U7" s="49"/>
      <c r="V7" s="49"/>
      <c r="W7" s="49"/>
      <c r="X7" s="49"/>
      <c r="Y7" s="49"/>
      <c r="Z7" s="49"/>
      <c r="AA7" s="49"/>
      <c r="AB7" s="49"/>
    </row>
    <row r="8" spans="1:57" ht="21.75" customHeight="1" thickBot="1">
      <c r="A8" s="387"/>
      <c r="B8" s="390" t="s">
        <v>11</v>
      </c>
      <c r="C8" s="391"/>
      <c r="D8" s="391"/>
      <c r="E8" s="392"/>
      <c r="F8" s="395" t="s">
        <v>8</v>
      </c>
      <c r="G8" s="396"/>
      <c r="H8" s="396"/>
      <c r="I8" s="396"/>
      <c r="J8" s="396"/>
      <c r="K8" s="397" t="str">
        <f>INPUT!J7</f>
      </c>
      <c r="L8" s="396"/>
      <c r="M8" s="396"/>
      <c r="N8" s="396"/>
      <c r="O8" s="396"/>
      <c r="P8" s="396"/>
      <c r="Q8" s="396"/>
      <c r="R8" s="303"/>
      <c r="S8" s="398" t="s">
        <v>40</v>
      </c>
      <c r="T8" s="396"/>
      <c r="U8" s="396"/>
      <c r="V8" s="396"/>
      <c r="W8" s="397" t="str">
        <f>INPUT!Y5</f>
      </c>
      <c r="X8" s="396"/>
      <c r="Y8" s="396"/>
      <c r="Z8" s="396"/>
      <c r="AA8" s="396"/>
      <c r="AB8" s="303"/>
      <c r="AC8" s="63"/>
      <c r="AD8" s="63"/>
      <c r="AE8" s="63"/>
      <c r="AF8" s="20"/>
      <c r="AG8" s="20"/>
      <c r="AH8" s="20"/>
      <c r="AI8" s="20"/>
    </row>
    <row r="9" spans="1:57" s="4" customFormat="1" ht="21" customHeight="1" thickBot="1">
      <c r="A9" s="388"/>
      <c r="B9" s="281"/>
      <c r="C9" s="281"/>
      <c r="D9" s="281"/>
      <c r="E9" s="384"/>
      <c r="F9" s="398" t="s">
        <v>9</v>
      </c>
      <c r="G9" s="396"/>
      <c r="H9" s="396"/>
      <c r="I9" s="396"/>
      <c r="J9" s="396"/>
      <c r="K9" s="399" t="str">
        <f>INPUT!Q7</f>
      </c>
      <c r="L9" s="391"/>
      <c r="M9" s="391"/>
      <c r="N9" s="391"/>
      <c r="O9" s="391"/>
      <c r="P9" s="391"/>
      <c r="Q9" s="391"/>
      <c r="R9" s="392"/>
      <c r="S9" s="398" t="s">
        <v>10</v>
      </c>
      <c r="T9" s="396"/>
      <c r="U9" s="396"/>
      <c r="V9" s="396"/>
      <c r="W9" s="400" t="str">
        <f>INPUT!Y7</f>
      </c>
      <c r="X9" s="401"/>
      <c r="Y9" s="401"/>
      <c r="Z9" s="401"/>
      <c r="AA9" s="401"/>
      <c r="AB9" s="402"/>
      <c r="AC9" s="21"/>
      <c r="AD9" s="21"/>
      <c r="AE9" s="139"/>
      <c r="AF9" s="21"/>
      <c r="AG9" s="21"/>
      <c r="AH9" s="140"/>
      <c r="AI9" s="141"/>
    </row>
    <row r="10" spans="1:57" s="4" customFormat="1" ht="15.6" customHeight="1" thickBot="1">
      <c r="A10" s="388"/>
      <c r="B10" s="281"/>
      <c r="C10" s="281"/>
      <c r="D10" s="281"/>
      <c r="E10" s="384"/>
      <c r="F10" s="403" t="s">
        <v>15</v>
      </c>
      <c r="G10" s="391"/>
      <c r="H10" s="391"/>
      <c r="I10" s="392"/>
      <c r="J10" s="403" t="s">
        <v>36</v>
      </c>
      <c r="K10" s="391"/>
      <c r="L10" s="391"/>
      <c r="M10" s="392"/>
      <c r="N10" s="403" t="s">
        <v>38</v>
      </c>
      <c r="O10" s="391"/>
      <c r="P10" s="391"/>
      <c r="Q10" s="392"/>
      <c r="R10" s="403" t="s">
        <v>41</v>
      </c>
      <c r="S10" s="391"/>
      <c r="T10" s="391"/>
      <c r="U10" s="392"/>
      <c r="V10" s="403" t="s">
        <v>17</v>
      </c>
      <c r="W10" s="391"/>
      <c r="X10" s="391"/>
      <c r="Y10" s="392"/>
      <c r="Z10" s="405" t="s">
        <v>42</v>
      </c>
      <c r="AA10" s="391"/>
      <c r="AB10" s="392"/>
      <c r="AC10" s="3"/>
      <c r="AD10" s="142"/>
      <c r="AF10" s="3"/>
      <c r="AG10" s="142"/>
      <c r="AH10" s="143"/>
      <c r="AI10" s="143"/>
      <c r="AM10" s="50"/>
      <c r="AN10" s="50"/>
      <c r="AO10" s="50"/>
      <c r="AP10" s="50"/>
      <c r="AQ10" s="50"/>
      <c r="AR10" s="50"/>
      <c r="AS10" s="50"/>
      <c r="AT10" s="50"/>
      <c r="AU10" s="50"/>
      <c r="AV10" s="50"/>
      <c r="AW10" s="50"/>
      <c r="AX10" s="50"/>
      <c r="AY10" s="50"/>
      <c r="AZ10" s="50"/>
      <c r="BA10" s="50"/>
      <c r="BB10" s="50"/>
      <c r="BC10" s="50"/>
      <c r="BD10" s="50"/>
      <c r="BE10" s="50"/>
    </row>
    <row r="11" spans="1:57" s="23" customFormat="1" ht="15" customHeight="1" thickBot="1">
      <c r="A11" s="389"/>
      <c r="B11" s="393"/>
      <c r="C11" s="393"/>
      <c r="D11" s="393"/>
      <c r="E11" s="394"/>
      <c r="F11" s="404"/>
      <c r="G11" s="393"/>
      <c r="H11" s="393"/>
      <c r="I11" s="394"/>
      <c r="J11" s="404"/>
      <c r="K11" s="393"/>
      <c r="L11" s="393"/>
      <c r="M11" s="394"/>
      <c r="N11" s="404"/>
      <c r="O11" s="393"/>
      <c r="P11" s="393"/>
      <c r="Q11" s="394"/>
      <c r="R11" s="404"/>
      <c r="S11" s="393"/>
      <c r="T11" s="393"/>
      <c r="U11" s="394"/>
      <c r="V11" s="404"/>
      <c r="W11" s="393"/>
      <c r="X11" s="393"/>
      <c r="Y11" s="394"/>
      <c r="Z11" s="404"/>
      <c r="AA11" s="393"/>
      <c r="AB11" s="394"/>
      <c r="AC11" s="3"/>
      <c r="AD11" s="3"/>
      <c r="AE11" s="144"/>
      <c r="AF11" s="3"/>
      <c r="AG11" s="3"/>
      <c r="AH11" s="3"/>
      <c r="AI11" s="145"/>
      <c r="AM11" s="50"/>
      <c r="AN11" s="50"/>
      <c r="AO11" s="50"/>
      <c r="AP11" s="50"/>
      <c r="AQ11" s="50"/>
      <c r="AR11" s="50"/>
      <c r="AS11" s="50"/>
      <c r="AT11" s="50"/>
      <c r="AU11" s="50"/>
      <c r="AV11" s="50"/>
      <c r="AW11" s="50"/>
      <c r="AX11" s="50"/>
      <c r="AY11" s="50"/>
      <c r="AZ11" s="50"/>
      <c r="BA11" s="50"/>
      <c r="BB11" s="50"/>
      <c r="BC11" s="50"/>
      <c r="BD11" s="50"/>
      <c r="BE11" s="50"/>
    </row>
    <row r="12" spans="1:57" s="23" customFormat="1" ht="18" customHeight="1" thickBot="1">
      <c r="A12" s="146"/>
      <c r="B12" s="151" t="s">
        <v>13</v>
      </c>
      <c r="C12" s="147"/>
      <c r="D12" s="147"/>
      <c r="E12" s="147"/>
      <c r="F12" s="385"/>
      <c r="G12" s="281"/>
      <c r="H12" s="281"/>
      <c r="I12" s="384"/>
      <c r="J12" s="385"/>
      <c r="K12" s="281"/>
      <c r="L12" s="281"/>
      <c r="M12" s="384"/>
      <c r="N12" s="385"/>
      <c r="O12" s="281"/>
      <c r="P12" s="281"/>
      <c r="Q12" s="384"/>
      <c r="R12" s="385"/>
      <c r="S12" s="281"/>
      <c r="T12" s="281"/>
      <c r="U12" s="384"/>
      <c r="V12" s="385"/>
      <c r="W12" s="281"/>
      <c r="X12" s="281"/>
      <c r="Y12" s="384"/>
      <c r="Z12" s="385"/>
      <c r="AA12" s="281"/>
      <c r="AB12" s="384"/>
      <c r="AC12" s="3"/>
      <c r="AD12" s="3"/>
      <c r="AE12" s="144"/>
      <c r="AF12" s="3"/>
      <c r="AG12" s="3"/>
      <c r="AH12" s="3"/>
      <c r="AI12" s="145"/>
      <c r="AM12" s="50"/>
      <c r="AN12" s="50"/>
      <c r="AO12" s="50"/>
      <c r="AP12" s="50"/>
      <c r="AQ12" s="50"/>
      <c r="AR12" s="50"/>
      <c r="AS12" s="50"/>
      <c r="AT12" s="50"/>
      <c r="AU12" s="50"/>
      <c r="AV12" s="50"/>
      <c r="AW12" s="50"/>
      <c r="AX12" s="50"/>
      <c r="AY12" s="50"/>
      <c r="AZ12" s="50"/>
      <c r="BA12" s="50"/>
      <c r="BB12" s="50"/>
      <c r="BC12" s="50"/>
      <c r="BD12" s="50"/>
      <c r="BE12" s="50"/>
    </row>
    <row r="13" spans="1:57" s="23" customFormat="1" ht="18" hidden="1" customHeight="1" thickBot="1">
      <c r="A13" s="220" t="s">
        <v>129</v>
      </c>
      <c r="B13" s="415" t="s">
        <v>131</v>
      </c>
      <c r="C13" s="416"/>
      <c r="D13" s="417"/>
      <c r="E13" s="217"/>
      <c r="F13" s="418"/>
      <c r="G13" s="419"/>
      <c r="H13" s="419"/>
      <c r="I13" s="420"/>
      <c r="J13" s="418"/>
      <c r="K13" s="419"/>
      <c r="L13" s="419"/>
      <c r="M13" s="420"/>
      <c r="N13" s="418"/>
      <c r="O13" s="419"/>
      <c r="P13" s="419"/>
      <c r="Q13" s="420"/>
      <c r="R13" s="418" t="s">
        <v>144</v>
      </c>
      <c r="S13" s="419"/>
      <c r="T13" s="419"/>
      <c r="U13" s="420"/>
      <c r="V13" s="418"/>
      <c r="W13" s="419"/>
      <c r="X13" s="419"/>
      <c r="Y13" s="420"/>
      <c r="Z13" s="418"/>
      <c r="AA13" s="419"/>
      <c r="AB13" s="419"/>
      <c r="AC13" s="3"/>
      <c r="AD13" s="3"/>
      <c r="AE13" s="144"/>
      <c r="AF13" s="3"/>
      <c r="AG13" s="3"/>
      <c r="AH13" s="3"/>
      <c r="AI13" s="145"/>
      <c r="AM13" s="50"/>
      <c r="AN13" s="50"/>
      <c r="AO13" s="50"/>
      <c r="AP13" s="50"/>
      <c r="AQ13" s="50"/>
      <c r="AR13" s="50"/>
      <c r="AS13" s="50"/>
      <c r="AT13" s="50"/>
      <c r="AU13" s="50"/>
      <c r="AV13" s="50"/>
      <c r="AW13" s="50"/>
      <c r="AX13" s="50"/>
      <c r="AY13" s="50"/>
      <c r="AZ13" s="50"/>
      <c r="BA13" s="50"/>
      <c r="BB13" s="50"/>
      <c r="BC13" s="50"/>
      <c r="BD13" s="50"/>
      <c r="BE13" s="50"/>
    </row>
    <row r="14" spans="1:57" ht="18" customHeight="1">
      <c r="A14" s="223"/>
      <c r="B14" s="221"/>
      <c r="C14" s="148"/>
      <c r="D14" s="148"/>
      <c r="E14" s="148"/>
      <c r="F14" s="373" t="str">
        <f>TERM1!Y13</f>
        <v/>
      </c>
      <c r="G14" s="292"/>
      <c r="H14" s="292"/>
      <c r="I14" s="294"/>
      <c r="J14" s="373" t="str">
        <f>TERM2!Y13</f>
        <v/>
      </c>
      <c r="K14" s="292"/>
      <c r="L14" s="292"/>
      <c r="M14" s="294"/>
      <c r="N14" s="386" t="str">
        <f>TERM3!Y13</f>
        <v/>
      </c>
      <c r="O14" s="292"/>
      <c r="P14" s="292"/>
      <c r="Q14" s="294"/>
      <c r="R14" s="374" t="str">
        <f t="shared" ref="R14:R79" si="0">IF(OR(F14="",J14="",N14=""),"",IF(ISERROR(ROUND(AVERAGE(F14,J14,N14),0)),"",ROUND(AVERAGE(F14,J14,N14),0)))</f>
        <v/>
      </c>
      <c r="S14" s="375"/>
      <c r="T14" s="375"/>
      <c r="U14" s="376"/>
      <c r="V14" s="373" t="str">
        <f t="shared" ref="V14:V63" si="1">IF(ISERROR(IF(R14="","",VLOOKUP(R14,DESCRIPTORS,4,TRUE))),"",IF(R14="","",VLOOKUP(R14,DESCRIPTORS,4,TRUE)))</f>
        <v/>
      </c>
      <c r="W14" s="375"/>
      <c r="X14" s="375"/>
      <c r="Y14" s="376"/>
      <c r="Z14" s="377" t="str">
        <f t="shared" ref="Z14:Z63" si="2">IF(OR($F14="",$J14="",$N14="",$R14=""),"",IF($R14&gt;=75,"PASSED","FAILED"))</f>
        <v/>
      </c>
      <c r="AA14" s="375"/>
      <c r="AB14" s="378"/>
      <c r="AI14" s="145"/>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224"/>
      <c r="B15" s="153">
        <f>INPUT!B12</f>
      </c>
      <c r="C15" s="149"/>
      <c r="D15" s="149"/>
      <c r="E15" s="149"/>
      <c r="F15" s="360" t="str">
        <f>TERM1!Y14</f>
        <v/>
      </c>
      <c r="G15" s="298"/>
      <c r="H15" s="298"/>
      <c r="I15" s="299"/>
      <c r="J15" s="360" t="str">
        <f>TERM2!Y14</f>
        <v/>
      </c>
      <c r="K15" s="298"/>
      <c r="L15" s="298"/>
      <c r="M15" s="299"/>
      <c r="N15" s="322" t="str">
        <f>TERM3!Y14</f>
        <v/>
      </c>
      <c r="O15" s="298"/>
      <c r="P15" s="298"/>
      <c r="Q15" s="299"/>
      <c r="R15" s="361" t="str">
        <f t="shared" si="0"/>
        <v/>
      </c>
      <c r="S15" s="277"/>
      <c r="T15" s="277"/>
      <c r="U15" s="278"/>
      <c r="V15" s="360" t="str">
        <f t="shared" si="1"/>
        <v/>
      </c>
      <c r="W15" s="277"/>
      <c r="X15" s="277"/>
      <c r="Y15" s="278"/>
      <c r="Z15" s="362" t="str">
        <f t="shared" si="2"/>
        <v/>
      </c>
      <c r="AA15" s="277"/>
      <c r="AB15" s="363"/>
      <c r="AI15" s="145"/>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224"/>
      <c r="B16" s="153">
        <f>INPUT!B13</f>
      </c>
      <c r="C16" s="149"/>
      <c r="D16" s="149"/>
      <c r="E16" s="149"/>
      <c r="F16" s="360" t="str">
        <f>TERM1!Y15</f>
        <v/>
      </c>
      <c r="G16" s="298"/>
      <c r="H16" s="298"/>
      <c r="I16" s="299"/>
      <c r="J16" s="360" t="str">
        <f>TERM2!Y15</f>
        <v/>
      </c>
      <c r="K16" s="298"/>
      <c r="L16" s="298"/>
      <c r="M16" s="299"/>
      <c r="N16" s="322" t="str">
        <f>TERM3!Y15</f>
        <v/>
      </c>
      <c r="O16" s="298"/>
      <c r="P16" s="298"/>
      <c r="Q16" s="299"/>
      <c r="R16" s="361" t="str">
        <f t="shared" si="0"/>
        <v/>
      </c>
      <c r="S16" s="277"/>
      <c r="T16" s="277"/>
      <c r="U16" s="278"/>
      <c r="V16" s="360" t="str">
        <f t="shared" si="1"/>
        <v/>
      </c>
      <c r="W16" s="277"/>
      <c r="X16" s="277"/>
      <c r="Y16" s="278"/>
      <c r="Z16" s="362" t="str">
        <f t="shared" si="2"/>
        <v/>
      </c>
      <c r="AA16" s="277"/>
      <c r="AB16" s="363"/>
      <c r="AI16" s="145"/>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224"/>
      <c r="B17" s="153">
        <f>INPUT!B14</f>
      </c>
      <c r="C17" s="149"/>
      <c r="D17" s="149"/>
      <c r="E17" s="149"/>
      <c r="F17" s="360" t="str">
        <f>TERM1!Y16</f>
        <v/>
      </c>
      <c r="G17" s="298"/>
      <c r="H17" s="298"/>
      <c r="I17" s="299"/>
      <c r="J17" s="360" t="str">
        <f>TERM2!Y16</f>
        <v/>
      </c>
      <c r="K17" s="298"/>
      <c r="L17" s="298"/>
      <c r="M17" s="299"/>
      <c r="N17" s="322" t="str">
        <f>TERM3!Y16</f>
        <v/>
      </c>
      <c r="O17" s="298"/>
      <c r="P17" s="298"/>
      <c r="Q17" s="299"/>
      <c r="R17" s="361" t="str">
        <f t="shared" si="0"/>
        <v/>
      </c>
      <c r="S17" s="277"/>
      <c r="T17" s="277"/>
      <c r="U17" s="278"/>
      <c r="V17" s="360" t="str">
        <f t="shared" si="1"/>
        <v/>
      </c>
      <c r="W17" s="277"/>
      <c r="X17" s="277"/>
      <c r="Y17" s="278"/>
      <c r="Z17" s="362" t="str">
        <f t="shared" si="2"/>
        <v/>
      </c>
      <c r="AA17" s="277"/>
      <c r="AB17" s="363"/>
      <c r="AI17" s="145"/>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224"/>
      <c r="B18" s="153">
        <f>INPUT!B15</f>
      </c>
      <c r="C18" s="149"/>
      <c r="D18" s="149"/>
      <c r="E18" s="149"/>
      <c r="F18" s="360" t="str">
        <f>TERM1!Y17</f>
        <v/>
      </c>
      <c r="G18" s="298"/>
      <c r="H18" s="298"/>
      <c r="I18" s="299"/>
      <c r="J18" s="360" t="str">
        <f>TERM2!Y17</f>
        <v/>
      </c>
      <c r="K18" s="298"/>
      <c r="L18" s="298"/>
      <c r="M18" s="299"/>
      <c r="N18" s="322" t="str">
        <f>TERM3!Y17</f>
        <v/>
      </c>
      <c r="O18" s="298"/>
      <c r="P18" s="298"/>
      <c r="Q18" s="299"/>
      <c r="R18" s="361" t="str">
        <f t="shared" si="0"/>
        <v/>
      </c>
      <c r="S18" s="277"/>
      <c r="T18" s="277"/>
      <c r="U18" s="278"/>
      <c r="V18" s="360" t="str">
        <f t="shared" si="1"/>
        <v/>
      </c>
      <c r="W18" s="277"/>
      <c r="X18" s="277"/>
      <c r="Y18" s="278"/>
      <c r="Z18" s="362" t="str">
        <f t="shared" si="2"/>
        <v/>
      </c>
      <c r="AA18" s="277"/>
      <c r="AB18" s="363"/>
      <c r="AI18" s="145"/>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224"/>
      <c r="B19" s="153">
        <f>INPUT!B16</f>
      </c>
      <c r="C19" s="149"/>
      <c r="D19" s="149"/>
      <c r="E19" s="149"/>
      <c r="F19" s="360" t="str">
        <f>TERM1!Y18</f>
        <v/>
      </c>
      <c r="G19" s="298"/>
      <c r="H19" s="298"/>
      <c r="I19" s="299"/>
      <c r="J19" s="360" t="str">
        <f>TERM2!Y18</f>
        <v/>
      </c>
      <c r="K19" s="298"/>
      <c r="L19" s="298"/>
      <c r="M19" s="299"/>
      <c r="N19" s="322" t="str">
        <f>TERM3!Y18</f>
        <v/>
      </c>
      <c r="O19" s="298"/>
      <c r="P19" s="298"/>
      <c r="Q19" s="299"/>
      <c r="R19" s="361" t="str">
        <f t="shared" si="0"/>
        <v/>
      </c>
      <c r="S19" s="277"/>
      <c r="T19" s="277"/>
      <c r="U19" s="278"/>
      <c r="V19" s="360" t="str">
        <f t="shared" si="1"/>
        <v/>
      </c>
      <c r="W19" s="277"/>
      <c r="X19" s="277"/>
      <c r="Y19" s="278"/>
      <c r="Z19" s="362" t="str">
        <f t="shared" si="2"/>
        <v/>
      </c>
      <c r="AA19" s="277"/>
      <c r="AB19" s="363"/>
      <c r="AI19" s="145"/>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224"/>
      <c r="B20" s="153">
        <f>INPUT!B17</f>
      </c>
      <c r="C20" s="149"/>
      <c r="D20" s="149"/>
      <c r="E20" s="149"/>
      <c r="F20" s="360" t="str">
        <f>TERM1!Y19</f>
        <v/>
      </c>
      <c r="G20" s="298"/>
      <c r="H20" s="298"/>
      <c r="I20" s="299"/>
      <c r="J20" s="360" t="str">
        <f>TERM2!Y19</f>
        <v/>
      </c>
      <c r="K20" s="298"/>
      <c r="L20" s="298"/>
      <c r="M20" s="299"/>
      <c r="N20" s="322" t="str">
        <f>TERM3!Y19</f>
        <v/>
      </c>
      <c r="O20" s="298"/>
      <c r="P20" s="298"/>
      <c r="Q20" s="299"/>
      <c r="R20" s="361" t="str">
        <f t="shared" si="0"/>
        <v/>
      </c>
      <c r="S20" s="277"/>
      <c r="T20" s="277"/>
      <c r="U20" s="278"/>
      <c r="V20" s="360" t="str">
        <f t="shared" si="1"/>
        <v/>
      </c>
      <c r="W20" s="277"/>
      <c r="X20" s="277"/>
      <c r="Y20" s="278"/>
      <c r="Z20" s="362" t="str">
        <f t="shared" si="2"/>
        <v/>
      </c>
      <c r="AA20" s="277"/>
      <c r="AB20" s="363"/>
      <c r="AI20" s="145"/>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224"/>
      <c r="B21" s="153">
        <f>INPUT!B18</f>
      </c>
      <c r="C21" s="149"/>
      <c r="D21" s="149">
        <v>0</v>
      </c>
      <c r="E21" s="149"/>
      <c r="F21" s="360" t="str">
        <f>TERM1!Y20</f>
        <v/>
      </c>
      <c r="G21" s="298"/>
      <c r="H21" s="298"/>
      <c r="I21" s="299"/>
      <c r="J21" s="360" t="str">
        <f>TERM2!Y20</f>
        <v/>
      </c>
      <c r="K21" s="298"/>
      <c r="L21" s="298"/>
      <c r="M21" s="299"/>
      <c r="N21" s="322" t="str">
        <f>TERM3!Y20</f>
        <v/>
      </c>
      <c r="O21" s="298"/>
      <c r="P21" s="298"/>
      <c r="Q21" s="299"/>
      <c r="R21" s="361" t="str">
        <f t="shared" si="0"/>
        <v/>
      </c>
      <c r="S21" s="277"/>
      <c r="T21" s="277"/>
      <c r="U21" s="278"/>
      <c r="V21" s="360" t="str">
        <f t="shared" si="1"/>
        <v/>
      </c>
      <c r="W21" s="277"/>
      <c r="X21" s="277"/>
      <c r="Y21" s="278"/>
      <c r="Z21" s="362" t="str">
        <f t="shared" si="2"/>
        <v/>
      </c>
      <c r="AA21" s="277"/>
      <c r="AB21" s="363"/>
      <c r="AI21" s="145"/>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224"/>
      <c r="B22" s="153">
        <f>INPUT!B19</f>
      </c>
      <c r="C22" s="149"/>
      <c r="D22" s="149"/>
      <c r="E22" s="149"/>
      <c r="F22" s="360" t="str">
        <f>TERM1!Y21</f>
        <v/>
      </c>
      <c r="G22" s="298"/>
      <c r="H22" s="298"/>
      <c r="I22" s="299"/>
      <c r="J22" s="360" t="str">
        <f>TERM2!Y21</f>
        <v/>
      </c>
      <c r="K22" s="298"/>
      <c r="L22" s="298"/>
      <c r="M22" s="299"/>
      <c r="N22" s="322" t="str">
        <f>TERM3!Y21</f>
        <v/>
      </c>
      <c r="O22" s="298"/>
      <c r="P22" s="298"/>
      <c r="Q22" s="299"/>
      <c r="R22" s="361" t="str">
        <f t="shared" si="0"/>
        <v/>
      </c>
      <c r="S22" s="277"/>
      <c r="T22" s="277"/>
      <c r="U22" s="278"/>
      <c r="V22" s="360" t="str">
        <f t="shared" si="1"/>
        <v/>
      </c>
      <c r="W22" s="277"/>
      <c r="X22" s="277"/>
      <c r="Y22" s="278"/>
      <c r="Z22" s="362" t="str">
        <f t="shared" si="2"/>
        <v/>
      </c>
      <c r="AA22" s="277"/>
      <c r="AB22" s="363"/>
      <c r="AI22" s="145"/>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224"/>
      <c r="B23" s="153">
        <f>INPUT!B20</f>
      </c>
      <c r="C23" s="149"/>
      <c r="D23" s="149"/>
      <c r="E23" s="149"/>
      <c r="F23" s="360" t="str">
        <f>TERM1!Y22</f>
        <v/>
      </c>
      <c r="G23" s="298"/>
      <c r="H23" s="298"/>
      <c r="I23" s="299"/>
      <c r="J23" s="360" t="str">
        <f>TERM2!Y22</f>
        <v/>
      </c>
      <c r="K23" s="298"/>
      <c r="L23" s="298"/>
      <c r="M23" s="299"/>
      <c r="N23" s="322" t="str">
        <f>TERM3!Y22</f>
        <v/>
      </c>
      <c r="O23" s="298"/>
      <c r="P23" s="298"/>
      <c r="Q23" s="299"/>
      <c r="R23" s="361" t="str">
        <f t="shared" si="0"/>
        <v/>
      </c>
      <c r="S23" s="277"/>
      <c r="T23" s="277"/>
      <c r="U23" s="278"/>
      <c r="V23" s="360" t="str">
        <f t="shared" si="1"/>
        <v/>
      </c>
      <c r="W23" s="277"/>
      <c r="X23" s="277"/>
      <c r="Y23" s="278"/>
      <c r="Z23" s="362" t="str">
        <f t="shared" si="2"/>
        <v/>
      </c>
      <c r="AA23" s="277"/>
      <c r="AB23" s="363"/>
      <c r="AI23" s="145"/>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224"/>
      <c r="B24" s="153">
        <f>INPUT!B21</f>
      </c>
      <c r="C24" s="149"/>
      <c r="D24" s="149">
        <v>0</v>
      </c>
      <c r="E24" s="149"/>
      <c r="F24" s="360" t="str">
        <f>TERM1!Y23</f>
        <v/>
      </c>
      <c r="G24" s="298"/>
      <c r="H24" s="298"/>
      <c r="I24" s="299"/>
      <c r="J24" s="360" t="str">
        <f>TERM2!Y23</f>
        <v/>
      </c>
      <c r="K24" s="298"/>
      <c r="L24" s="298"/>
      <c r="M24" s="299"/>
      <c r="N24" s="322" t="str">
        <f>TERM3!Y23</f>
        <v/>
      </c>
      <c r="O24" s="298"/>
      <c r="P24" s="298"/>
      <c r="Q24" s="299"/>
      <c r="R24" s="361" t="str">
        <f t="shared" si="0"/>
        <v/>
      </c>
      <c r="S24" s="277"/>
      <c r="T24" s="277"/>
      <c r="U24" s="278"/>
      <c r="V24" s="360" t="str">
        <f t="shared" si="1"/>
        <v/>
      </c>
      <c r="W24" s="277"/>
      <c r="X24" s="277"/>
      <c r="Y24" s="278"/>
      <c r="Z24" s="362" t="str">
        <f t="shared" si="2"/>
        <v/>
      </c>
      <c r="AA24" s="277"/>
      <c r="AB24" s="363"/>
      <c r="AI24" s="145"/>
      <c r="AK24" s="2"/>
      <c r="BD24" s="50"/>
      <c r="BE24" s="50"/>
    </row>
    <row r="25" spans="1:57" ht="18" customHeight="1">
      <c r="A25" s="224"/>
      <c r="B25" s="153">
        <f>INPUT!B22</f>
      </c>
      <c r="C25" s="149"/>
      <c r="D25" s="149"/>
      <c r="E25" s="149"/>
      <c r="F25" s="360" t="str">
        <f>TERM1!Y24</f>
        <v/>
      </c>
      <c r="G25" s="298"/>
      <c r="H25" s="298"/>
      <c r="I25" s="299"/>
      <c r="J25" s="360" t="str">
        <f>TERM2!Y24</f>
        <v/>
      </c>
      <c r="K25" s="298"/>
      <c r="L25" s="298"/>
      <c r="M25" s="299"/>
      <c r="N25" s="322" t="str">
        <f>TERM3!Y24</f>
        <v/>
      </c>
      <c r="O25" s="298"/>
      <c r="P25" s="298"/>
      <c r="Q25" s="299"/>
      <c r="R25" s="361" t="str">
        <f t="shared" si="0"/>
        <v/>
      </c>
      <c r="S25" s="277"/>
      <c r="T25" s="277"/>
      <c r="U25" s="278"/>
      <c r="V25" s="360" t="str">
        <f t="shared" si="1"/>
        <v/>
      </c>
      <c r="W25" s="277"/>
      <c r="X25" s="277"/>
      <c r="Y25" s="278"/>
      <c r="Z25" s="362" t="str">
        <f t="shared" si="2"/>
        <v/>
      </c>
      <c r="AA25" s="277"/>
      <c r="AB25" s="363"/>
      <c r="AI25" s="145"/>
      <c r="AK25" s="2"/>
      <c r="AM25" s="108"/>
      <c r="AN25" s="108"/>
      <c r="AO25" s="108"/>
      <c r="AP25" s="108"/>
      <c r="AQ25" s="108"/>
      <c r="AR25" s="108"/>
      <c r="AS25" s="108"/>
      <c r="AT25" s="108"/>
      <c r="AU25" s="108"/>
      <c r="AV25" s="108"/>
      <c r="AW25" s="108"/>
      <c r="AX25" s="108"/>
      <c r="AY25" s="108"/>
      <c r="AZ25" s="108"/>
      <c r="BA25" s="108"/>
      <c r="BB25" s="108"/>
      <c r="BC25" s="108"/>
      <c r="BD25" s="108"/>
      <c r="BE25" s="108"/>
    </row>
    <row r="26" spans="1:57" ht="18" customHeight="1">
      <c r="A26" s="224"/>
      <c r="B26" s="153">
        <f>INPUT!B23</f>
      </c>
      <c r="C26" s="149"/>
      <c r="D26" s="149"/>
      <c r="E26" s="149"/>
      <c r="F26" s="360" t="str">
        <f>TERM1!Y25</f>
        <v/>
      </c>
      <c r="G26" s="298"/>
      <c r="H26" s="298"/>
      <c r="I26" s="299"/>
      <c r="J26" s="360" t="str">
        <f>TERM2!Y25</f>
        <v/>
      </c>
      <c r="K26" s="298"/>
      <c r="L26" s="298"/>
      <c r="M26" s="299"/>
      <c r="N26" s="322" t="str">
        <f>TERM3!Y25</f>
        <v/>
      </c>
      <c r="O26" s="298"/>
      <c r="P26" s="298"/>
      <c r="Q26" s="299"/>
      <c r="R26" s="361" t="str">
        <f t="shared" si="0"/>
        <v/>
      </c>
      <c r="S26" s="277"/>
      <c r="T26" s="277"/>
      <c r="U26" s="278"/>
      <c r="V26" s="360" t="str">
        <f t="shared" si="1"/>
        <v/>
      </c>
      <c r="W26" s="277"/>
      <c r="X26" s="277"/>
      <c r="Y26" s="278"/>
      <c r="Z26" s="362" t="str">
        <f t="shared" si="2"/>
        <v/>
      </c>
      <c r="AA26" s="277"/>
      <c r="AB26" s="363"/>
      <c r="AI26" s="145"/>
      <c r="AK26" s="2"/>
      <c r="AM26" s="108"/>
      <c r="AN26" s="108"/>
      <c r="AO26" s="108"/>
      <c r="AP26" s="108"/>
      <c r="AQ26" s="108"/>
      <c r="AR26" s="108"/>
      <c r="AS26" s="108"/>
      <c r="AT26" s="108"/>
      <c r="AU26" s="108"/>
      <c r="AV26" s="108"/>
      <c r="AW26" s="108"/>
      <c r="AX26" s="108"/>
      <c r="AY26" s="108"/>
      <c r="AZ26" s="108"/>
      <c r="BA26" s="108"/>
      <c r="BB26" s="108"/>
      <c r="BC26" s="108"/>
      <c r="BD26" s="108"/>
      <c r="BE26" s="108"/>
    </row>
    <row r="27" spans="1:57" ht="18" customHeight="1">
      <c r="A27" s="224"/>
      <c r="B27" s="153">
        <f>INPUT!B24</f>
      </c>
      <c r="C27" s="149"/>
      <c r="D27" s="149"/>
      <c r="E27" s="149"/>
      <c r="F27" s="360" t="str">
        <f>TERM1!Y26</f>
        <v/>
      </c>
      <c r="G27" s="298"/>
      <c r="H27" s="298"/>
      <c r="I27" s="299"/>
      <c r="J27" s="360" t="str">
        <f>TERM2!Y26</f>
        <v/>
      </c>
      <c r="K27" s="298"/>
      <c r="L27" s="298"/>
      <c r="M27" s="299"/>
      <c r="N27" s="322" t="str">
        <f>TERM3!Y26</f>
        <v/>
      </c>
      <c r="O27" s="298"/>
      <c r="P27" s="298"/>
      <c r="Q27" s="299"/>
      <c r="R27" s="361" t="str">
        <f t="shared" si="0"/>
        <v/>
      </c>
      <c r="S27" s="277"/>
      <c r="T27" s="277"/>
      <c r="U27" s="278"/>
      <c r="V27" s="360" t="str">
        <f t="shared" si="1"/>
        <v/>
      </c>
      <c r="W27" s="277"/>
      <c r="X27" s="277"/>
      <c r="Y27" s="278"/>
      <c r="Z27" s="362" t="str">
        <f t="shared" si="2"/>
        <v/>
      </c>
      <c r="AA27" s="277"/>
      <c r="AB27" s="363"/>
      <c r="AI27" s="145"/>
      <c r="AK27" s="2"/>
      <c r="AM27" s="108"/>
      <c r="AN27" s="108"/>
      <c r="AO27" s="108"/>
      <c r="AP27" s="108"/>
      <c r="AQ27" s="108"/>
      <c r="AR27" s="108"/>
      <c r="AS27" s="108"/>
      <c r="AT27" s="108"/>
      <c r="AU27" s="108"/>
      <c r="AV27" s="108"/>
      <c r="AW27" s="108"/>
      <c r="AX27" s="108"/>
      <c r="AY27" s="108"/>
      <c r="AZ27" s="108"/>
      <c r="BA27" s="108"/>
      <c r="BB27" s="108"/>
      <c r="BC27" s="108"/>
      <c r="BD27" s="108"/>
      <c r="BE27" s="108"/>
    </row>
    <row r="28" spans="1:57" ht="18" customHeight="1">
      <c r="A28" s="224"/>
      <c r="B28" s="153">
        <f>INPUT!B25</f>
      </c>
      <c r="C28" s="149"/>
      <c r="D28" s="149"/>
      <c r="E28" s="149"/>
      <c r="F28" s="360" t="str">
        <f>TERM1!Y27</f>
        <v/>
      </c>
      <c r="G28" s="298"/>
      <c r="H28" s="298"/>
      <c r="I28" s="299"/>
      <c r="J28" s="360" t="str">
        <f>TERM2!Y27</f>
        <v/>
      </c>
      <c r="K28" s="298"/>
      <c r="L28" s="298"/>
      <c r="M28" s="299"/>
      <c r="N28" s="322" t="str">
        <f>TERM3!Y27</f>
        <v/>
      </c>
      <c r="O28" s="298"/>
      <c r="P28" s="298"/>
      <c r="Q28" s="299"/>
      <c r="R28" s="361" t="str">
        <f t="shared" si="0"/>
        <v/>
      </c>
      <c r="S28" s="277"/>
      <c r="T28" s="277"/>
      <c r="U28" s="278"/>
      <c r="V28" s="360" t="str">
        <f t="shared" si="1"/>
        <v/>
      </c>
      <c r="W28" s="277"/>
      <c r="X28" s="277"/>
      <c r="Y28" s="278"/>
      <c r="Z28" s="362" t="str">
        <f t="shared" si="2"/>
        <v/>
      </c>
      <c r="AA28" s="277"/>
      <c r="AB28" s="363"/>
      <c r="AI28" s="145"/>
      <c r="AK28" s="2"/>
    </row>
    <row r="29" spans="1:57" ht="18" customHeight="1">
      <c r="A29" s="224"/>
      <c r="B29" s="153">
        <f>INPUT!B26</f>
      </c>
      <c r="C29" s="149"/>
      <c r="D29" s="149"/>
      <c r="E29" s="149"/>
      <c r="F29" s="360" t="str">
        <f>TERM1!Y28</f>
        <v/>
      </c>
      <c r="G29" s="298"/>
      <c r="H29" s="298"/>
      <c r="I29" s="299"/>
      <c r="J29" s="360" t="str">
        <f>TERM2!Y28</f>
        <v/>
      </c>
      <c r="K29" s="298"/>
      <c r="L29" s="298"/>
      <c r="M29" s="299"/>
      <c r="N29" s="322" t="str">
        <f>TERM3!Y28</f>
        <v/>
      </c>
      <c r="O29" s="298"/>
      <c r="P29" s="298"/>
      <c r="Q29" s="299"/>
      <c r="R29" s="361" t="str">
        <f t="shared" si="0"/>
        <v/>
      </c>
      <c r="S29" s="277"/>
      <c r="T29" s="277"/>
      <c r="U29" s="278"/>
      <c r="V29" s="360" t="str">
        <f t="shared" si="1"/>
        <v/>
      </c>
      <c r="W29" s="277"/>
      <c r="X29" s="277"/>
      <c r="Y29" s="278"/>
      <c r="Z29" s="362" t="str">
        <f t="shared" si="2"/>
        <v/>
      </c>
      <c r="AA29" s="277"/>
      <c r="AB29" s="363"/>
      <c r="AI29" s="145"/>
      <c r="AK29" s="2"/>
    </row>
    <row r="30" spans="1:57" ht="18" customHeight="1">
      <c r="A30" s="224"/>
      <c r="B30" s="153">
        <f>INPUT!B27</f>
      </c>
      <c r="C30" s="149"/>
      <c r="D30" s="149"/>
      <c r="E30" s="149"/>
      <c r="F30" s="360" t="str">
        <f>TERM1!Y29</f>
        <v/>
      </c>
      <c r="G30" s="298"/>
      <c r="H30" s="298"/>
      <c r="I30" s="299"/>
      <c r="J30" s="360" t="str">
        <f>TERM2!Y29</f>
        <v/>
      </c>
      <c r="K30" s="298"/>
      <c r="L30" s="298"/>
      <c r="M30" s="299"/>
      <c r="N30" s="322" t="str">
        <f>TERM3!Y29</f>
        <v/>
      </c>
      <c r="O30" s="298"/>
      <c r="P30" s="298"/>
      <c r="Q30" s="299"/>
      <c r="R30" s="361" t="str">
        <f t="shared" si="0"/>
        <v/>
      </c>
      <c r="S30" s="277"/>
      <c r="T30" s="277"/>
      <c r="U30" s="278"/>
      <c r="V30" s="360" t="str">
        <f t="shared" si="1"/>
        <v/>
      </c>
      <c r="W30" s="277"/>
      <c r="X30" s="277"/>
      <c r="Y30" s="278"/>
      <c r="Z30" s="362" t="str">
        <f t="shared" si="2"/>
        <v/>
      </c>
      <c r="AA30" s="277"/>
      <c r="AB30" s="363"/>
      <c r="AI30" s="145"/>
      <c r="AK30" s="2"/>
    </row>
    <row r="31" spans="1:57" ht="18" customHeight="1">
      <c r="A31" s="224"/>
      <c r="B31" s="153">
        <f>INPUT!B28</f>
      </c>
      <c r="C31" s="149"/>
      <c r="D31" s="149"/>
      <c r="E31" s="149"/>
      <c r="F31" s="360" t="str">
        <f>TERM1!Y30</f>
        <v/>
      </c>
      <c r="G31" s="298"/>
      <c r="H31" s="298"/>
      <c r="I31" s="299"/>
      <c r="J31" s="360" t="str">
        <f>TERM2!Y30</f>
        <v/>
      </c>
      <c r="K31" s="298"/>
      <c r="L31" s="298"/>
      <c r="M31" s="299"/>
      <c r="N31" s="322" t="str">
        <f>TERM3!Y30</f>
        <v/>
      </c>
      <c r="O31" s="298"/>
      <c r="P31" s="298"/>
      <c r="Q31" s="299"/>
      <c r="R31" s="361" t="str">
        <f t="shared" si="0"/>
        <v/>
      </c>
      <c r="S31" s="277"/>
      <c r="T31" s="277"/>
      <c r="U31" s="278"/>
      <c r="V31" s="360" t="str">
        <f t="shared" si="1"/>
        <v/>
      </c>
      <c r="W31" s="277"/>
      <c r="X31" s="277"/>
      <c r="Y31" s="278"/>
      <c r="Z31" s="362" t="str">
        <f t="shared" si="2"/>
        <v/>
      </c>
      <c r="AA31" s="277"/>
      <c r="AB31" s="363"/>
      <c r="AI31" s="145"/>
      <c r="AK31" s="2"/>
    </row>
    <row r="32" spans="1:57" ht="18" customHeight="1">
      <c r="A32" s="224"/>
      <c r="B32" s="153">
        <f>INPUT!B29</f>
      </c>
      <c r="C32" s="149"/>
      <c r="D32" s="149"/>
      <c r="E32" s="149"/>
      <c r="F32" s="360" t="str">
        <f>TERM1!Y31</f>
        <v/>
      </c>
      <c r="G32" s="298"/>
      <c r="H32" s="298"/>
      <c r="I32" s="299"/>
      <c r="J32" s="360" t="str">
        <f>TERM2!Y31</f>
        <v/>
      </c>
      <c r="K32" s="298"/>
      <c r="L32" s="298"/>
      <c r="M32" s="299"/>
      <c r="N32" s="322" t="str">
        <f>TERM3!Y31</f>
        <v/>
      </c>
      <c r="O32" s="298"/>
      <c r="P32" s="298"/>
      <c r="Q32" s="299"/>
      <c r="R32" s="361" t="str">
        <f t="shared" si="0"/>
        <v/>
      </c>
      <c r="S32" s="277"/>
      <c r="T32" s="277"/>
      <c r="U32" s="278"/>
      <c r="V32" s="360" t="str">
        <f t="shared" si="1"/>
        <v/>
      </c>
      <c r="W32" s="277"/>
      <c r="X32" s="277"/>
      <c r="Y32" s="278"/>
      <c r="Z32" s="362" t="str">
        <f t="shared" si="2"/>
        <v/>
      </c>
      <c r="AA32" s="277"/>
      <c r="AB32" s="363"/>
      <c r="AI32" s="145"/>
      <c r="AK32" s="2"/>
    </row>
    <row r="33" spans="1:55" ht="18" customHeight="1">
      <c r="A33" s="224"/>
      <c r="B33" s="153">
        <f>INPUT!B30</f>
      </c>
      <c r="C33" s="149"/>
      <c r="D33" s="149"/>
      <c r="E33" s="149"/>
      <c r="F33" s="360" t="str">
        <f>TERM1!Y32</f>
        <v/>
      </c>
      <c r="G33" s="298"/>
      <c r="H33" s="298"/>
      <c r="I33" s="299"/>
      <c r="J33" s="360" t="str">
        <f>TERM2!Y32</f>
        <v/>
      </c>
      <c r="K33" s="298"/>
      <c r="L33" s="298"/>
      <c r="M33" s="299"/>
      <c r="N33" s="322" t="str">
        <f>TERM3!Y32</f>
        <v/>
      </c>
      <c r="O33" s="298"/>
      <c r="P33" s="298"/>
      <c r="Q33" s="299"/>
      <c r="R33" s="361" t="str">
        <f t="shared" si="0"/>
        <v/>
      </c>
      <c r="S33" s="277"/>
      <c r="T33" s="277"/>
      <c r="U33" s="278"/>
      <c r="V33" s="360" t="str">
        <f t="shared" si="1"/>
        <v/>
      </c>
      <c r="W33" s="277"/>
      <c r="X33" s="277"/>
      <c r="Y33" s="278"/>
      <c r="Z33" s="362" t="str">
        <f t="shared" si="2"/>
        <v/>
      </c>
      <c r="AA33" s="277"/>
      <c r="AB33" s="363"/>
      <c r="AI33" s="145"/>
      <c r="AK33" s="2"/>
    </row>
    <row r="34" spans="1:55" ht="18" customHeight="1">
      <c r="A34" s="224"/>
      <c r="B34" s="153">
        <f>INPUT!B31</f>
      </c>
      <c r="C34" s="149"/>
      <c r="D34" s="149"/>
      <c r="E34" s="149"/>
      <c r="F34" s="360" t="str">
        <f>TERM1!Y33</f>
        <v/>
      </c>
      <c r="G34" s="298"/>
      <c r="H34" s="298"/>
      <c r="I34" s="299"/>
      <c r="J34" s="360" t="str">
        <f>TERM2!Y33</f>
        <v/>
      </c>
      <c r="K34" s="298"/>
      <c r="L34" s="298"/>
      <c r="M34" s="299"/>
      <c r="N34" s="322" t="str">
        <f>TERM3!Y33</f>
        <v/>
      </c>
      <c r="O34" s="298"/>
      <c r="P34" s="298"/>
      <c r="Q34" s="299"/>
      <c r="R34" s="361" t="str">
        <f t="shared" si="0"/>
        <v/>
      </c>
      <c r="S34" s="277"/>
      <c r="T34" s="277"/>
      <c r="U34" s="278"/>
      <c r="V34" s="360" t="str">
        <f t="shared" si="1"/>
        <v/>
      </c>
      <c r="W34" s="277"/>
      <c r="X34" s="277"/>
      <c r="Y34" s="278"/>
      <c r="Z34" s="362" t="str">
        <f t="shared" si="2"/>
        <v/>
      </c>
      <c r="AA34" s="277"/>
      <c r="AB34" s="363"/>
      <c r="AI34" s="145"/>
      <c r="AK34" s="2"/>
    </row>
    <row r="35" spans="1:55" ht="18" customHeight="1">
      <c r="A35" s="224"/>
      <c r="B35" s="153">
        <f>INPUT!B32</f>
      </c>
      <c r="C35" s="149"/>
      <c r="D35" s="149"/>
      <c r="E35" s="149"/>
      <c r="F35" s="360" t="str">
        <f>TERM1!Y34</f>
        <v/>
      </c>
      <c r="G35" s="298"/>
      <c r="H35" s="298"/>
      <c r="I35" s="299"/>
      <c r="J35" s="360" t="str">
        <f>TERM2!Y34</f>
        <v/>
      </c>
      <c r="K35" s="298"/>
      <c r="L35" s="298"/>
      <c r="M35" s="299"/>
      <c r="N35" s="322" t="str">
        <f>TERM3!Y34</f>
        <v/>
      </c>
      <c r="O35" s="298"/>
      <c r="P35" s="298"/>
      <c r="Q35" s="299"/>
      <c r="R35" s="361" t="str">
        <f t="shared" si="0"/>
        <v/>
      </c>
      <c r="S35" s="277"/>
      <c r="T35" s="277"/>
      <c r="U35" s="278"/>
      <c r="V35" s="360" t="str">
        <f t="shared" si="1"/>
        <v/>
      </c>
      <c r="W35" s="277"/>
      <c r="X35" s="277"/>
      <c r="Y35" s="278"/>
      <c r="Z35" s="362" t="str">
        <f t="shared" si="2"/>
        <v/>
      </c>
      <c r="AA35" s="277"/>
      <c r="AB35" s="363"/>
      <c r="AI35" s="145"/>
      <c r="AK35" s="2"/>
      <c r="AN35" s="1"/>
      <c r="AO35" s="1"/>
      <c r="AP35" s="1"/>
      <c r="AQ35" s="1"/>
      <c r="AR35" s="1"/>
      <c r="AS35" s="1"/>
      <c r="AT35" s="1"/>
      <c r="AU35" s="1"/>
      <c r="AV35" s="1"/>
      <c r="AW35" s="1"/>
      <c r="AX35" s="1"/>
      <c r="AY35" s="1"/>
      <c r="AZ35" s="1"/>
      <c r="BA35" s="1"/>
      <c r="BB35" s="1"/>
      <c r="BC35" s="1"/>
    </row>
    <row r="36" spans="1:55" ht="18" customHeight="1">
      <c r="A36" s="224"/>
      <c r="B36" s="153">
        <f>INPUT!B33</f>
      </c>
      <c r="C36" s="149"/>
      <c r="D36" s="149"/>
      <c r="E36" s="149"/>
      <c r="F36" s="360" t="str">
        <f>TERM1!Y35</f>
        <v/>
      </c>
      <c r="G36" s="298"/>
      <c r="H36" s="298"/>
      <c r="I36" s="299"/>
      <c r="J36" s="360" t="str">
        <f>TERM2!Y35</f>
        <v/>
      </c>
      <c r="K36" s="298"/>
      <c r="L36" s="298"/>
      <c r="M36" s="299"/>
      <c r="N36" s="322" t="str">
        <f>TERM3!Y35</f>
        <v/>
      </c>
      <c r="O36" s="298"/>
      <c r="P36" s="298"/>
      <c r="Q36" s="299"/>
      <c r="R36" s="361" t="str">
        <f t="shared" si="0"/>
        <v/>
      </c>
      <c r="S36" s="277"/>
      <c r="T36" s="277"/>
      <c r="U36" s="278"/>
      <c r="V36" s="360" t="str">
        <f t="shared" si="1"/>
        <v/>
      </c>
      <c r="W36" s="277"/>
      <c r="X36" s="277"/>
      <c r="Y36" s="278"/>
      <c r="Z36" s="362" t="str">
        <f t="shared" si="2"/>
        <v/>
      </c>
      <c r="AA36" s="277"/>
      <c r="AB36" s="363"/>
      <c r="AI36" s="145"/>
      <c r="AK36" s="2"/>
      <c r="AN36" s="1"/>
      <c r="AO36" s="1"/>
      <c r="AP36" s="1"/>
      <c r="AQ36" s="1"/>
      <c r="AR36" s="1"/>
      <c r="AS36" s="1"/>
      <c r="AT36" s="1"/>
      <c r="AU36" s="1"/>
      <c r="AV36" s="1"/>
      <c r="AW36" s="1"/>
      <c r="AX36" s="1"/>
      <c r="AY36" s="1"/>
      <c r="AZ36" s="1"/>
      <c r="BA36" s="1"/>
      <c r="BB36" s="1"/>
      <c r="BC36" s="1"/>
    </row>
    <row r="37" spans="1:55" ht="18" customHeight="1">
      <c r="A37" s="224"/>
      <c r="B37" s="153">
        <f>INPUT!B34</f>
      </c>
      <c r="C37" s="149"/>
      <c r="D37" s="149"/>
      <c r="E37" s="149"/>
      <c r="F37" s="360" t="str">
        <f>TERM1!Y36</f>
        <v/>
      </c>
      <c r="G37" s="298"/>
      <c r="H37" s="298"/>
      <c r="I37" s="299"/>
      <c r="J37" s="360" t="str">
        <f>TERM2!Y36</f>
        <v/>
      </c>
      <c r="K37" s="298"/>
      <c r="L37" s="298"/>
      <c r="M37" s="299"/>
      <c r="N37" s="322" t="str">
        <f>TERM3!Y36</f>
        <v/>
      </c>
      <c r="O37" s="298"/>
      <c r="P37" s="298"/>
      <c r="Q37" s="299"/>
      <c r="R37" s="361" t="str">
        <f t="shared" si="0"/>
        <v/>
      </c>
      <c r="S37" s="277"/>
      <c r="T37" s="277"/>
      <c r="U37" s="278"/>
      <c r="V37" s="360" t="str">
        <f t="shared" si="1"/>
        <v/>
      </c>
      <c r="W37" s="277"/>
      <c r="X37" s="277"/>
      <c r="Y37" s="278"/>
      <c r="Z37" s="362" t="str">
        <f t="shared" si="2"/>
        <v/>
      </c>
      <c r="AA37" s="277"/>
      <c r="AB37" s="363"/>
      <c r="AI37" s="145"/>
      <c r="AK37" s="2"/>
      <c r="AN37" s="1"/>
      <c r="AO37" s="1"/>
      <c r="AP37" s="1"/>
      <c r="AQ37" s="1"/>
      <c r="AR37" s="1"/>
      <c r="AS37" s="1"/>
      <c r="AT37" s="1"/>
      <c r="AU37" s="1"/>
      <c r="AV37" s="1"/>
      <c r="AW37" s="1"/>
      <c r="AX37" s="1"/>
      <c r="AY37" s="1"/>
      <c r="AZ37" s="1"/>
      <c r="BA37" s="1"/>
      <c r="BB37" s="1"/>
      <c r="BC37" s="1"/>
    </row>
    <row r="38" spans="1:55" ht="18" customHeight="1">
      <c r="A38" s="224"/>
      <c r="B38" s="153">
        <f>INPUT!B35</f>
      </c>
      <c r="C38" s="149"/>
      <c r="D38" s="149"/>
      <c r="E38" s="149"/>
      <c r="F38" s="360" t="str">
        <f>TERM1!Y37</f>
        <v/>
      </c>
      <c r="G38" s="298"/>
      <c r="H38" s="298"/>
      <c r="I38" s="299"/>
      <c r="J38" s="360" t="str">
        <f>TERM2!Y37</f>
        <v/>
      </c>
      <c r="K38" s="298"/>
      <c r="L38" s="298"/>
      <c r="M38" s="299"/>
      <c r="N38" s="322" t="str">
        <f>TERM3!Y37</f>
        <v/>
      </c>
      <c r="O38" s="298"/>
      <c r="P38" s="298"/>
      <c r="Q38" s="299"/>
      <c r="R38" s="361" t="str">
        <f t="shared" si="0"/>
        <v/>
      </c>
      <c r="S38" s="277"/>
      <c r="T38" s="277"/>
      <c r="U38" s="278"/>
      <c r="V38" s="360" t="str">
        <f t="shared" si="1"/>
        <v/>
      </c>
      <c r="W38" s="277"/>
      <c r="X38" s="277"/>
      <c r="Y38" s="278"/>
      <c r="Z38" s="362" t="str">
        <f t="shared" si="2"/>
        <v/>
      </c>
      <c r="AA38" s="277"/>
      <c r="AB38" s="363"/>
      <c r="AI38" s="145"/>
      <c r="AK38" s="2"/>
      <c r="AN38" s="1"/>
      <c r="AO38" s="1"/>
      <c r="AP38" s="1"/>
      <c r="AQ38" s="1"/>
      <c r="AR38" s="1"/>
      <c r="AS38" s="1"/>
      <c r="AT38" s="1"/>
      <c r="AU38" s="1"/>
      <c r="AV38" s="1"/>
      <c r="AW38" s="1"/>
      <c r="AX38" s="1"/>
      <c r="AY38" s="1"/>
      <c r="AZ38" s="1"/>
      <c r="BA38" s="1"/>
      <c r="BB38" s="1"/>
      <c r="BC38" s="1"/>
    </row>
    <row r="39" spans="1:55" ht="18" customHeight="1">
      <c r="A39" s="224"/>
      <c r="B39" s="153">
        <f>INPUT!B36</f>
      </c>
      <c r="C39" s="149"/>
      <c r="D39" s="149"/>
      <c r="E39" s="149"/>
      <c r="F39" s="360" t="str">
        <f>TERM1!Y38</f>
        <v/>
      </c>
      <c r="G39" s="298"/>
      <c r="H39" s="298"/>
      <c r="I39" s="299"/>
      <c r="J39" s="360" t="str">
        <f>TERM2!Y38</f>
        <v/>
      </c>
      <c r="K39" s="298"/>
      <c r="L39" s="298"/>
      <c r="M39" s="299"/>
      <c r="N39" s="322" t="str">
        <f>TERM3!Y38</f>
        <v/>
      </c>
      <c r="O39" s="298"/>
      <c r="P39" s="298"/>
      <c r="Q39" s="299"/>
      <c r="R39" s="361" t="str">
        <f t="shared" si="0"/>
        <v/>
      </c>
      <c r="S39" s="277"/>
      <c r="T39" s="277"/>
      <c r="U39" s="278"/>
      <c r="V39" s="360" t="str">
        <f t="shared" si="1"/>
        <v/>
      </c>
      <c r="W39" s="277"/>
      <c r="X39" s="277"/>
      <c r="Y39" s="278"/>
      <c r="Z39" s="362" t="str">
        <f t="shared" si="2"/>
        <v/>
      </c>
      <c r="AA39" s="277"/>
      <c r="AB39" s="363"/>
      <c r="AI39" s="145"/>
      <c r="AK39" s="2"/>
      <c r="AN39" s="1"/>
      <c r="AO39" s="1"/>
      <c r="AP39" s="1"/>
      <c r="AQ39" s="1"/>
      <c r="AR39" s="1"/>
      <c r="AS39" s="1"/>
      <c r="AT39" s="1"/>
      <c r="AU39" s="1"/>
      <c r="AV39" s="1"/>
      <c r="AW39" s="1"/>
      <c r="AX39" s="1"/>
      <c r="AY39" s="1"/>
      <c r="AZ39" s="1"/>
      <c r="BA39" s="1"/>
      <c r="BB39" s="1"/>
      <c r="BC39" s="1"/>
    </row>
    <row r="40" spans="1:55" ht="18" customHeight="1">
      <c r="A40" s="224"/>
      <c r="B40" s="153">
        <f>INPUT!B37</f>
      </c>
      <c r="C40" s="149"/>
      <c r="D40" s="149"/>
      <c r="E40" s="149"/>
      <c r="F40" s="360" t="str">
        <f>TERM1!Y39</f>
        <v/>
      </c>
      <c r="G40" s="298"/>
      <c r="H40" s="298"/>
      <c r="I40" s="299"/>
      <c r="J40" s="360" t="str">
        <f>TERM2!Y39</f>
        <v/>
      </c>
      <c r="K40" s="298"/>
      <c r="L40" s="298"/>
      <c r="M40" s="299"/>
      <c r="N40" s="322" t="str">
        <f>TERM3!Y39</f>
        <v/>
      </c>
      <c r="O40" s="298"/>
      <c r="P40" s="298"/>
      <c r="Q40" s="299"/>
      <c r="R40" s="361" t="str">
        <f t="shared" si="0"/>
        <v/>
      </c>
      <c r="S40" s="277"/>
      <c r="T40" s="277"/>
      <c r="U40" s="278"/>
      <c r="V40" s="360" t="str">
        <f t="shared" si="1"/>
        <v/>
      </c>
      <c r="W40" s="277"/>
      <c r="X40" s="277"/>
      <c r="Y40" s="278"/>
      <c r="Z40" s="362" t="str">
        <f t="shared" si="2"/>
        <v/>
      </c>
      <c r="AA40" s="277"/>
      <c r="AB40" s="363"/>
      <c r="AI40" s="145"/>
      <c r="AK40" s="2"/>
      <c r="AN40" s="1"/>
      <c r="AO40" s="1"/>
      <c r="AP40" s="1"/>
      <c r="AQ40" s="1"/>
      <c r="AR40" s="1"/>
      <c r="AS40" s="1"/>
      <c r="AT40" s="1"/>
      <c r="AU40" s="1"/>
      <c r="AV40" s="1"/>
      <c r="AW40" s="1"/>
      <c r="AX40" s="1"/>
      <c r="AY40" s="1"/>
      <c r="AZ40" s="1"/>
      <c r="BA40" s="1"/>
      <c r="BB40" s="1"/>
      <c r="BC40" s="1"/>
    </row>
    <row r="41" spans="1:55" ht="18" customHeight="1">
      <c r="A41" s="224"/>
      <c r="B41" s="153">
        <f>INPUT!B38</f>
      </c>
      <c r="C41" s="149"/>
      <c r="D41" s="149"/>
      <c r="E41" s="149"/>
      <c r="F41" s="360" t="str">
        <f>TERM1!Y40</f>
        <v/>
      </c>
      <c r="G41" s="298"/>
      <c r="H41" s="298"/>
      <c r="I41" s="299"/>
      <c r="J41" s="360" t="str">
        <f>TERM2!Y40</f>
        <v/>
      </c>
      <c r="K41" s="298"/>
      <c r="L41" s="298"/>
      <c r="M41" s="299"/>
      <c r="N41" s="322" t="str">
        <f>TERM3!Y40</f>
        <v/>
      </c>
      <c r="O41" s="298"/>
      <c r="P41" s="298"/>
      <c r="Q41" s="299"/>
      <c r="R41" s="361" t="str">
        <f t="shared" si="0"/>
        <v/>
      </c>
      <c r="S41" s="277"/>
      <c r="T41" s="277"/>
      <c r="U41" s="278"/>
      <c r="V41" s="360" t="str">
        <f t="shared" si="1"/>
        <v/>
      </c>
      <c r="W41" s="277"/>
      <c r="X41" s="277"/>
      <c r="Y41" s="278"/>
      <c r="Z41" s="362" t="str">
        <f t="shared" si="2"/>
        <v/>
      </c>
      <c r="AA41" s="277"/>
      <c r="AB41" s="363"/>
      <c r="AI41" s="145"/>
      <c r="AK41" s="2"/>
      <c r="AN41" s="1"/>
      <c r="AO41" s="1"/>
      <c r="AP41" s="1"/>
      <c r="AQ41" s="1"/>
      <c r="AR41" s="1"/>
      <c r="AS41" s="1"/>
      <c r="AT41" s="1"/>
      <c r="AU41" s="1"/>
      <c r="AV41" s="1"/>
      <c r="AW41" s="1"/>
      <c r="AX41" s="1"/>
      <c r="AY41" s="1"/>
      <c r="AZ41" s="1"/>
      <c r="BA41" s="1"/>
      <c r="BB41" s="1"/>
      <c r="BC41" s="1"/>
    </row>
    <row r="42" spans="1:55" ht="18" customHeight="1">
      <c r="A42" s="224"/>
      <c r="B42" s="153">
        <f>INPUT!B39</f>
      </c>
      <c r="C42" s="149"/>
      <c r="D42" s="149"/>
      <c r="E42" s="149"/>
      <c r="F42" s="360" t="str">
        <f>TERM1!Y41</f>
        <v/>
      </c>
      <c r="G42" s="298"/>
      <c r="H42" s="298"/>
      <c r="I42" s="299"/>
      <c r="J42" s="360" t="str">
        <f>TERM2!Y41</f>
        <v/>
      </c>
      <c r="K42" s="298"/>
      <c r="L42" s="298"/>
      <c r="M42" s="299"/>
      <c r="N42" s="322" t="str">
        <f>TERM3!Y41</f>
        <v/>
      </c>
      <c r="O42" s="298"/>
      <c r="P42" s="298"/>
      <c r="Q42" s="299"/>
      <c r="R42" s="361" t="str">
        <f t="shared" si="0"/>
        <v/>
      </c>
      <c r="S42" s="277"/>
      <c r="T42" s="277"/>
      <c r="U42" s="278"/>
      <c r="V42" s="360" t="str">
        <f t="shared" si="1"/>
        <v/>
      </c>
      <c r="W42" s="277"/>
      <c r="X42" s="277"/>
      <c r="Y42" s="278"/>
      <c r="Z42" s="362" t="str">
        <f t="shared" si="2"/>
        <v/>
      </c>
      <c r="AA42" s="277"/>
      <c r="AB42" s="363"/>
      <c r="AI42" s="145"/>
      <c r="AK42" s="2"/>
      <c r="AN42" s="1"/>
      <c r="AO42" s="1"/>
      <c r="AP42" s="1"/>
      <c r="AQ42" s="1"/>
      <c r="AR42" s="1"/>
      <c r="AS42" s="1"/>
      <c r="AT42" s="1"/>
      <c r="AU42" s="1"/>
      <c r="AV42" s="1"/>
      <c r="AW42" s="1"/>
      <c r="AX42" s="1"/>
      <c r="AY42" s="1"/>
      <c r="AZ42" s="1"/>
      <c r="BA42" s="1"/>
      <c r="BB42" s="1"/>
      <c r="BC42" s="1"/>
    </row>
    <row r="43" spans="1:55" ht="18" customHeight="1">
      <c r="A43" s="224"/>
      <c r="B43" s="153">
        <f>INPUT!B40</f>
      </c>
      <c r="C43" s="149"/>
      <c r="D43" s="149"/>
      <c r="E43" s="149"/>
      <c r="F43" s="360" t="str">
        <f>TERM1!Y42</f>
        <v/>
      </c>
      <c r="G43" s="298"/>
      <c r="H43" s="298"/>
      <c r="I43" s="299"/>
      <c r="J43" s="360" t="str">
        <f>TERM2!Y42</f>
        <v/>
      </c>
      <c r="K43" s="298"/>
      <c r="L43" s="298"/>
      <c r="M43" s="299"/>
      <c r="N43" s="322" t="str">
        <f>TERM3!Y42</f>
        <v/>
      </c>
      <c r="O43" s="298"/>
      <c r="P43" s="298"/>
      <c r="Q43" s="299"/>
      <c r="R43" s="361" t="str">
        <f t="shared" si="0"/>
        <v/>
      </c>
      <c r="S43" s="277"/>
      <c r="T43" s="277"/>
      <c r="U43" s="278"/>
      <c r="V43" s="360" t="str">
        <f t="shared" si="1"/>
        <v/>
      </c>
      <c r="W43" s="277"/>
      <c r="X43" s="277"/>
      <c r="Y43" s="278"/>
      <c r="Z43" s="362" t="str">
        <f t="shared" si="2"/>
        <v/>
      </c>
      <c r="AA43" s="277"/>
      <c r="AB43" s="363"/>
      <c r="AI43" s="145"/>
      <c r="AK43" s="2"/>
      <c r="AN43" s="1"/>
      <c r="AO43" s="1"/>
      <c r="AP43" s="1"/>
      <c r="AQ43" s="1"/>
      <c r="AR43" s="1"/>
      <c r="AS43" s="1"/>
      <c r="AT43" s="1"/>
      <c r="AU43" s="1"/>
      <c r="AV43" s="1"/>
      <c r="AW43" s="1"/>
      <c r="AX43" s="1"/>
      <c r="AY43" s="1"/>
      <c r="AZ43" s="1"/>
      <c r="BA43" s="1"/>
      <c r="BB43" s="1"/>
      <c r="BC43" s="1"/>
    </row>
    <row r="44" spans="1:55" ht="18" customHeight="1">
      <c r="A44" s="224"/>
      <c r="B44" s="153">
        <f>INPUT!B41</f>
      </c>
      <c r="C44" s="149"/>
      <c r="D44" s="149"/>
      <c r="E44" s="149"/>
      <c r="F44" s="360" t="str">
        <f>TERM1!Y43</f>
        <v/>
      </c>
      <c r="G44" s="298"/>
      <c r="H44" s="298"/>
      <c r="I44" s="299"/>
      <c r="J44" s="360" t="str">
        <f>TERM2!Y43</f>
        <v/>
      </c>
      <c r="K44" s="298"/>
      <c r="L44" s="298"/>
      <c r="M44" s="299"/>
      <c r="N44" s="322" t="str">
        <f>TERM3!Y43</f>
        <v/>
      </c>
      <c r="O44" s="298"/>
      <c r="P44" s="298"/>
      <c r="Q44" s="299"/>
      <c r="R44" s="361" t="str">
        <f t="shared" si="0"/>
        <v/>
      </c>
      <c r="S44" s="277"/>
      <c r="T44" s="277"/>
      <c r="U44" s="278"/>
      <c r="V44" s="360" t="str">
        <f t="shared" si="1"/>
        <v/>
      </c>
      <c r="W44" s="277"/>
      <c r="X44" s="277"/>
      <c r="Y44" s="278"/>
      <c r="Z44" s="362" t="str">
        <f t="shared" si="2"/>
        <v/>
      </c>
      <c r="AA44" s="277"/>
      <c r="AB44" s="363"/>
      <c r="AI44" s="145"/>
      <c r="AK44" s="2"/>
      <c r="AN44" s="1"/>
      <c r="AO44" s="1"/>
      <c r="AP44" s="1"/>
      <c r="AQ44" s="1"/>
      <c r="AR44" s="1"/>
      <c r="AS44" s="1"/>
      <c r="AT44" s="1"/>
      <c r="AU44" s="1"/>
      <c r="AV44" s="1"/>
      <c r="AW44" s="1"/>
      <c r="AX44" s="1"/>
      <c r="AY44" s="1"/>
      <c r="AZ44" s="1"/>
      <c r="BA44" s="1"/>
      <c r="BB44" s="1"/>
      <c r="BC44" s="1"/>
    </row>
    <row r="45" spans="1:55" ht="18" customHeight="1">
      <c r="A45" s="224"/>
      <c r="B45" s="153">
        <f>INPUT!B42</f>
      </c>
      <c r="C45" s="149"/>
      <c r="D45" s="149"/>
      <c r="E45" s="149"/>
      <c r="F45" s="360" t="str">
        <f>TERM1!Y44</f>
        <v/>
      </c>
      <c r="G45" s="298"/>
      <c r="H45" s="298"/>
      <c r="I45" s="299"/>
      <c r="J45" s="360" t="str">
        <f>TERM2!Y44</f>
        <v/>
      </c>
      <c r="K45" s="298"/>
      <c r="L45" s="298"/>
      <c r="M45" s="299"/>
      <c r="N45" s="322" t="str">
        <f>TERM3!Y44</f>
        <v/>
      </c>
      <c r="O45" s="298"/>
      <c r="P45" s="298"/>
      <c r="Q45" s="299"/>
      <c r="R45" s="361" t="str">
        <f t="shared" si="0"/>
        <v/>
      </c>
      <c r="S45" s="277"/>
      <c r="T45" s="277"/>
      <c r="U45" s="278"/>
      <c r="V45" s="360" t="str">
        <f t="shared" si="1"/>
        <v/>
      </c>
      <c r="W45" s="277"/>
      <c r="X45" s="277"/>
      <c r="Y45" s="278"/>
      <c r="Z45" s="362" t="str">
        <f t="shared" si="2"/>
        <v/>
      </c>
      <c r="AA45" s="277"/>
      <c r="AB45" s="363"/>
      <c r="AI45" s="145"/>
      <c r="AK45" s="2"/>
      <c r="AN45" s="1"/>
      <c r="AO45" s="1"/>
      <c r="AP45" s="1"/>
      <c r="AQ45" s="1"/>
      <c r="AR45" s="1"/>
      <c r="AS45" s="1"/>
      <c r="AT45" s="1"/>
      <c r="AU45" s="1"/>
      <c r="AV45" s="1"/>
      <c r="AW45" s="1"/>
      <c r="AX45" s="1"/>
      <c r="AY45" s="1"/>
      <c r="AZ45" s="1"/>
      <c r="BA45" s="1"/>
      <c r="BB45" s="1"/>
      <c r="BC45" s="1"/>
    </row>
    <row r="46" spans="1:55" ht="18" customHeight="1">
      <c r="A46" s="224"/>
      <c r="B46" s="153">
        <f>INPUT!B43</f>
      </c>
      <c r="C46" s="149"/>
      <c r="D46" s="149"/>
      <c r="E46" s="149"/>
      <c r="F46" s="360" t="str">
        <f>TERM1!Y45</f>
        <v/>
      </c>
      <c r="G46" s="298"/>
      <c r="H46" s="298"/>
      <c r="I46" s="299"/>
      <c r="J46" s="360" t="str">
        <f>TERM2!Y45</f>
        <v/>
      </c>
      <c r="K46" s="298"/>
      <c r="L46" s="298"/>
      <c r="M46" s="299"/>
      <c r="N46" s="322" t="str">
        <f>TERM3!Y45</f>
        <v/>
      </c>
      <c r="O46" s="298"/>
      <c r="P46" s="298"/>
      <c r="Q46" s="299"/>
      <c r="R46" s="361" t="str">
        <f t="shared" si="0"/>
        <v/>
      </c>
      <c r="S46" s="277"/>
      <c r="T46" s="277"/>
      <c r="U46" s="278"/>
      <c r="V46" s="360" t="str">
        <f t="shared" si="1"/>
        <v/>
      </c>
      <c r="W46" s="277"/>
      <c r="X46" s="277"/>
      <c r="Y46" s="278"/>
      <c r="Z46" s="362" t="str">
        <f t="shared" si="2"/>
        <v/>
      </c>
      <c r="AA46" s="277"/>
      <c r="AB46" s="363"/>
      <c r="AI46" s="145"/>
      <c r="AK46" s="2"/>
      <c r="AN46" s="1"/>
      <c r="AO46" s="1"/>
      <c r="AP46" s="1"/>
      <c r="AQ46" s="1"/>
      <c r="AR46" s="1"/>
      <c r="AS46" s="1"/>
      <c r="AT46" s="1"/>
      <c r="AU46" s="1"/>
      <c r="AV46" s="1"/>
      <c r="AW46" s="1"/>
      <c r="AX46" s="1"/>
      <c r="AY46" s="1"/>
      <c r="AZ46" s="1"/>
      <c r="BA46" s="1"/>
      <c r="BB46" s="1"/>
      <c r="BC46" s="1"/>
    </row>
    <row r="47" spans="1:55" ht="18" customHeight="1">
      <c r="A47" s="224"/>
      <c r="B47" s="153">
        <f>INPUT!B44</f>
      </c>
      <c r="C47" s="149"/>
      <c r="D47" s="149"/>
      <c r="E47" s="149"/>
      <c r="F47" s="360" t="str">
        <f>TERM1!Y46</f>
        <v/>
      </c>
      <c r="G47" s="298"/>
      <c r="H47" s="298"/>
      <c r="I47" s="299"/>
      <c r="J47" s="360" t="str">
        <f>TERM2!Y46</f>
        <v/>
      </c>
      <c r="K47" s="298"/>
      <c r="L47" s="298"/>
      <c r="M47" s="299"/>
      <c r="N47" s="322" t="str">
        <f>TERM3!Y46</f>
        <v/>
      </c>
      <c r="O47" s="298"/>
      <c r="P47" s="298"/>
      <c r="Q47" s="299"/>
      <c r="R47" s="361" t="str">
        <f t="shared" si="0"/>
        <v/>
      </c>
      <c r="S47" s="277"/>
      <c r="T47" s="277"/>
      <c r="U47" s="278"/>
      <c r="V47" s="360" t="str">
        <f t="shared" si="1"/>
        <v/>
      </c>
      <c r="W47" s="277"/>
      <c r="X47" s="277"/>
      <c r="Y47" s="278"/>
      <c r="Z47" s="362" t="str">
        <f t="shared" si="2"/>
        <v/>
      </c>
      <c r="AA47" s="277"/>
      <c r="AB47" s="363"/>
      <c r="AI47" s="145"/>
      <c r="AK47" s="2"/>
      <c r="AN47" s="1"/>
      <c r="AO47" s="1"/>
      <c r="AP47" s="1"/>
      <c r="AQ47" s="1"/>
      <c r="AR47" s="1"/>
      <c r="AS47" s="1"/>
      <c r="AT47" s="1"/>
      <c r="AU47" s="1"/>
      <c r="AV47" s="1"/>
      <c r="AW47" s="1"/>
      <c r="AX47" s="1"/>
      <c r="AY47" s="1"/>
      <c r="AZ47" s="1"/>
      <c r="BA47" s="1"/>
      <c r="BB47" s="1"/>
      <c r="BC47" s="1"/>
    </row>
    <row r="48" spans="1:55" ht="18" customHeight="1">
      <c r="A48" s="224"/>
      <c r="B48" s="153">
        <f>INPUT!B45</f>
      </c>
      <c r="C48" s="149"/>
      <c r="D48" s="149"/>
      <c r="E48" s="149"/>
      <c r="F48" s="360" t="str">
        <f>TERM1!Y47</f>
        <v/>
      </c>
      <c r="G48" s="298"/>
      <c r="H48" s="298"/>
      <c r="I48" s="299"/>
      <c r="J48" s="360" t="str">
        <f>TERM2!Y47</f>
        <v/>
      </c>
      <c r="K48" s="298"/>
      <c r="L48" s="298"/>
      <c r="M48" s="299"/>
      <c r="N48" s="322" t="str">
        <f>TERM3!Y47</f>
        <v/>
      </c>
      <c r="O48" s="298"/>
      <c r="P48" s="298"/>
      <c r="Q48" s="299"/>
      <c r="R48" s="361" t="str">
        <f t="shared" si="0"/>
        <v/>
      </c>
      <c r="S48" s="277"/>
      <c r="T48" s="277"/>
      <c r="U48" s="278"/>
      <c r="V48" s="360" t="str">
        <f t="shared" si="1"/>
        <v/>
      </c>
      <c r="W48" s="277"/>
      <c r="X48" s="277"/>
      <c r="Y48" s="278"/>
      <c r="Z48" s="362" t="str">
        <f t="shared" si="2"/>
        <v/>
      </c>
      <c r="AA48" s="277"/>
      <c r="AB48" s="363"/>
      <c r="AI48" s="145"/>
      <c r="AK48" s="2"/>
      <c r="AN48" s="1"/>
      <c r="AO48" s="1"/>
      <c r="AP48" s="1"/>
      <c r="AQ48" s="1"/>
      <c r="AR48" s="1"/>
      <c r="AS48" s="1"/>
      <c r="AT48" s="1"/>
      <c r="AU48" s="1"/>
      <c r="AV48" s="1"/>
      <c r="AW48" s="1"/>
      <c r="AX48" s="1"/>
      <c r="AY48" s="1"/>
      <c r="AZ48" s="1"/>
      <c r="BA48" s="1"/>
      <c r="BB48" s="1"/>
      <c r="BC48" s="1"/>
    </row>
    <row r="49" spans="1:60" ht="18" customHeight="1">
      <c r="A49" s="224"/>
      <c r="B49" s="153">
        <f>INPUT!B46</f>
      </c>
      <c r="C49" s="149"/>
      <c r="D49" s="149"/>
      <c r="E49" s="149"/>
      <c r="F49" s="360" t="str">
        <f>TERM1!Y48</f>
        <v/>
      </c>
      <c r="G49" s="298"/>
      <c r="H49" s="298"/>
      <c r="I49" s="299"/>
      <c r="J49" s="360" t="str">
        <f>TERM2!Y48</f>
        <v/>
      </c>
      <c r="K49" s="298"/>
      <c r="L49" s="298"/>
      <c r="M49" s="299"/>
      <c r="N49" s="322" t="str">
        <f>TERM3!Y48</f>
        <v/>
      </c>
      <c r="O49" s="298"/>
      <c r="P49" s="298"/>
      <c r="Q49" s="299"/>
      <c r="R49" s="361" t="str">
        <f t="shared" si="0"/>
        <v/>
      </c>
      <c r="S49" s="277"/>
      <c r="T49" s="277"/>
      <c r="U49" s="278"/>
      <c r="V49" s="360" t="str">
        <f t="shared" si="1"/>
        <v/>
      </c>
      <c r="W49" s="277"/>
      <c r="X49" s="277"/>
      <c r="Y49" s="278"/>
      <c r="Z49" s="362" t="str">
        <f t="shared" si="2"/>
        <v/>
      </c>
      <c r="AA49" s="277"/>
      <c r="AB49" s="363"/>
      <c r="AI49" s="145"/>
      <c r="AK49" s="2"/>
      <c r="AN49" s="1"/>
      <c r="AO49" s="1"/>
      <c r="AP49" s="1"/>
      <c r="AQ49" s="1"/>
      <c r="AR49" s="1"/>
      <c r="AS49" s="1"/>
      <c r="AT49" s="1"/>
      <c r="AU49" s="1"/>
      <c r="AV49" s="1"/>
      <c r="AW49" s="1"/>
      <c r="AX49" s="1"/>
      <c r="AY49" s="1"/>
      <c r="AZ49" s="1"/>
      <c r="BA49" s="1"/>
      <c r="BB49" s="1"/>
      <c r="BC49" s="1"/>
    </row>
    <row r="50" spans="1:60" ht="18" customHeight="1">
      <c r="A50" s="224"/>
      <c r="B50" s="153">
        <f>INPUT!B47</f>
      </c>
      <c r="C50" s="149"/>
      <c r="D50" s="149"/>
      <c r="E50" s="149"/>
      <c r="F50" s="360" t="str">
        <f>TERM1!Y49</f>
        <v/>
      </c>
      <c r="G50" s="298"/>
      <c r="H50" s="298"/>
      <c r="I50" s="299"/>
      <c r="J50" s="360" t="str">
        <f>TERM2!Y49</f>
        <v/>
      </c>
      <c r="K50" s="298"/>
      <c r="L50" s="298"/>
      <c r="M50" s="299"/>
      <c r="N50" s="322" t="str">
        <f>TERM3!Y49</f>
        <v/>
      </c>
      <c r="O50" s="298"/>
      <c r="P50" s="298"/>
      <c r="Q50" s="299"/>
      <c r="R50" s="361" t="str">
        <f t="shared" si="0"/>
        <v/>
      </c>
      <c r="S50" s="277"/>
      <c r="T50" s="277"/>
      <c r="U50" s="278"/>
      <c r="V50" s="360" t="str">
        <f t="shared" si="1"/>
        <v/>
      </c>
      <c r="W50" s="277"/>
      <c r="X50" s="277"/>
      <c r="Y50" s="278"/>
      <c r="Z50" s="362" t="str">
        <f t="shared" si="2"/>
        <v/>
      </c>
      <c r="AA50" s="277"/>
      <c r="AB50" s="363"/>
      <c r="AI50" s="145"/>
      <c r="AK50" s="2"/>
      <c r="AN50" s="1"/>
      <c r="AO50" s="1"/>
      <c r="AP50" s="1"/>
      <c r="AQ50" s="1"/>
      <c r="AR50" s="1"/>
      <c r="AS50" s="1"/>
      <c r="AT50" s="1"/>
      <c r="AU50" s="1"/>
      <c r="AV50" s="1"/>
      <c r="AW50" s="1"/>
      <c r="AX50" s="1"/>
      <c r="AY50" s="1"/>
      <c r="AZ50" s="1"/>
      <c r="BA50" s="1"/>
      <c r="BB50" s="1"/>
      <c r="BC50" s="1"/>
    </row>
    <row r="51" spans="1:60" ht="18" customHeight="1">
      <c r="A51" s="224"/>
      <c r="B51" s="153">
        <f>INPUT!B48</f>
      </c>
      <c r="C51" s="149"/>
      <c r="D51" s="149"/>
      <c r="E51" s="149"/>
      <c r="F51" s="360" t="str">
        <f>TERM1!Y50</f>
        <v/>
      </c>
      <c r="G51" s="298"/>
      <c r="H51" s="298"/>
      <c r="I51" s="299"/>
      <c r="J51" s="360" t="str">
        <f>TERM2!Y50</f>
        <v/>
      </c>
      <c r="K51" s="298"/>
      <c r="L51" s="298"/>
      <c r="M51" s="299"/>
      <c r="N51" s="322" t="str">
        <f>TERM3!Y50</f>
        <v/>
      </c>
      <c r="O51" s="298"/>
      <c r="P51" s="298"/>
      <c r="Q51" s="299"/>
      <c r="R51" s="361" t="str">
        <f t="shared" si="0"/>
        <v/>
      </c>
      <c r="S51" s="277"/>
      <c r="T51" s="277"/>
      <c r="U51" s="278"/>
      <c r="V51" s="360" t="str">
        <f t="shared" si="1"/>
        <v/>
      </c>
      <c r="W51" s="277"/>
      <c r="X51" s="277"/>
      <c r="Y51" s="278"/>
      <c r="Z51" s="362" t="str">
        <f t="shared" si="2"/>
        <v/>
      </c>
      <c r="AA51" s="277"/>
      <c r="AB51" s="363"/>
      <c r="AI51" s="145"/>
      <c r="AK51" s="2"/>
      <c r="AN51" s="1"/>
      <c r="AO51" s="1"/>
      <c r="AP51" s="1"/>
      <c r="AQ51" s="1"/>
      <c r="AR51" s="1"/>
      <c r="AS51" s="1"/>
      <c r="AT51" s="1"/>
      <c r="AU51" s="1"/>
      <c r="AV51" s="1"/>
      <c r="AW51" s="1"/>
      <c r="AX51" s="1"/>
      <c r="AY51" s="1"/>
      <c r="AZ51" s="1"/>
      <c r="BA51" s="1"/>
      <c r="BB51" s="1"/>
      <c r="BC51" s="1"/>
    </row>
    <row r="52" spans="1:60" ht="18" customHeight="1">
      <c r="A52" s="224"/>
      <c r="B52" s="153">
        <f>INPUT!B49</f>
      </c>
      <c r="C52" s="149"/>
      <c r="D52" s="149"/>
      <c r="E52" s="149"/>
      <c r="F52" s="360" t="str">
        <f>TERM1!Y51</f>
        <v/>
      </c>
      <c r="G52" s="298"/>
      <c r="H52" s="298"/>
      <c r="I52" s="299"/>
      <c r="J52" s="360" t="str">
        <f>TERM2!Y51</f>
        <v/>
      </c>
      <c r="K52" s="298"/>
      <c r="L52" s="298"/>
      <c r="M52" s="299"/>
      <c r="N52" s="322" t="str">
        <f>TERM3!Y51</f>
        <v/>
      </c>
      <c r="O52" s="298"/>
      <c r="P52" s="298"/>
      <c r="Q52" s="299"/>
      <c r="R52" s="361" t="str">
        <f t="shared" si="0"/>
        <v/>
      </c>
      <c r="S52" s="277"/>
      <c r="T52" s="277"/>
      <c r="U52" s="278"/>
      <c r="V52" s="360" t="str">
        <f t="shared" si="1"/>
        <v/>
      </c>
      <c r="W52" s="277"/>
      <c r="X52" s="277"/>
      <c r="Y52" s="278"/>
      <c r="Z52" s="362" t="str">
        <f t="shared" si="2"/>
        <v/>
      </c>
      <c r="AA52" s="277"/>
      <c r="AB52" s="363"/>
      <c r="AI52" s="145"/>
      <c r="AK52" s="2"/>
      <c r="AN52" s="1"/>
      <c r="AO52" s="1"/>
      <c r="AP52" s="1"/>
      <c r="AQ52" s="1"/>
      <c r="AR52" s="1"/>
      <c r="AS52" s="1"/>
      <c r="AT52" s="1"/>
      <c r="AU52" s="1"/>
      <c r="AV52" s="1"/>
      <c r="AW52" s="1"/>
      <c r="AX52" s="1"/>
      <c r="AY52" s="1"/>
      <c r="AZ52" s="1"/>
      <c r="BA52" s="1"/>
      <c r="BB52" s="1"/>
      <c r="BC52" s="1"/>
    </row>
    <row r="53" spans="1:60" ht="18" customHeight="1">
      <c r="A53" s="224"/>
      <c r="B53" s="153">
        <f>INPUT!B50</f>
      </c>
      <c r="C53" s="149"/>
      <c r="D53" s="149"/>
      <c r="E53" s="149"/>
      <c r="F53" s="360" t="str">
        <f>TERM1!Y52</f>
        <v/>
      </c>
      <c r="G53" s="298"/>
      <c r="H53" s="298"/>
      <c r="I53" s="299"/>
      <c r="J53" s="360" t="str">
        <f>TERM2!Y52</f>
        <v/>
      </c>
      <c r="K53" s="298"/>
      <c r="L53" s="298"/>
      <c r="M53" s="299"/>
      <c r="N53" s="322" t="str">
        <f>TERM3!Y52</f>
        <v/>
      </c>
      <c r="O53" s="298"/>
      <c r="P53" s="298"/>
      <c r="Q53" s="299"/>
      <c r="R53" s="361" t="str">
        <f t="shared" si="0"/>
        <v/>
      </c>
      <c r="S53" s="277"/>
      <c r="T53" s="277"/>
      <c r="U53" s="278"/>
      <c r="V53" s="360" t="str">
        <f t="shared" si="1"/>
        <v/>
      </c>
      <c r="W53" s="277"/>
      <c r="X53" s="277"/>
      <c r="Y53" s="278"/>
      <c r="Z53" s="362" t="str">
        <f t="shared" si="2"/>
        <v/>
      </c>
      <c r="AA53" s="277"/>
      <c r="AB53" s="363"/>
      <c r="AI53" s="145"/>
      <c r="AK53" s="2"/>
      <c r="AN53" s="1"/>
      <c r="AO53" s="1"/>
      <c r="AP53" s="1"/>
      <c r="AQ53" s="1"/>
      <c r="AR53" s="1"/>
      <c r="AS53" s="1"/>
      <c r="AT53" s="1"/>
      <c r="AU53" s="1"/>
      <c r="AV53" s="1"/>
      <c r="AW53" s="1"/>
      <c r="AX53" s="1"/>
      <c r="AY53" s="1"/>
      <c r="AZ53" s="1"/>
      <c r="BA53" s="1"/>
      <c r="BB53" s="1"/>
      <c r="BC53" s="1"/>
    </row>
    <row r="54" spans="1:60" ht="18" customHeight="1">
      <c r="A54" s="224"/>
      <c r="B54" s="153">
        <f>INPUT!B51</f>
      </c>
      <c r="C54" s="149"/>
      <c r="D54" s="149"/>
      <c r="E54" s="149"/>
      <c r="F54" s="360" t="str">
        <f>TERM1!Y53</f>
        <v/>
      </c>
      <c r="G54" s="298"/>
      <c r="H54" s="298"/>
      <c r="I54" s="299"/>
      <c r="J54" s="360" t="str">
        <f>TERM2!Y53</f>
        <v/>
      </c>
      <c r="K54" s="298"/>
      <c r="L54" s="298"/>
      <c r="M54" s="299"/>
      <c r="N54" s="322" t="str">
        <f>TERM3!Y53</f>
        <v/>
      </c>
      <c r="O54" s="298"/>
      <c r="P54" s="298"/>
      <c r="Q54" s="299"/>
      <c r="R54" s="361" t="str">
        <f t="shared" si="0"/>
        <v/>
      </c>
      <c r="S54" s="277"/>
      <c r="T54" s="277"/>
      <c r="U54" s="278"/>
      <c r="V54" s="360" t="str">
        <f t="shared" si="1"/>
        <v/>
      </c>
      <c r="W54" s="277"/>
      <c r="X54" s="277"/>
      <c r="Y54" s="278"/>
      <c r="Z54" s="362" t="str">
        <f t="shared" si="2"/>
        <v/>
      </c>
      <c r="AA54" s="277"/>
      <c r="AB54" s="363"/>
      <c r="AI54" s="145"/>
      <c r="AK54" s="2"/>
      <c r="AN54" s="1"/>
      <c r="AO54" s="1"/>
      <c r="AP54" s="1"/>
      <c r="AQ54" s="1"/>
      <c r="AR54" s="1"/>
      <c r="AS54" s="1"/>
      <c r="AT54" s="1"/>
      <c r="AU54" s="1"/>
      <c r="AV54" s="1"/>
      <c r="AW54" s="1"/>
      <c r="AX54" s="1"/>
      <c r="AY54" s="1"/>
      <c r="AZ54" s="1"/>
      <c r="BA54" s="1"/>
      <c r="BB54" s="1"/>
      <c r="BC54" s="1"/>
    </row>
    <row r="55" spans="1:60" ht="18" customHeight="1">
      <c r="A55" s="224"/>
      <c r="B55" s="153">
        <f>INPUT!B52</f>
      </c>
      <c r="C55" s="149"/>
      <c r="D55" s="149"/>
      <c r="E55" s="149"/>
      <c r="F55" s="360" t="str">
        <f>TERM1!Y54</f>
        <v/>
      </c>
      <c r="G55" s="298"/>
      <c r="H55" s="298"/>
      <c r="I55" s="299"/>
      <c r="J55" s="360" t="str">
        <f>TERM2!Y54</f>
        <v/>
      </c>
      <c r="K55" s="298"/>
      <c r="L55" s="298"/>
      <c r="M55" s="299"/>
      <c r="N55" s="322" t="str">
        <f>TERM3!Y54</f>
        <v/>
      </c>
      <c r="O55" s="298"/>
      <c r="P55" s="298"/>
      <c r="Q55" s="299"/>
      <c r="R55" s="361" t="str">
        <f t="shared" si="0"/>
        <v/>
      </c>
      <c r="S55" s="277"/>
      <c r="T55" s="277"/>
      <c r="U55" s="278"/>
      <c r="V55" s="360" t="str">
        <f t="shared" si="1"/>
        <v/>
      </c>
      <c r="W55" s="277"/>
      <c r="X55" s="277"/>
      <c r="Y55" s="278"/>
      <c r="Z55" s="362" t="str">
        <f t="shared" si="2"/>
        <v/>
      </c>
      <c r="AA55" s="277"/>
      <c r="AB55" s="363"/>
      <c r="AI55" s="145"/>
      <c r="AK55" s="2"/>
      <c r="AN55" s="1"/>
      <c r="AO55" s="1"/>
      <c r="AP55" s="1"/>
      <c r="AQ55" s="1"/>
      <c r="AR55" s="1"/>
      <c r="AS55" s="1"/>
      <c r="AT55" s="1"/>
      <c r="AU55" s="1"/>
      <c r="AV55" s="1"/>
      <c r="AW55" s="1"/>
      <c r="AX55" s="1"/>
      <c r="AY55" s="1"/>
      <c r="AZ55" s="1"/>
      <c r="BA55" s="1"/>
      <c r="BB55" s="1"/>
      <c r="BC55" s="1"/>
    </row>
    <row r="56" spans="1:60" ht="18" customHeight="1">
      <c r="A56" s="224"/>
      <c r="B56" s="153">
        <f>INPUT!B53</f>
      </c>
      <c r="C56" s="149"/>
      <c r="D56" s="149"/>
      <c r="E56" s="149"/>
      <c r="F56" s="360" t="str">
        <f>TERM1!Y55</f>
        <v/>
      </c>
      <c r="G56" s="298"/>
      <c r="H56" s="298"/>
      <c r="I56" s="299"/>
      <c r="J56" s="360" t="str">
        <f>TERM2!Y55</f>
        <v/>
      </c>
      <c r="K56" s="298"/>
      <c r="L56" s="298"/>
      <c r="M56" s="299"/>
      <c r="N56" s="322" t="str">
        <f>TERM3!Y55</f>
        <v/>
      </c>
      <c r="O56" s="298"/>
      <c r="P56" s="298"/>
      <c r="Q56" s="299"/>
      <c r="R56" s="361" t="str">
        <f t="shared" si="0"/>
        <v/>
      </c>
      <c r="S56" s="277"/>
      <c r="T56" s="277"/>
      <c r="U56" s="278"/>
      <c r="V56" s="360" t="str">
        <f t="shared" si="1"/>
        <v/>
      </c>
      <c r="W56" s="277"/>
      <c r="X56" s="277"/>
      <c r="Y56" s="278"/>
      <c r="Z56" s="362" t="str">
        <f t="shared" si="2"/>
        <v/>
      </c>
      <c r="AA56" s="277"/>
      <c r="AB56" s="363"/>
      <c r="AI56" s="145"/>
      <c r="AK56" s="2"/>
      <c r="AN56" s="1"/>
      <c r="AO56" s="1"/>
      <c r="AP56" s="1"/>
      <c r="AQ56" s="1"/>
      <c r="AR56" s="1"/>
      <c r="AS56" s="1"/>
      <c r="AT56" s="1"/>
      <c r="AU56" s="1"/>
      <c r="AV56" s="1"/>
      <c r="AW56" s="1"/>
      <c r="AX56" s="1"/>
      <c r="AY56" s="1"/>
      <c r="AZ56" s="1"/>
      <c r="BA56" s="1"/>
      <c r="BB56" s="1"/>
      <c r="BC56" s="1"/>
    </row>
    <row r="57" spans="1:60" ht="18" customHeight="1">
      <c r="A57" s="224"/>
      <c r="B57" s="153">
        <f>INPUT!B54</f>
      </c>
      <c r="C57" s="149"/>
      <c r="D57" s="149"/>
      <c r="E57" s="149"/>
      <c r="F57" s="360" t="str">
        <f>TERM1!Y56</f>
        <v/>
      </c>
      <c r="G57" s="298"/>
      <c r="H57" s="298"/>
      <c r="I57" s="299"/>
      <c r="J57" s="360" t="str">
        <f>TERM2!Y56</f>
        <v/>
      </c>
      <c r="K57" s="298"/>
      <c r="L57" s="298"/>
      <c r="M57" s="299"/>
      <c r="N57" s="322" t="str">
        <f>TERM3!Y56</f>
        <v/>
      </c>
      <c r="O57" s="298"/>
      <c r="P57" s="298"/>
      <c r="Q57" s="299"/>
      <c r="R57" s="361" t="str">
        <f t="shared" si="0"/>
        <v/>
      </c>
      <c r="S57" s="277"/>
      <c r="T57" s="277"/>
      <c r="U57" s="278"/>
      <c r="V57" s="360" t="str">
        <f t="shared" si="1"/>
        <v/>
      </c>
      <c r="W57" s="277"/>
      <c r="X57" s="277"/>
      <c r="Y57" s="278"/>
      <c r="Z57" s="362" t="str">
        <f t="shared" si="2"/>
        <v/>
      </c>
      <c r="AA57" s="277"/>
      <c r="AB57" s="363"/>
      <c r="AI57" s="145"/>
      <c r="AK57" s="2"/>
      <c r="AN57" s="1"/>
      <c r="AO57" s="1"/>
      <c r="AP57" s="1"/>
      <c r="AQ57" s="1"/>
      <c r="AR57" s="1"/>
      <c r="AS57" s="1"/>
      <c r="AT57" s="1"/>
      <c r="AU57" s="1"/>
      <c r="AV57" s="1"/>
      <c r="AW57" s="1"/>
      <c r="AX57" s="1"/>
      <c r="AY57" s="1"/>
      <c r="AZ57" s="1"/>
      <c r="BA57" s="1"/>
      <c r="BB57" s="1"/>
      <c r="BC57" s="1"/>
    </row>
    <row r="58" spans="1:60" ht="18" customHeight="1">
      <c r="A58" s="224"/>
      <c r="B58" s="153">
        <f>INPUT!B55</f>
      </c>
      <c r="C58" s="149"/>
      <c r="D58" s="149"/>
      <c r="E58" s="149"/>
      <c r="F58" s="360" t="str">
        <f>TERM1!Y57</f>
        <v/>
      </c>
      <c r="G58" s="298"/>
      <c r="H58" s="298"/>
      <c r="I58" s="299"/>
      <c r="J58" s="360" t="str">
        <f>TERM2!Y57</f>
        <v/>
      </c>
      <c r="K58" s="298"/>
      <c r="L58" s="298"/>
      <c r="M58" s="299"/>
      <c r="N58" s="322" t="str">
        <f>TERM3!Y57</f>
        <v/>
      </c>
      <c r="O58" s="298"/>
      <c r="P58" s="298"/>
      <c r="Q58" s="299"/>
      <c r="R58" s="361" t="str">
        <f t="shared" si="0"/>
        <v/>
      </c>
      <c r="S58" s="277"/>
      <c r="T58" s="277"/>
      <c r="U58" s="278"/>
      <c r="V58" s="360" t="str">
        <f t="shared" si="1"/>
        <v/>
      </c>
      <c r="W58" s="277"/>
      <c r="X58" s="277"/>
      <c r="Y58" s="278"/>
      <c r="Z58" s="362" t="str">
        <f t="shared" si="2"/>
        <v/>
      </c>
      <c r="AA58" s="277"/>
      <c r="AB58" s="363"/>
      <c r="AI58" s="145"/>
      <c r="AK58" s="2"/>
      <c r="AN58" s="1"/>
      <c r="AO58" s="1"/>
      <c r="AP58" s="1"/>
      <c r="AQ58" s="1"/>
      <c r="AR58" s="1"/>
      <c r="AS58" s="1"/>
      <c r="AT58" s="1"/>
      <c r="AU58" s="1"/>
      <c r="AV58" s="1"/>
      <c r="AW58" s="1"/>
      <c r="AX58" s="1"/>
      <c r="AY58" s="1"/>
      <c r="AZ58" s="1"/>
      <c r="BA58" s="1"/>
      <c r="BB58" s="1"/>
      <c r="BC58" s="1"/>
    </row>
    <row r="59" spans="1:60" ht="18" customHeight="1">
      <c r="A59" s="224"/>
      <c r="B59" s="153">
        <f>INPUT!B56</f>
      </c>
      <c r="C59" s="149"/>
      <c r="D59" s="149"/>
      <c r="E59" s="149"/>
      <c r="F59" s="360" t="str">
        <f>TERM1!Y58</f>
        <v/>
      </c>
      <c r="G59" s="298"/>
      <c r="H59" s="298"/>
      <c r="I59" s="299"/>
      <c r="J59" s="360" t="str">
        <f>TERM2!Y58</f>
        <v/>
      </c>
      <c r="K59" s="298"/>
      <c r="L59" s="298"/>
      <c r="M59" s="299"/>
      <c r="N59" s="322" t="str">
        <f>TERM3!Y58</f>
        <v/>
      </c>
      <c r="O59" s="298"/>
      <c r="P59" s="298"/>
      <c r="Q59" s="299"/>
      <c r="R59" s="361" t="str">
        <f t="shared" si="0"/>
        <v/>
      </c>
      <c r="S59" s="277"/>
      <c r="T59" s="277"/>
      <c r="U59" s="278"/>
      <c r="V59" s="360" t="str">
        <f t="shared" si="1"/>
        <v/>
      </c>
      <c r="W59" s="277"/>
      <c r="X59" s="277"/>
      <c r="Y59" s="278"/>
      <c r="Z59" s="362" t="str">
        <f t="shared" si="2"/>
        <v/>
      </c>
      <c r="AA59" s="277"/>
      <c r="AB59" s="363"/>
      <c r="AI59" s="145"/>
      <c r="AK59" s="2"/>
      <c r="AN59" s="1"/>
      <c r="AO59" s="1"/>
      <c r="AP59" s="1"/>
      <c r="AQ59" s="1"/>
      <c r="AR59" s="1"/>
      <c r="AS59" s="1"/>
      <c r="AT59" s="1"/>
      <c r="AU59" s="1"/>
      <c r="AV59" s="1"/>
      <c r="AW59" s="1"/>
      <c r="AX59" s="1"/>
      <c r="AY59" s="1"/>
      <c r="AZ59" s="1"/>
      <c r="BA59" s="1"/>
      <c r="BB59" s="1"/>
      <c r="BC59" s="1"/>
    </row>
    <row r="60" spans="1:60" ht="18" customHeight="1">
      <c r="A60" s="224"/>
      <c r="B60" s="153">
        <f>INPUT!B57</f>
      </c>
      <c r="C60" s="149"/>
      <c r="D60" s="149"/>
      <c r="E60" s="149"/>
      <c r="F60" s="360" t="str">
        <f>TERM1!Y59</f>
        <v/>
      </c>
      <c r="G60" s="298"/>
      <c r="H60" s="298"/>
      <c r="I60" s="299"/>
      <c r="J60" s="360" t="str">
        <f>TERM2!Y59</f>
        <v/>
      </c>
      <c r="K60" s="298"/>
      <c r="L60" s="298"/>
      <c r="M60" s="299"/>
      <c r="N60" s="322" t="str">
        <f>TERM3!Y59</f>
        <v/>
      </c>
      <c r="O60" s="298"/>
      <c r="P60" s="298"/>
      <c r="Q60" s="299"/>
      <c r="R60" s="361" t="str">
        <f t="shared" si="0"/>
        <v/>
      </c>
      <c r="S60" s="277"/>
      <c r="T60" s="277"/>
      <c r="U60" s="278"/>
      <c r="V60" s="360" t="str">
        <f t="shared" si="1"/>
        <v/>
      </c>
      <c r="W60" s="277"/>
      <c r="X60" s="277"/>
      <c r="Y60" s="278"/>
      <c r="Z60" s="362" t="str">
        <f t="shared" si="2"/>
        <v/>
      </c>
      <c r="AA60" s="277"/>
      <c r="AB60" s="363"/>
      <c r="AI60" s="145"/>
      <c r="AK60" s="2"/>
      <c r="AN60" s="1"/>
      <c r="AO60" s="1"/>
      <c r="AP60" s="1"/>
      <c r="AQ60" s="1"/>
      <c r="AR60" s="1"/>
      <c r="AS60" s="1"/>
      <c r="AT60" s="1"/>
      <c r="AU60" s="1"/>
      <c r="AV60" s="1"/>
      <c r="AW60" s="1"/>
      <c r="AX60" s="1"/>
      <c r="AY60" s="1"/>
      <c r="AZ60" s="1"/>
      <c r="BA60" s="1"/>
      <c r="BB60" s="1"/>
      <c r="BC60" s="1"/>
    </row>
    <row r="61" spans="1:60" ht="18" customHeight="1">
      <c r="A61" s="224"/>
      <c r="B61" s="153">
        <f>INPUT!B58</f>
      </c>
      <c r="C61" s="149"/>
      <c r="D61" s="149"/>
      <c r="E61" s="149"/>
      <c r="F61" s="360" t="str">
        <f>TERM1!Y60</f>
        <v/>
      </c>
      <c r="G61" s="298"/>
      <c r="H61" s="298"/>
      <c r="I61" s="299"/>
      <c r="J61" s="360" t="str">
        <f>TERM2!Y60</f>
        <v/>
      </c>
      <c r="K61" s="298"/>
      <c r="L61" s="298"/>
      <c r="M61" s="299"/>
      <c r="N61" s="322" t="str">
        <f>TERM3!Y60</f>
        <v/>
      </c>
      <c r="O61" s="298"/>
      <c r="P61" s="298"/>
      <c r="Q61" s="299"/>
      <c r="R61" s="361" t="str">
        <f t="shared" si="0"/>
        <v/>
      </c>
      <c r="S61" s="277"/>
      <c r="T61" s="277"/>
      <c r="U61" s="278"/>
      <c r="V61" s="360" t="str">
        <f t="shared" si="1"/>
        <v/>
      </c>
      <c r="W61" s="277"/>
      <c r="X61" s="277"/>
      <c r="Y61" s="278"/>
      <c r="Z61" s="362" t="str">
        <f t="shared" si="2"/>
        <v/>
      </c>
      <c r="AA61" s="277"/>
      <c r="AB61" s="363"/>
      <c r="AI61" s="145"/>
      <c r="AK61" s="2"/>
      <c r="AN61" s="1"/>
      <c r="AO61" s="1"/>
      <c r="AP61" s="1"/>
      <c r="AQ61" s="1"/>
      <c r="AR61" s="1"/>
      <c r="AS61" s="1"/>
      <c r="AT61" s="1"/>
      <c r="AU61" s="1"/>
      <c r="AV61" s="1"/>
      <c r="AW61" s="1"/>
      <c r="AX61" s="1"/>
      <c r="AY61" s="1"/>
      <c r="AZ61" s="1"/>
      <c r="BA61" s="1"/>
      <c r="BB61" s="1"/>
      <c r="BC61" s="1"/>
    </row>
    <row r="62" spans="1:60" ht="18" customHeight="1">
      <c r="A62" s="224"/>
      <c r="B62" s="153">
        <f>INPUT!B59</f>
      </c>
      <c r="C62" s="149"/>
      <c r="D62" s="149"/>
      <c r="E62" s="149"/>
      <c r="F62" s="360" t="str">
        <f>TERM1!Y61</f>
        <v/>
      </c>
      <c r="G62" s="298"/>
      <c r="H62" s="298"/>
      <c r="I62" s="299"/>
      <c r="J62" s="360" t="str">
        <f>TERM2!Y61</f>
        <v/>
      </c>
      <c r="K62" s="298"/>
      <c r="L62" s="298"/>
      <c r="M62" s="299"/>
      <c r="N62" s="322" t="str">
        <f>TERM3!Y61</f>
        <v/>
      </c>
      <c r="O62" s="298"/>
      <c r="P62" s="298"/>
      <c r="Q62" s="299"/>
      <c r="R62" s="361" t="str">
        <f t="shared" si="0"/>
        <v/>
      </c>
      <c r="S62" s="277"/>
      <c r="T62" s="277"/>
      <c r="U62" s="278"/>
      <c r="V62" s="360" t="str">
        <f t="shared" si="1"/>
        <v/>
      </c>
      <c r="W62" s="277"/>
      <c r="X62" s="277"/>
      <c r="Y62" s="278"/>
      <c r="Z62" s="362" t="str">
        <f t="shared" si="2"/>
        <v/>
      </c>
      <c r="AA62" s="277"/>
      <c r="AB62" s="363"/>
      <c r="AI62" s="145"/>
      <c r="AK62" s="2"/>
      <c r="AN62" s="1"/>
      <c r="AO62" s="1"/>
      <c r="AP62" s="1"/>
      <c r="AQ62" s="1"/>
      <c r="AR62" s="1"/>
      <c r="AS62" s="1"/>
      <c r="AT62" s="1"/>
      <c r="AU62" s="1"/>
      <c r="AV62" s="1"/>
      <c r="AW62" s="1"/>
      <c r="AX62" s="1"/>
      <c r="AY62" s="1"/>
      <c r="AZ62" s="1"/>
      <c r="BA62" s="1"/>
      <c r="BB62" s="1"/>
      <c r="BC62" s="1"/>
    </row>
    <row r="63" spans="1:60" ht="18" customHeight="1" thickBot="1">
      <c r="A63" s="225"/>
      <c r="B63" s="153">
        <f>INPUT!B60</f>
      </c>
      <c r="C63" s="150">
        <v>0</v>
      </c>
      <c r="D63" s="150"/>
      <c r="E63" s="150"/>
      <c r="F63" s="364" t="str">
        <f>TERM1!Y62</f>
        <v/>
      </c>
      <c r="G63" s="365"/>
      <c r="H63" s="365"/>
      <c r="I63" s="366"/>
      <c r="J63" s="364" t="str">
        <f>TERM2!Y62</f>
        <v/>
      </c>
      <c r="K63" s="365"/>
      <c r="L63" s="365"/>
      <c r="M63" s="366"/>
      <c r="N63" s="379" t="str">
        <f>TERM3!Y62</f>
        <v/>
      </c>
      <c r="O63" s="365"/>
      <c r="P63" s="365"/>
      <c r="Q63" s="366"/>
      <c r="R63" s="367" t="str">
        <f t="shared" si="0"/>
        <v/>
      </c>
      <c r="S63" s="368"/>
      <c r="T63" s="368"/>
      <c r="U63" s="369"/>
      <c r="V63" s="364" t="str">
        <f t="shared" si="1"/>
        <v/>
      </c>
      <c r="W63" s="368"/>
      <c r="X63" s="368"/>
      <c r="Y63" s="369"/>
      <c r="Z63" s="370" t="str">
        <f t="shared" si="2"/>
        <v/>
      </c>
      <c r="AA63" s="371"/>
      <c r="AB63" s="372"/>
      <c r="AI63" s="145"/>
      <c r="AK63" s="2"/>
      <c r="AN63" s="1"/>
      <c r="AO63" s="1"/>
      <c r="AP63" s="1"/>
      <c r="AQ63" s="1"/>
      <c r="AR63" s="1"/>
      <c r="AS63" s="1"/>
      <c r="AT63" s="1"/>
      <c r="AU63" s="1"/>
      <c r="AV63" s="1"/>
      <c r="AW63" s="1"/>
      <c r="AX63" s="1"/>
      <c r="AY63" s="1"/>
      <c r="AZ63" s="1"/>
      <c r="BA63" s="1"/>
      <c r="BB63" s="1"/>
      <c r="BC63" s="1"/>
    </row>
    <row r="64" spans="1:60" ht="18" hidden="1" customHeight="1" thickBot="1">
      <c r="A64" s="255" t="s">
        <v>157</v>
      </c>
      <c r="B64" s="289" t="s">
        <v>158</v>
      </c>
      <c r="C64" s="289"/>
      <c r="D64" s="289"/>
      <c r="E64" s="231" t="s">
        <v>157</v>
      </c>
      <c r="F64" s="233" t="s">
        <v>158</v>
      </c>
      <c r="G64" s="233"/>
      <c r="H64" s="233"/>
      <c r="I64" s="231" t="s">
        <v>157</v>
      </c>
      <c r="J64" s="233" t="s">
        <v>158</v>
      </c>
      <c r="K64" s="233"/>
      <c r="L64" s="233"/>
      <c r="M64" s="231" t="s">
        <v>157</v>
      </c>
      <c r="N64" s="233" t="s">
        <v>158</v>
      </c>
      <c r="O64" s="233"/>
      <c r="P64" s="233"/>
      <c r="Q64" s="231" t="s">
        <v>157</v>
      </c>
      <c r="R64" s="233" t="s">
        <v>158</v>
      </c>
      <c r="S64" s="233"/>
      <c r="T64" s="233"/>
      <c r="U64" s="231" t="s">
        <v>157</v>
      </c>
      <c r="V64" s="233" t="s">
        <v>158</v>
      </c>
      <c r="W64" s="233"/>
      <c r="X64" s="233"/>
      <c r="Y64" s="231" t="s">
        <v>157</v>
      </c>
      <c r="Z64" s="287" t="s">
        <v>158</v>
      </c>
      <c r="AA64" s="287"/>
      <c r="AB64" s="287"/>
      <c r="AC64" s="231" t="s">
        <v>157</v>
      </c>
      <c r="AD64" s="287" t="s">
        <v>158</v>
      </c>
      <c r="AE64" s="287"/>
      <c r="AF64" s="287"/>
      <c r="AG64" s="231" t="s">
        <v>157</v>
      </c>
      <c r="AH64" s="287" t="s">
        <v>158</v>
      </c>
      <c r="AI64" s="287"/>
      <c r="AJ64" s="287"/>
      <c r="AK64" s="231" t="s">
        <v>157</v>
      </c>
      <c r="AL64" s="287" t="s">
        <v>158</v>
      </c>
      <c r="AM64" s="287"/>
      <c r="AN64" s="287"/>
      <c r="AO64" s="231" t="s">
        <v>157</v>
      </c>
      <c r="AP64" s="287" t="s">
        <v>158</v>
      </c>
      <c r="AQ64" s="287"/>
      <c r="AR64" s="287"/>
      <c r="AS64" s="231" t="s">
        <v>157</v>
      </c>
      <c r="AT64" s="287" t="s">
        <v>158</v>
      </c>
      <c r="AU64" s="287"/>
      <c r="AV64" s="287"/>
      <c r="AW64" s="231" t="s">
        <v>157</v>
      </c>
      <c r="AX64" s="287" t="s">
        <v>158</v>
      </c>
      <c r="AY64" s="287"/>
      <c r="AZ64" s="287"/>
      <c r="BA64" s="231" t="s">
        <v>157</v>
      </c>
      <c r="BB64" s="287" t="s">
        <v>158</v>
      </c>
      <c r="BC64" s="287"/>
      <c r="BD64" s="287"/>
      <c r="BE64" s="231" t="s">
        <v>157</v>
      </c>
      <c r="BF64" s="287" t="s">
        <v>158</v>
      </c>
      <c r="BG64" s="287"/>
      <c r="BH64" s="287"/>
    </row>
    <row r="65" spans="1:55" ht="18" customHeight="1" thickBot="1">
      <c r="A65" s="226"/>
      <c r="B65" s="151" t="s">
        <v>14</v>
      </c>
      <c r="C65" s="147"/>
      <c r="D65" s="147"/>
      <c r="E65" s="151"/>
      <c r="F65" s="380"/>
      <c r="G65" s="281"/>
      <c r="H65" s="281"/>
      <c r="I65" s="381"/>
      <c r="J65" s="380"/>
      <c r="K65" s="281"/>
      <c r="L65" s="281"/>
      <c r="M65" s="381"/>
      <c r="N65" s="380"/>
      <c r="O65" s="281"/>
      <c r="P65" s="281"/>
      <c r="Q65" s="381"/>
      <c r="R65" s="382"/>
      <c r="S65" s="281"/>
      <c r="T65" s="281"/>
      <c r="U65" s="381"/>
      <c r="V65" s="382" t="str">
        <f>IF(OR(F65="",J65="",N65="",R65=""),"",IF(ISERROR(ROUND(AVERAGE(F65,J65,N65,R65),0)),"",ROUND(AVERAGE(F65,J65,N65,R65),0)))</f>
        <v/>
      </c>
      <c r="W65" s="281"/>
      <c r="X65" s="281"/>
      <c r="Y65" s="381"/>
      <c r="Z65" s="383" t="str">
        <f>IF(OR($F65="",$J65="",$N65="",$R65="",$V65=""),"",IF($V65&gt;=75,"PASSED","FAILED"))</f>
        <v/>
      </c>
      <c r="AA65" s="281"/>
      <c r="AB65" s="384"/>
      <c r="AI65" s="145"/>
      <c r="AK65" s="2"/>
      <c r="AN65" s="1"/>
      <c r="AO65" s="1"/>
      <c r="AP65" s="1"/>
      <c r="AQ65" s="1"/>
      <c r="AR65" s="1"/>
      <c r="AS65" s="1"/>
      <c r="AT65" s="1"/>
      <c r="AU65" s="1"/>
      <c r="AV65" s="1"/>
      <c r="AW65" s="1"/>
      <c r="AX65" s="1"/>
      <c r="AY65" s="1"/>
      <c r="AZ65" s="1"/>
      <c r="BA65" s="1"/>
      <c r="BB65" s="1"/>
      <c r="BC65" s="1"/>
    </row>
    <row r="66" spans="1:55" ht="18" hidden="1" customHeight="1" thickBot="1">
      <c r="A66" s="218" t="s">
        <v>149</v>
      </c>
      <c r="B66" s="306" t="s">
        <v>151</v>
      </c>
      <c r="C66" s="305"/>
      <c r="D66" s="306"/>
      <c r="E66" s="217"/>
      <c r="F66" s="307"/>
      <c r="G66" s="308"/>
      <c r="H66" s="308"/>
      <c r="I66" s="309"/>
      <c r="J66" s="215"/>
      <c r="K66" s="212"/>
      <c r="L66" s="212"/>
      <c r="M66" s="213"/>
      <c r="N66" s="215"/>
      <c r="O66" s="212"/>
      <c r="P66" s="212"/>
      <c r="Q66" s="213"/>
      <c r="R66" s="216"/>
      <c r="S66" s="212"/>
      <c r="T66" s="212"/>
      <c r="U66" s="213"/>
      <c r="V66" s="216"/>
      <c r="W66" s="212"/>
      <c r="X66" s="212"/>
      <c r="Y66" s="213"/>
      <c r="Z66" s="219"/>
      <c r="AA66" s="212"/>
      <c r="AB66" s="214"/>
      <c r="AI66" s="145"/>
      <c r="AK66" s="2"/>
      <c r="AN66" s="1"/>
      <c r="AO66" s="1"/>
      <c r="AP66" s="1"/>
      <c r="AQ66" s="1"/>
      <c r="AR66" s="1"/>
      <c r="AS66" s="1"/>
      <c r="AT66" s="1"/>
      <c r="AU66" s="1"/>
      <c r="AV66" s="1"/>
      <c r="AW66" s="1"/>
      <c r="AX66" s="1"/>
      <c r="AY66" s="1"/>
      <c r="AZ66" s="1"/>
      <c r="BA66" s="1"/>
      <c r="BB66" s="1"/>
      <c r="BC66" s="1"/>
    </row>
    <row r="67" spans="1:55" ht="18" customHeight="1">
      <c r="A67" s="227"/>
      <c r="B67" s="152"/>
      <c r="C67" s="148"/>
      <c r="D67" s="148"/>
      <c r="E67" s="148"/>
      <c r="F67" s="373" t="str">
        <f>TERM1!Y66</f>
        <v/>
      </c>
      <c r="G67" s="292"/>
      <c r="H67" s="292"/>
      <c r="I67" s="294"/>
      <c r="J67" s="373" t="str">
        <f>TERM2!Y66</f>
        <v/>
      </c>
      <c r="K67" s="292"/>
      <c r="L67" s="292"/>
      <c r="M67" s="294"/>
      <c r="N67" s="373" t="str">
        <f>TERM3!Y66</f>
        <v/>
      </c>
      <c r="O67" s="292"/>
      <c r="P67" s="292"/>
      <c r="Q67" s="294"/>
      <c r="R67" s="374" t="str">
        <f t="shared" si="0"/>
        <v/>
      </c>
      <c r="S67" s="375"/>
      <c r="T67" s="375"/>
      <c r="U67" s="376"/>
      <c r="V67" s="373" t="str">
        <f t="shared" ref="V67:V116" si="3">IF(ISERROR(IF(R67="","",VLOOKUP(R67,DESCRIPTORS,4,TRUE))),"",IF(R67="","",VLOOKUP(R67,DESCRIPTORS,4,TRUE)))</f>
        <v/>
      </c>
      <c r="W67" s="375"/>
      <c r="X67" s="375"/>
      <c r="Y67" s="376"/>
      <c r="Z67" s="377" t="str">
        <f t="shared" ref="Z67:Z116" si="4">IF(OR($F67="",$J67="",$N67="",$R67=""),"",IF($R67&gt;=75,"PASSED","FAILED"))</f>
        <v/>
      </c>
      <c r="AA67" s="375"/>
      <c r="AB67" s="378"/>
      <c r="AI67" s="145"/>
      <c r="AK67" s="2"/>
      <c r="AN67" s="1"/>
      <c r="AO67" s="1"/>
      <c r="AP67" s="1"/>
      <c r="AQ67" s="1"/>
      <c r="AR67" s="1"/>
      <c r="AS67" s="1"/>
      <c r="AT67" s="1"/>
      <c r="AU67" s="1"/>
      <c r="AV67" s="1"/>
      <c r="AW67" s="1"/>
      <c r="AX67" s="1"/>
      <c r="AY67" s="1"/>
      <c r="AZ67" s="1"/>
      <c r="BA67" s="1"/>
      <c r="BB67" s="1"/>
      <c r="BC67" s="1"/>
    </row>
    <row r="68" spans="1:55" ht="18" customHeight="1">
      <c r="A68" s="224"/>
      <c r="B68" s="153"/>
      <c r="C68" s="149"/>
      <c r="D68" s="149"/>
      <c r="E68" s="149"/>
      <c r="F68" s="360" t="str">
        <f>TERM1!Y67</f>
        <v/>
      </c>
      <c r="G68" s="298"/>
      <c r="H68" s="298"/>
      <c r="I68" s="299"/>
      <c r="J68" s="360" t="str">
        <f>TERM2!Y67</f>
        <v/>
      </c>
      <c r="K68" s="298"/>
      <c r="L68" s="298"/>
      <c r="M68" s="299"/>
      <c r="N68" s="360" t="str">
        <f>TERM3!Y67</f>
        <v/>
      </c>
      <c r="O68" s="298"/>
      <c r="P68" s="298"/>
      <c r="Q68" s="299"/>
      <c r="R68" s="361" t="str">
        <f t="shared" si="0"/>
        <v/>
      </c>
      <c r="S68" s="277"/>
      <c r="T68" s="277"/>
      <c r="U68" s="278"/>
      <c r="V68" s="360" t="str">
        <f t="shared" si="3"/>
        <v/>
      </c>
      <c r="W68" s="277"/>
      <c r="X68" s="277"/>
      <c r="Y68" s="278"/>
      <c r="Z68" s="362" t="str">
        <f t="shared" si="4"/>
        <v/>
      </c>
      <c r="AA68" s="277"/>
      <c r="AB68" s="363"/>
      <c r="AI68" s="145"/>
      <c r="AK68" s="2"/>
      <c r="AN68" s="1"/>
      <c r="AO68" s="1"/>
      <c r="AP68" s="1"/>
      <c r="AQ68" s="1"/>
      <c r="AR68" s="1"/>
      <c r="AS68" s="1"/>
      <c r="AT68" s="1"/>
      <c r="AU68" s="1"/>
      <c r="AV68" s="1"/>
      <c r="AW68" s="1"/>
      <c r="AX68" s="1"/>
      <c r="AY68" s="1"/>
      <c r="AZ68" s="1"/>
      <c r="BA68" s="1"/>
      <c r="BB68" s="1"/>
      <c r="BC68" s="1"/>
    </row>
    <row r="69" spans="1:55" ht="18" customHeight="1">
      <c r="A69" s="224"/>
      <c r="B69" s="153">
        <f>INPUT!B64</f>
      </c>
      <c r="C69" s="149"/>
      <c r="D69" s="149"/>
      <c r="E69" s="149"/>
      <c r="F69" s="360" t="str">
        <f>TERM1!Y68</f>
        <v/>
      </c>
      <c r="G69" s="298"/>
      <c r="H69" s="298"/>
      <c r="I69" s="299"/>
      <c r="J69" s="360" t="str">
        <f>TERM2!Y68</f>
        <v/>
      </c>
      <c r="K69" s="298"/>
      <c r="L69" s="298"/>
      <c r="M69" s="299"/>
      <c r="N69" s="360" t="str">
        <f>TERM3!Y68</f>
        <v/>
      </c>
      <c r="O69" s="298"/>
      <c r="P69" s="298"/>
      <c r="Q69" s="299"/>
      <c r="R69" s="361" t="str">
        <f t="shared" si="0"/>
        <v/>
      </c>
      <c r="S69" s="277"/>
      <c r="T69" s="277"/>
      <c r="U69" s="278"/>
      <c r="V69" s="360" t="str">
        <f t="shared" si="3"/>
        <v/>
      </c>
      <c r="W69" s="277"/>
      <c r="X69" s="277"/>
      <c r="Y69" s="278"/>
      <c r="Z69" s="362" t="str">
        <f t="shared" si="4"/>
        <v/>
      </c>
      <c r="AA69" s="277"/>
      <c r="AB69" s="363"/>
      <c r="AI69" s="145"/>
      <c r="AK69" s="2"/>
      <c r="AN69" s="1"/>
      <c r="AO69" s="1"/>
      <c r="AP69" s="1"/>
      <c r="AQ69" s="1"/>
      <c r="AR69" s="1"/>
      <c r="AS69" s="1"/>
      <c r="AT69" s="1"/>
      <c r="AU69" s="1"/>
      <c r="AV69" s="1"/>
      <c r="AW69" s="1"/>
      <c r="AX69" s="1"/>
      <c r="AY69" s="1"/>
      <c r="AZ69" s="1"/>
      <c r="BA69" s="1"/>
      <c r="BB69" s="1"/>
      <c r="BC69" s="1"/>
    </row>
    <row r="70" spans="1:55" ht="18" customHeight="1">
      <c r="A70" s="224"/>
      <c r="B70" s="153">
        <f>INPUT!B65</f>
      </c>
      <c r="C70" s="149"/>
      <c r="D70" s="149"/>
      <c r="E70" s="149"/>
      <c r="F70" s="360" t="str">
        <f>TERM1!Y69</f>
        <v/>
      </c>
      <c r="G70" s="298"/>
      <c r="H70" s="298"/>
      <c r="I70" s="299"/>
      <c r="J70" s="360" t="str">
        <f>TERM2!Y69</f>
        <v/>
      </c>
      <c r="K70" s="298"/>
      <c r="L70" s="298"/>
      <c r="M70" s="299"/>
      <c r="N70" s="360" t="str">
        <f>TERM3!Y69</f>
        <v/>
      </c>
      <c r="O70" s="298"/>
      <c r="P70" s="298"/>
      <c r="Q70" s="299"/>
      <c r="R70" s="361" t="str">
        <f t="shared" si="0"/>
        <v/>
      </c>
      <c r="S70" s="277"/>
      <c r="T70" s="277"/>
      <c r="U70" s="278"/>
      <c r="V70" s="360" t="str">
        <f t="shared" si="3"/>
        <v/>
      </c>
      <c r="W70" s="277"/>
      <c r="X70" s="277"/>
      <c r="Y70" s="278"/>
      <c r="Z70" s="362" t="str">
        <f t="shared" si="4"/>
        <v/>
      </c>
      <c r="AA70" s="277"/>
      <c r="AB70" s="363"/>
      <c r="AI70" s="145"/>
      <c r="AK70" s="2"/>
      <c r="AN70" s="1"/>
      <c r="AO70" s="1"/>
      <c r="AP70" s="1"/>
      <c r="AQ70" s="1"/>
      <c r="AR70" s="1"/>
      <c r="AS70" s="1"/>
      <c r="AT70" s="1"/>
      <c r="AU70" s="1"/>
      <c r="AV70" s="1"/>
      <c r="AW70" s="1"/>
      <c r="AX70" s="1"/>
      <c r="AY70" s="1"/>
      <c r="AZ70" s="1"/>
      <c r="BA70" s="1"/>
      <c r="BB70" s="1"/>
      <c r="BC70" s="1"/>
    </row>
    <row r="71" spans="1:55" ht="18" customHeight="1">
      <c r="A71" s="224"/>
      <c r="B71" s="153">
        <f>INPUT!B66</f>
      </c>
      <c r="C71" s="149"/>
      <c r="D71" s="149"/>
      <c r="E71" s="149"/>
      <c r="F71" s="360" t="str">
        <f>TERM1!Y70</f>
        <v/>
      </c>
      <c r="G71" s="298"/>
      <c r="H71" s="298"/>
      <c r="I71" s="299"/>
      <c r="J71" s="360" t="str">
        <f>TERM2!Y70</f>
        <v/>
      </c>
      <c r="K71" s="298"/>
      <c r="L71" s="298"/>
      <c r="M71" s="299"/>
      <c r="N71" s="360" t="str">
        <f>TERM3!Y70</f>
        <v/>
      </c>
      <c r="O71" s="298"/>
      <c r="P71" s="298"/>
      <c r="Q71" s="299"/>
      <c r="R71" s="361" t="str">
        <f t="shared" si="0"/>
        <v/>
      </c>
      <c r="S71" s="277"/>
      <c r="T71" s="277"/>
      <c r="U71" s="278"/>
      <c r="V71" s="360" t="str">
        <f t="shared" si="3"/>
        <v/>
      </c>
      <c r="W71" s="277"/>
      <c r="X71" s="277"/>
      <c r="Y71" s="278"/>
      <c r="Z71" s="362" t="str">
        <f t="shared" si="4"/>
        <v/>
      </c>
      <c r="AA71" s="277"/>
      <c r="AB71" s="363"/>
      <c r="AI71" s="145"/>
      <c r="AK71" s="2"/>
      <c r="AN71" s="1"/>
      <c r="AO71" s="1"/>
      <c r="AP71" s="1"/>
      <c r="AQ71" s="1"/>
      <c r="AR71" s="1"/>
      <c r="AS71" s="1"/>
      <c r="AT71" s="1"/>
      <c r="AU71" s="1"/>
      <c r="AV71" s="1"/>
      <c r="AW71" s="1"/>
      <c r="AX71" s="1"/>
      <c r="AY71" s="1"/>
      <c r="AZ71" s="1"/>
      <c r="BA71" s="1"/>
      <c r="BB71" s="1"/>
      <c r="BC71" s="1"/>
    </row>
    <row r="72" spans="1:55" ht="18" customHeight="1">
      <c r="A72" s="224"/>
      <c r="B72" s="153">
        <f>INPUT!B67</f>
      </c>
      <c r="C72" s="149"/>
      <c r="D72" s="149"/>
      <c r="E72" s="149"/>
      <c r="F72" s="360" t="str">
        <f>TERM1!Y71</f>
        <v/>
      </c>
      <c r="G72" s="298"/>
      <c r="H72" s="298"/>
      <c r="I72" s="299"/>
      <c r="J72" s="360" t="str">
        <f>TERM2!Y71</f>
        <v/>
      </c>
      <c r="K72" s="298"/>
      <c r="L72" s="298"/>
      <c r="M72" s="299"/>
      <c r="N72" s="360" t="str">
        <f>TERM3!Y71</f>
        <v/>
      </c>
      <c r="O72" s="298"/>
      <c r="P72" s="298"/>
      <c r="Q72" s="299"/>
      <c r="R72" s="361" t="str">
        <f t="shared" si="0"/>
        <v/>
      </c>
      <c r="S72" s="277"/>
      <c r="T72" s="277"/>
      <c r="U72" s="278"/>
      <c r="V72" s="360" t="str">
        <f t="shared" si="3"/>
        <v/>
      </c>
      <c r="W72" s="277"/>
      <c r="X72" s="277"/>
      <c r="Y72" s="278"/>
      <c r="Z72" s="362" t="str">
        <f t="shared" si="4"/>
        <v/>
      </c>
      <c r="AA72" s="277"/>
      <c r="AB72" s="363"/>
      <c r="AI72" s="145"/>
      <c r="AK72" s="2"/>
      <c r="AN72" s="1"/>
      <c r="AO72" s="1"/>
      <c r="AP72" s="1"/>
      <c r="AQ72" s="1"/>
      <c r="AR72" s="1"/>
      <c r="AS72" s="1"/>
      <c r="AT72" s="1"/>
      <c r="AU72" s="1"/>
      <c r="AV72" s="1"/>
      <c r="AW72" s="1"/>
      <c r="AX72" s="1"/>
      <c r="AY72" s="1"/>
      <c r="AZ72" s="1"/>
      <c r="BA72" s="1"/>
      <c r="BB72" s="1"/>
      <c r="BC72" s="1"/>
    </row>
    <row r="73" spans="1:55" ht="18" customHeight="1">
      <c r="A73" s="224"/>
      <c r="B73" s="153">
        <f>INPUT!B68</f>
      </c>
      <c r="C73" s="149"/>
      <c r="D73" s="149"/>
      <c r="E73" s="149"/>
      <c r="F73" s="360" t="str">
        <f>TERM1!Y72</f>
        <v/>
      </c>
      <c r="G73" s="298"/>
      <c r="H73" s="298"/>
      <c r="I73" s="299"/>
      <c r="J73" s="360" t="str">
        <f>TERM2!Y72</f>
        <v/>
      </c>
      <c r="K73" s="298"/>
      <c r="L73" s="298"/>
      <c r="M73" s="299"/>
      <c r="N73" s="360" t="str">
        <f>TERM3!Y72</f>
        <v/>
      </c>
      <c r="O73" s="298"/>
      <c r="P73" s="298"/>
      <c r="Q73" s="299"/>
      <c r="R73" s="361" t="str">
        <f t="shared" si="0"/>
        <v/>
      </c>
      <c r="S73" s="277"/>
      <c r="T73" s="277"/>
      <c r="U73" s="278"/>
      <c r="V73" s="360" t="str">
        <f t="shared" si="3"/>
        <v/>
      </c>
      <c r="W73" s="277"/>
      <c r="X73" s="277"/>
      <c r="Y73" s="278"/>
      <c r="Z73" s="362" t="str">
        <f t="shared" si="4"/>
        <v/>
      </c>
      <c r="AA73" s="277"/>
      <c r="AB73" s="363"/>
      <c r="AI73" s="145"/>
      <c r="AK73" s="2"/>
      <c r="AN73" s="1"/>
      <c r="AO73" s="1"/>
      <c r="AP73" s="1"/>
      <c r="AQ73" s="1"/>
      <c r="AR73" s="1"/>
      <c r="AS73" s="1"/>
      <c r="AT73" s="1"/>
      <c r="AU73" s="1"/>
      <c r="AV73" s="1"/>
      <c r="AW73" s="1"/>
      <c r="AX73" s="1"/>
      <c r="AY73" s="1"/>
      <c r="AZ73" s="1"/>
      <c r="BA73" s="1"/>
      <c r="BB73" s="1"/>
      <c r="BC73" s="1"/>
    </row>
    <row r="74" spans="1:55" ht="18" customHeight="1">
      <c r="A74" s="224"/>
      <c r="B74" s="153">
        <f>INPUT!B69</f>
      </c>
      <c r="C74" s="149"/>
      <c r="D74" s="149"/>
      <c r="E74" s="149"/>
      <c r="F74" s="360" t="str">
        <f>TERM1!Y73</f>
        <v/>
      </c>
      <c r="G74" s="298"/>
      <c r="H74" s="298"/>
      <c r="I74" s="299"/>
      <c r="J74" s="360" t="str">
        <f>TERM2!Y73</f>
        <v/>
      </c>
      <c r="K74" s="298"/>
      <c r="L74" s="298"/>
      <c r="M74" s="299"/>
      <c r="N74" s="360" t="str">
        <f>TERM3!Y73</f>
        <v/>
      </c>
      <c r="O74" s="298"/>
      <c r="P74" s="298"/>
      <c r="Q74" s="299"/>
      <c r="R74" s="361" t="str">
        <f t="shared" si="0"/>
        <v/>
      </c>
      <c r="S74" s="277"/>
      <c r="T74" s="277"/>
      <c r="U74" s="278"/>
      <c r="V74" s="360" t="str">
        <f t="shared" si="3"/>
        <v/>
      </c>
      <c r="W74" s="277"/>
      <c r="X74" s="277"/>
      <c r="Y74" s="278"/>
      <c r="Z74" s="362" t="str">
        <f t="shared" si="4"/>
        <v/>
      </c>
      <c r="AA74" s="277"/>
      <c r="AB74" s="363"/>
      <c r="AI74" s="145"/>
      <c r="AK74" s="2"/>
      <c r="AN74" s="1"/>
      <c r="AO74" s="1"/>
      <c r="AP74" s="1"/>
      <c r="AQ74" s="1"/>
      <c r="AR74" s="1"/>
      <c r="AS74" s="1"/>
      <c r="AT74" s="1"/>
      <c r="AU74" s="1"/>
      <c r="AV74" s="1"/>
      <c r="AW74" s="1"/>
      <c r="AX74" s="1"/>
      <c r="AY74" s="1"/>
      <c r="AZ74" s="1"/>
      <c r="BA74" s="1"/>
      <c r="BB74" s="1"/>
      <c r="BC74" s="1"/>
    </row>
    <row r="75" spans="1:55" ht="18" customHeight="1">
      <c r="A75" s="224"/>
      <c r="B75" s="153">
        <f>INPUT!B70</f>
      </c>
      <c r="C75" s="149"/>
      <c r="D75" s="149"/>
      <c r="E75" s="149"/>
      <c r="F75" s="360" t="str">
        <f>TERM1!Y74</f>
        <v/>
      </c>
      <c r="G75" s="298"/>
      <c r="H75" s="298"/>
      <c r="I75" s="299"/>
      <c r="J75" s="360" t="str">
        <f>TERM2!Y74</f>
        <v/>
      </c>
      <c r="K75" s="298"/>
      <c r="L75" s="298"/>
      <c r="M75" s="299"/>
      <c r="N75" s="360" t="str">
        <f>TERM3!Y74</f>
        <v/>
      </c>
      <c r="O75" s="298"/>
      <c r="P75" s="298"/>
      <c r="Q75" s="299"/>
      <c r="R75" s="361" t="str">
        <f t="shared" si="0"/>
        <v/>
      </c>
      <c r="S75" s="277"/>
      <c r="T75" s="277"/>
      <c r="U75" s="278"/>
      <c r="V75" s="360" t="str">
        <f t="shared" si="3"/>
        <v/>
      </c>
      <c r="W75" s="277"/>
      <c r="X75" s="277"/>
      <c r="Y75" s="278"/>
      <c r="Z75" s="362" t="str">
        <f t="shared" si="4"/>
        <v/>
      </c>
      <c r="AA75" s="277"/>
      <c r="AB75" s="363"/>
      <c r="AI75" s="145"/>
      <c r="AK75" s="2"/>
      <c r="AN75" s="1"/>
      <c r="AO75" s="1"/>
      <c r="AP75" s="1"/>
      <c r="AQ75" s="1"/>
      <c r="AR75" s="1"/>
      <c r="AS75" s="1"/>
      <c r="AT75" s="1"/>
      <c r="AU75" s="1"/>
      <c r="AV75" s="1"/>
      <c r="AW75" s="1"/>
      <c r="AX75" s="1"/>
      <c r="AY75" s="1"/>
      <c r="AZ75" s="1"/>
      <c r="BA75" s="1"/>
      <c r="BB75" s="1"/>
      <c r="BC75" s="1"/>
    </row>
    <row r="76" spans="1:55" ht="18" customHeight="1">
      <c r="A76" s="224"/>
      <c r="B76" s="153">
        <f>INPUT!B71</f>
      </c>
      <c r="C76" s="149"/>
      <c r="D76" s="149"/>
      <c r="E76" s="149"/>
      <c r="F76" s="360" t="str">
        <f>TERM1!Y75</f>
        <v/>
      </c>
      <c r="G76" s="298"/>
      <c r="H76" s="298"/>
      <c r="I76" s="299"/>
      <c r="J76" s="360" t="str">
        <f>TERM2!Y75</f>
        <v/>
      </c>
      <c r="K76" s="298"/>
      <c r="L76" s="298"/>
      <c r="M76" s="299"/>
      <c r="N76" s="360" t="str">
        <f>TERM3!Y75</f>
        <v/>
      </c>
      <c r="O76" s="298"/>
      <c r="P76" s="298"/>
      <c r="Q76" s="299"/>
      <c r="R76" s="361" t="str">
        <f t="shared" si="0"/>
        <v/>
      </c>
      <c r="S76" s="277"/>
      <c r="T76" s="277"/>
      <c r="U76" s="278"/>
      <c r="V76" s="360" t="str">
        <f t="shared" si="3"/>
        <v/>
      </c>
      <c r="W76" s="277"/>
      <c r="X76" s="277"/>
      <c r="Y76" s="278"/>
      <c r="Z76" s="362" t="str">
        <f t="shared" si="4"/>
        <v/>
      </c>
      <c r="AA76" s="277"/>
      <c r="AB76" s="363"/>
      <c r="AI76" s="145"/>
      <c r="AK76" s="2"/>
      <c r="AN76" s="1"/>
      <c r="AO76" s="1"/>
      <c r="AP76" s="1"/>
      <c r="AQ76" s="1"/>
      <c r="AR76" s="1"/>
      <c r="AS76" s="1"/>
      <c r="AT76" s="1"/>
      <c r="AU76" s="1"/>
      <c r="AV76" s="1"/>
      <c r="AW76" s="1"/>
      <c r="AX76" s="1"/>
      <c r="AY76" s="1"/>
      <c r="AZ76" s="1"/>
      <c r="BA76" s="1"/>
      <c r="BB76" s="1"/>
      <c r="BC76" s="1"/>
    </row>
    <row r="77" spans="1:55" ht="18" customHeight="1">
      <c r="A77" s="224"/>
      <c r="B77" s="153">
        <f>INPUT!B72</f>
      </c>
      <c r="C77" s="149"/>
      <c r="D77" s="149"/>
      <c r="E77" s="149"/>
      <c r="F77" s="360" t="str">
        <f>TERM1!Y76</f>
        <v/>
      </c>
      <c r="G77" s="298"/>
      <c r="H77" s="298"/>
      <c r="I77" s="299"/>
      <c r="J77" s="360" t="str">
        <f>TERM2!Y76</f>
        <v/>
      </c>
      <c r="K77" s="298"/>
      <c r="L77" s="298"/>
      <c r="M77" s="299"/>
      <c r="N77" s="360" t="str">
        <f>TERM3!Y76</f>
        <v/>
      </c>
      <c r="O77" s="298"/>
      <c r="P77" s="298"/>
      <c r="Q77" s="299"/>
      <c r="R77" s="361" t="str">
        <f t="shared" si="0"/>
        <v/>
      </c>
      <c r="S77" s="277"/>
      <c r="T77" s="277"/>
      <c r="U77" s="278"/>
      <c r="V77" s="360" t="str">
        <f t="shared" si="3"/>
        <v/>
      </c>
      <c r="W77" s="277"/>
      <c r="X77" s="277"/>
      <c r="Y77" s="278"/>
      <c r="Z77" s="362" t="str">
        <f t="shared" si="4"/>
        <v/>
      </c>
      <c r="AA77" s="277"/>
      <c r="AB77" s="363"/>
      <c r="AI77" s="145"/>
      <c r="AK77" s="2"/>
      <c r="AN77" s="1"/>
      <c r="AO77" s="1"/>
      <c r="AP77" s="1"/>
      <c r="AQ77" s="1"/>
      <c r="AR77" s="1"/>
      <c r="AS77" s="1"/>
      <c r="AT77" s="1"/>
      <c r="AU77" s="1"/>
      <c r="AV77" s="1"/>
      <c r="AW77" s="1"/>
      <c r="AX77" s="1"/>
      <c r="AY77" s="1"/>
      <c r="AZ77" s="1"/>
      <c r="BA77" s="1"/>
      <c r="BB77" s="1"/>
      <c r="BC77" s="1"/>
    </row>
    <row r="78" spans="1:55" ht="18" customHeight="1">
      <c r="A78" s="224"/>
      <c r="B78" s="153">
        <f>INPUT!B73</f>
      </c>
      <c r="C78" s="149"/>
      <c r="D78" s="149"/>
      <c r="E78" s="149"/>
      <c r="F78" s="360" t="str">
        <f>TERM1!Y77</f>
        <v/>
      </c>
      <c r="G78" s="298"/>
      <c r="H78" s="298"/>
      <c r="I78" s="299"/>
      <c r="J78" s="360" t="str">
        <f>TERM2!Y77</f>
        <v/>
      </c>
      <c r="K78" s="298"/>
      <c r="L78" s="298"/>
      <c r="M78" s="299"/>
      <c r="N78" s="360" t="str">
        <f>TERM3!Y77</f>
        <v/>
      </c>
      <c r="O78" s="298"/>
      <c r="P78" s="298"/>
      <c r="Q78" s="299"/>
      <c r="R78" s="361" t="str">
        <f t="shared" si="0"/>
        <v/>
      </c>
      <c r="S78" s="277"/>
      <c r="T78" s="277"/>
      <c r="U78" s="278"/>
      <c r="V78" s="360" t="str">
        <f t="shared" si="3"/>
        <v/>
      </c>
      <c r="W78" s="277"/>
      <c r="X78" s="277"/>
      <c r="Y78" s="278"/>
      <c r="Z78" s="362" t="str">
        <f t="shared" si="4"/>
        <v/>
      </c>
      <c r="AA78" s="277"/>
      <c r="AB78" s="363"/>
      <c r="AI78" s="145"/>
      <c r="AK78" s="2"/>
      <c r="AN78" s="1"/>
      <c r="AO78" s="1"/>
      <c r="AP78" s="1"/>
      <c r="AQ78" s="1"/>
      <c r="AR78" s="1"/>
      <c r="AS78" s="1"/>
      <c r="AT78" s="1"/>
      <c r="AU78" s="1"/>
      <c r="AV78" s="1"/>
      <c r="AW78" s="1"/>
      <c r="AX78" s="1"/>
      <c r="AY78" s="1"/>
      <c r="AZ78" s="1"/>
      <c r="BA78" s="1"/>
      <c r="BB78" s="1"/>
      <c r="BC78" s="1"/>
    </row>
    <row r="79" spans="1:55" ht="18" customHeight="1">
      <c r="A79" s="224"/>
      <c r="B79" s="153">
        <f>INPUT!B74</f>
      </c>
      <c r="C79" s="149"/>
      <c r="D79" s="149"/>
      <c r="E79" s="149"/>
      <c r="F79" s="360" t="str">
        <f>TERM1!Y78</f>
        <v/>
      </c>
      <c r="G79" s="298"/>
      <c r="H79" s="298"/>
      <c r="I79" s="299"/>
      <c r="J79" s="360" t="str">
        <f>TERM2!Y78</f>
        <v/>
      </c>
      <c r="K79" s="298"/>
      <c r="L79" s="298"/>
      <c r="M79" s="299"/>
      <c r="N79" s="360" t="str">
        <f>TERM3!Y78</f>
        <v/>
      </c>
      <c r="O79" s="298"/>
      <c r="P79" s="298"/>
      <c r="Q79" s="299"/>
      <c r="R79" s="361" t="str">
        <f t="shared" si="0"/>
        <v/>
      </c>
      <c r="S79" s="277"/>
      <c r="T79" s="277"/>
      <c r="U79" s="278"/>
      <c r="V79" s="360" t="str">
        <f t="shared" si="3"/>
        <v/>
      </c>
      <c r="W79" s="277"/>
      <c r="X79" s="277"/>
      <c r="Y79" s="278"/>
      <c r="Z79" s="362" t="str">
        <f t="shared" si="4"/>
        <v/>
      </c>
      <c r="AA79" s="277"/>
      <c r="AB79" s="363"/>
      <c r="AI79" s="145"/>
      <c r="AK79" s="2"/>
      <c r="AN79" s="1"/>
      <c r="AO79" s="1"/>
      <c r="AP79" s="1"/>
      <c r="AQ79" s="1"/>
      <c r="AR79" s="1"/>
      <c r="AS79" s="1"/>
      <c r="AT79" s="1"/>
      <c r="AU79" s="1"/>
      <c r="AV79" s="1"/>
      <c r="AW79" s="1"/>
      <c r="AX79" s="1"/>
      <c r="AY79" s="1"/>
      <c r="AZ79" s="1"/>
      <c r="BA79" s="1"/>
      <c r="BB79" s="1"/>
      <c r="BC79" s="1"/>
    </row>
    <row r="80" spans="1:55" ht="18" customHeight="1">
      <c r="A80" s="224"/>
      <c r="B80" s="153">
        <f>INPUT!B75</f>
      </c>
      <c r="C80" s="149"/>
      <c r="D80" s="149"/>
      <c r="E80" s="149"/>
      <c r="F80" s="360" t="str">
        <f>TERM1!Y79</f>
        <v/>
      </c>
      <c r="G80" s="298"/>
      <c r="H80" s="298"/>
      <c r="I80" s="299"/>
      <c r="J80" s="360" t="str">
        <f>TERM2!Y79</f>
        <v/>
      </c>
      <c r="K80" s="298"/>
      <c r="L80" s="298"/>
      <c r="M80" s="299"/>
      <c r="N80" s="360" t="str">
        <f>TERM3!Y79</f>
        <v/>
      </c>
      <c r="O80" s="298"/>
      <c r="P80" s="298"/>
      <c r="Q80" s="299"/>
      <c r="R80" s="361" t="str">
        <f t="shared" ref="R80:R116" si="5">IF(OR(F80="",J80="",N80=""),"",IF(ISERROR(ROUND(AVERAGE(F80,J80,N80),0)),"",ROUND(AVERAGE(F80,J80,N80),0)))</f>
        <v/>
      </c>
      <c r="S80" s="277"/>
      <c r="T80" s="277"/>
      <c r="U80" s="278"/>
      <c r="V80" s="360" t="str">
        <f t="shared" si="3"/>
        <v/>
      </c>
      <c r="W80" s="277"/>
      <c r="X80" s="277"/>
      <c r="Y80" s="278"/>
      <c r="Z80" s="362" t="str">
        <f t="shared" si="4"/>
        <v/>
      </c>
      <c r="AA80" s="277"/>
      <c r="AB80" s="363"/>
      <c r="AI80" s="145"/>
      <c r="AK80" s="2"/>
      <c r="AN80" s="1"/>
      <c r="AO80" s="1"/>
      <c r="AP80" s="1"/>
      <c r="AQ80" s="1"/>
      <c r="AR80" s="1"/>
      <c r="AS80" s="1"/>
      <c r="AT80" s="1"/>
      <c r="AU80" s="1"/>
      <c r="AV80" s="1"/>
      <c r="AW80" s="1"/>
      <c r="AX80" s="1"/>
      <c r="AY80" s="1"/>
      <c r="AZ80" s="1"/>
      <c r="BA80" s="1"/>
      <c r="BB80" s="1"/>
      <c r="BC80" s="1"/>
    </row>
    <row r="81" spans="1:55" ht="18" customHeight="1">
      <c r="A81" s="224"/>
      <c r="B81" s="153">
        <f>INPUT!B76</f>
      </c>
      <c r="C81" s="149"/>
      <c r="D81" s="149"/>
      <c r="E81" s="149"/>
      <c r="F81" s="360" t="str">
        <f>TERM1!Y80</f>
        <v/>
      </c>
      <c r="G81" s="298"/>
      <c r="H81" s="298"/>
      <c r="I81" s="299"/>
      <c r="J81" s="360" t="str">
        <f>TERM2!Y80</f>
        <v/>
      </c>
      <c r="K81" s="298"/>
      <c r="L81" s="298"/>
      <c r="M81" s="299"/>
      <c r="N81" s="360" t="str">
        <f>TERM3!Y80</f>
        <v/>
      </c>
      <c r="O81" s="298"/>
      <c r="P81" s="298"/>
      <c r="Q81" s="299"/>
      <c r="R81" s="361" t="str">
        <f t="shared" si="5"/>
        <v/>
      </c>
      <c r="S81" s="277"/>
      <c r="T81" s="277"/>
      <c r="U81" s="278"/>
      <c r="V81" s="360" t="str">
        <f t="shared" si="3"/>
        <v/>
      </c>
      <c r="W81" s="277"/>
      <c r="X81" s="277"/>
      <c r="Y81" s="278"/>
      <c r="Z81" s="362" t="str">
        <f t="shared" si="4"/>
        <v/>
      </c>
      <c r="AA81" s="277"/>
      <c r="AB81" s="363"/>
      <c r="AI81" s="145"/>
      <c r="AK81" s="2"/>
      <c r="AN81" s="1"/>
      <c r="AO81" s="1"/>
      <c r="AP81" s="1"/>
      <c r="AQ81" s="1"/>
      <c r="AR81" s="1"/>
      <c r="AS81" s="1"/>
      <c r="AT81" s="1"/>
      <c r="AU81" s="1"/>
      <c r="AV81" s="1"/>
      <c r="AW81" s="1"/>
      <c r="AX81" s="1"/>
      <c r="AY81" s="1"/>
      <c r="AZ81" s="1"/>
      <c r="BA81" s="1"/>
      <c r="BB81" s="1"/>
      <c r="BC81" s="1"/>
    </row>
    <row r="82" spans="1:55" ht="18" customHeight="1">
      <c r="A82" s="224"/>
      <c r="B82" s="153">
        <f>INPUT!B77</f>
      </c>
      <c r="C82" s="149"/>
      <c r="D82" s="149"/>
      <c r="E82" s="149"/>
      <c r="F82" s="360" t="str">
        <f>TERM1!Y81</f>
        <v/>
      </c>
      <c r="G82" s="298"/>
      <c r="H82" s="298"/>
      <c r="I82" s="299"/>
      <c r="J82" s="360" t="str">
        <f>TERM2!Y81</f>
        <v/>
      </c>
      <c r="K82" s="298"/>
      <c r="L82" s="298"/>
      <c r="M82" s="299"/>
      <c r="N82" s="360" t="str">
        <f>TERM3!Y81</f>
        <v/>
      </c>
      <c r="O82" s="298"/>
      <c r="P82" s="298"/>
      <c r="Q82" s="299"/>
      <c r="R82" s="361" t="str">
        <f t="shared" si="5"/>
        <v/>
      </c>
      <c r="S82" s="277"/>
      <c r="T82" s="277"/>
      <c r="U82" s="278"/>
      <c r="V82" s="360" t="str">
        <f t="shared" si="3"/>
        <v/>
      </c>
      <c r="W82" s="277"/>
      <c r="X82" s="277"/>
      <c r="Y82" s="278"/>
      <c r="Z82" s="362" t="str">
        <f t="shared" si="4"/>
        <v/>
      </c>
      <c r="AA82" s="277"/>
      <c r="AB82" s="363"/>
      <c r="AI82" s="145"/>
      <c r="AK82" s="2"/>
      <c r="AN82" s="1"/>
      <c r="AO82" s="1"/>
      <c r="AP82" s="1"/>
      <c r="AQ82" s="1"/>
      <c r="AR82" s="1"/>
      <c r="AS82" s="1"/>
      <c r="AT82" s="1"/>
      <c r="AU82" s="1"/>
      <c r="AV82" s="1"/>
      <c r="AW82" s="1"/>
      <c r="AX82" s="1"/>
      <c r="AY82" s="1"/>
      <c r="AZ82" s="1"/>
      <c r="BA82" s="1"/>
      <c r="BB82" s="1"/>
      <c r="BC82" s="1"/>
    </row>
    <row r="83" spans="1:55" ht="18" customHeight="1">
      <c r="A83" s="224"/>
      <c r="B83" s="153">
        <f>INPUT!B78</f>
      </c>
      <c r="C83" s="149"/>
      <c r="D83" s="149"/>
      <c r="E83" s="149"/>
      <c r="F83" s="360" t="str">
        <f>TERM1!Y82</f>
        <v/>
      </c>
      <c r="G83" s="298"/>
      <c r="H83" s="298"/>
      <c r="I83" s="299"/>
      <c r="J83" s="360" t="str">
        <f>TERM2!Y82</f>
        <v/>
      </c>
      <c r="K83" s="298"/>
      <c r="L83" s="298"/>
      <c r="M83" s="299"/>
      <c r="N83" s="360" t="str">
        <f>TERM3!Y82</f>
        <v/>
      </c>
      <c r="O83" s="298"/>
      <c r="P83" s="298"/>
      <c r="Q83" s="299"/>
      <c r="R83" s="361" t="str">
        <f t="shared" si="5"/>
        <v/>
      </c>
      <c r="S83" s="277"/>
      <c r="T83" s="277"/>
      <c r="U83" s="278"/>
      <c r="V83" s="360" t="str">
        <f t="shared" si="3"/>
        <v/>
      </c>
      <c r="W83" s="277"/>
      <c r="X83" s="277"/>
      <c r="Y83" s="278"/>
      <c r="Z83" s="362" t="str">
        <f t="shared" si="4"/>
        <v/>
      </c>
      <c r="AA83" s="277"/>
      <c r="AB83" s="363"/>
      <c r="AI83" s="145"/>
      <c r="AK83" s="2"/>
      <c r="AN83" s="1"/>
      <c r="AO83" s="1"/>
      <c r="AP83" s="1"/>
      <c r="AQ83" s="1"/>
      <c r="AR83" s="1"/>
      <c r="AS83" s="1"/>
      <c r="AT83" s="1"/>
      <c r="AU83" s="1"/>
      <c r="AV83" s="1"/>
      <c r="AW83" s="1"/>
      <c r="AX83" s="1"/>
      <c r="AY83" s="1"/>
      <c r="AZ83" s="1"/>
      <c r="BA83" s="1"/>
      <c r="BB83" s="1"/>
      <c r="BC83" s="1"/>
    </row>
    <row r="84" spans="1:55" ht="18" customHeight="1">
      <c r="A84" s="224"/>
      <c r="B84" s="153">
        <f>INPUT!B79</f>
      </c>
      <c r="C84" s="149"/>
      <c r="D84" s="149"/>
      <c r="E84" s="149"/>
      <c r="F84" s="360" t="str">
        <f>TERM1!Y83</f>
        <v/>
      </c>
      <c r="G84" s="298"/>
      <c r="H84" s="298"/>
      <c r="I84" s="299"/>
      <c r="J84" s="360" t="str">
        <f>TERM2!Y83</f>
        <v/>
      </c>
      <c r="K84" s="298"/>
      <c r="L84" s="298"/>
      <c r="M84" s="299"/>
      <c r="N84" s="360" t="str">
        <f>TERM3!Y83</f>
        <v/>
      </c>
      <c r="O84" s="298"/>
      <c r="P84" s="298"/>
      <c r="Q84" s="299"/>
      <c r="R84" s="361" t="str">
        <f t="shared" si="5"/>
        <v/>
      </c>
      <c r="S84" s="277"/>
      <c r="T84" s="277"/>
      <c r="U84" s="278"/>
      <c r="V84" s="360" t="str">
        <f t="shared" si="3"/>
        <v/>
      </c>
      <c r="W84" s="277"/>
      <c r="X84" s="277"/>
      <c r="Y84" s="278"/>
      <c r="Z84" s="362" t="str">
        <f t="shared" si="4"/>
        <v/>
      </c>
      <c r="AA84" s="277"/>
      <c r="AB84" s="363"/>
      <c r="AI84" s="145"/>
      <c r="AK84" s="2"/>
      <c r="AN84" s="1"/>
      <c r="AO84" s="1"/>
      <c r="AP84" s="1"/>
      <c r="AQ84" s="1"/>
      <c r="AR84" s="1"/>
      <c r="AS84" s="1"/>
      <c r="AT84" s="1"/>
      <c r="AU84" s="1"/>
      <c r="AV84" s="1"/>
      <c r="AW84" s="1"/>
      <c r="AX84" s="1"/>
      <c r="AY84" s="1"/>
      <c r="AZ84" s="1"/>
      <c r="BA84" s="1"/>
      <c r="BB84" s="1"/>
      <c r="BC84" s="1"/>
    </row>
    <row r="85" spans="1:55" ht="18" customHeight="1">
      <c r="A85" s="224"/>
      <c r="B85" s="153">
        <f>INPUT!B80</f>
      </c>
      <c r="C85" s="149"/>
      <c r="D85" s="149"/>
      <c r="E85" s="149"/>
      <c r="F85" s="360" t="str">
        <f>TERM1!Y84</f>
        <v/>
      </c>
      <c r="G85" s="298"/>
      <c r="H85" s="298"/>
      <c r="I85" s="299"/>
      <c r="J85" s="360" t="str">
        <f>TERM2!Y84</f>
        <v/>
      </c>
      <c r="K85" s="298"/>
      <c r="L85" s="298"/>
      <c r="M85" s="299"/>
      <c r="N85" s="360" t="str">
        <f>TERM3!Y84</f>
        <v/>
      </c>
      <c r="O85" s="298"/>
      <c r="P85" s="298"/>
      <c r="Q85" s="299"/>
      <c r="R85" s="361" t="str">
        <f t="shared" si="5"/>
        <v/>
      </c>
      <c r="S85" s="277"/>
      <c r="T85" s="277"/>
      <c r="U85" s="278"/>
      <c r="V85" s="360" t="str">
        <f t="shared" si="3"/>
        <v/>
      </c>
      <c r="W85" s="277"/>
      <c r="X85" s="277"/>
      <c r="Y85" s="278"/>
      <c r="Z85" s="362" t="str">
        <f t="shared" si="4"/>
        <v/>
      </c>
      <c r="AA85" s="277"/>
      <c r="AB85" s="363"/>
      <c r="AI85" s="145"/>
      <c r="AK85" s="2"/>
      <c r="AN85" s="1"/>
      <c r="AO85" s="1"/>
      <c r="AP85" s="1"/>
      <c r="AQ85" s="1"/>
      <c r="AR85" s="1"/>
      <c r="AS85" s="1"/>
      <c r="AT85" s="1"/>
      <c r="AU85" s="1"/>
      <c r="AV85" s="1"/>
      <c r="AW85" s="1"/>
      <c r="AX85" s="1"/>
      <c r="AY85" s="1"/>
      <c r="AZ85" s="1"/>
      <c r="BA85" s="1"/>
      <c r="BB85" s="1"/>
      <c r="BC85" s="1"/>
    </row>
    <row r="86" spans="1:55" ht="18" customHeight="1">
      <c r="A86" s="224"/>
      <c r="B86" s="153">
        <f>INPUT!B81</f>
      </c>
      <c r="C86" s="149"/>
      <c r="D86" s="149"/>
      <c r="E86" s="149"/>
      <c r="F86" s="360" t="str">
        <f>TERM1!Y85</f>
        <v/>
      </c>
      <c r="G86" s="298"/>
      <c r="H86" s="298"/>
      <c r="I86" s="299"/>
      <c r="J86" s="360" t="str">
        <f>TERM2!Y85</f>
        <v/>
      </c>
      <c r="K86" s="298"/>
      <c r="L86" s="298"/>
      <c r="M86" s="299"/>
      <c r="N86" s="360" t="str">
        <f>TERM3!Y85</f>
        <v/>
      </c>
      <c r="O86" s="298"/>
      <c r="P86" s="298"/>
      <c r="Q86" s="299"/>
      <c r="R86" s="361" t="str">
        <f t="shared" si="5"/>
        <v/>
      </c>
      <c r="S86" s="277"/>
      <c r="T86" s="277"/>
      <c r="U86" s="278"/>
      <c r="V86" s="360" t="str">
        <f t="shared" si="3"/>
        <v/>
      </c>
      <c r="W86" s="277"/>
      <c r="X86" s="277"/>
      <c r="Y86" s="278"/>
      <c r="Z86" s="362" t="str">
        <f t="shared" si="4"/>
        <v/>
      </c>
      <c r="AA86" s="277"/>
      <c r="AB86" s="363"/>
      <c r="AI86" s="145"/>
      <c r="AK86" s="2"/>
      <c r="AN86" s="1"/>
      <c r="AO86" s="1"/>
      <c r="AP86" s="1"/>
      <c r="AQ86" s="1"/>
      <c r="AR86" s="1"/>
      <c r="AS86" s="1"/>
      <c r="AT86" s="1"/>
      <c r="AU86" s="1"/>
      <c r="AV86" s="1"/>
      <c r="AW86" s="1"/>
      <c r="AX86" s="1"/>
      <c r="AY86" s="1"/>
      <c r="AZ86" s="1"/>
      <c r="BA86" s="1"/>
      <c r="BB86" s="1"/>
      <c r="BC86" s="1"/>
    </row>
    <row r="87" spans="1:55" ht="18" customHeight="1">
      <c r="A87" s="224"/>
      <c r="B87" s="153">
        <f>INPUT!B82</f>
      </c>
      <c r="C87" s="149"/>
      <c r="D87" s="149"/>
      <c r="E87" s="149"/>
      <c r="F87" s="360" t="str">
        <f>TERM1!Y86</f>
        <v/>
      </c>
      <c r="G87" s="298"/>
      <c r="H87" s="298"/>
      <c r="I87" s="299"/>
      <c r="J87" s="360" t="str">
        <f>TERM2!Y86</f>
        <v/>
      </c>
      <c r="K87" s="298"/>
      <c r="L87" s="298"/>
      <c r="M87" s="299"/>
      <c r="N87" s="360" t="str">
        <f>TERM3!Y86</f>
        <v/>
      </c>
      <c r="O87" s="298"/>
      <c r="P87" s="298"/>
      <c r="Q87" s="299"/>
      <c r="R87" s="361" t="str">
        <f t="shared" si="5"/>
        <v/>
      </c>
      <c r="S87" s="277"/>
      <c r="T87" s="277"/>
      <c r="U87" s="278"/>
      <c r="V87" s="360" t="str">
        <f t="shared" si="3"/>
        <v/>
      </c>
      <c r="W87" s="277"/>
      <c r="X87" s="277"/>
      <c r="Y87" s="278"/>
      <c r="Z87" s="362" t="str">
        <f t="shared" si="4"/>
        <v/>
      </c>
      <c r="AA87" s="277"/>
      <c r="AB87" s="363"/>
      <c r="AI87" s="145"/>
      <c r="AK87" s="2"/>
      <c r="AN87" s="1"/>
      <c r="AO87" s="1"/>
      <c r="AP87" s="1"/>
      <c r="AQ87" s="1"/>
      <c r="AR87" s="1"/>
      <c r="AS87" s="1"/>
      <c r="AT87" s="1"/>
      <c r="AU87" s="1"/>
      <c r="AV87" s="1"/>
      <c r="AW87" s="1"/>
      <c r="AX87" s="1"/>
      <c r="AY87" s="1"/>
      <c r="AZ87" s="1"/>
      <c r="BA87" s="1"/>
      <c r="BB87" s="1"/>
      <c r="BC87" s="1"/>
    </row>
    <row r="88" spans="1:55" ht="18" customHeight="1">
      <c r="A88" s="224"/>
      <c r="B88" s="153">
        <f>INPUT!B83</f>
      </c>
      <c r="C88" s="149"/>
      <c r="D88" s="149"/>
      <c r="E88" s="149"/>
      <c r="F88" s="360" t="str">
        <f>TERM1!Y87</f>
        <v/>
      </c>
      <c r="G88" s="298"/>
      <c r="H88" s="298"/>
      <c r="I88" s="299"/>
      <c r="J88" s="360" t="str">
        <f>TERM2!Y87</f>
        <v/>
      </c>
      <c r="K88" s="298"/>
      <c r="L88" s="298"/>
      <c r="M88" s="299"/>
      <c r="N88" s="360" t="str">
        <f>TERM3!Y87</f>
        <v/>
      </c>
      <c r="O88" s="298"/>
      <c r="P88" s="298"/>
      <c r="Q88" s="299"/>
      <c r="R88" s="361" t="str">
        <f t="shared" si="5"/>
        <v/>
      </c>
      <c r="S88" s="277"/>
      <c r="T88" s="277"/>
      <c r="U88" s="278"/>
      <c r="V88" s="360" t="str">
        <f t="shared" si="3"/>
        <v/>
      </c>
      <c r="W88" s="277"/>
      <c r="X88" s="277"/>
      <c r="Y88" s="278"/>
      <c r="Z88" s="362" t="str">
        <f t="shared" si="4"/>
        <v/>
      </c>
      <c r="AA88" s="277"/>
      <c r="AB88" s="363"/>
      <c r="AI88" s="145"/>
      <c r="AK88" s="2"/>
      <c r="AN88" s="1"/>
      <c r="AO88" s="1"/>
      <c r="AP88" s="1"/>
      <c r="AQ88" s="1"/>
      <c r="AR88" s="1"/>
      <c r="AS88" s="1"/>
      <c r="AT88" s="1"/>
      <c r="AU88" s="1"/>
      <c r="AV88" s="1"/>
      <c r="AW88" s="1"/>
      <c r="AX88" s="1"/>
      <c r="AY88" s="1"/>
      <c r="AZ88" s="1"/>
      <c r="BA88" s="1"/>
      <c r="BB88" s="1"/>
      <c r="BC88" s="1"/>
    </row>
    <row r="89" spans="1:55" ht="18" customHeight="1">
      <c r="A89" s="224"/>
      <c r="B89" s="153">
        <f>INPUT!B84</f>
      </c>
      <c r="C89" s="149"/>
      <c r="D89" s="149"/>
      <c r="E89" s="149"/>
      <c r="F89" s="360" t="str">
        <f>TERM1!Y88</f>
        <v/>
      </c>
      <c r="G89" s="298"/>
      <c r="H89" s="298"/>
      <c r="I89" s="299"/>
      <c r="J89" s="360" t="str">
        <f>TERM2!Y88</f>
        <v/>
      </c>
      <c r="K89" s="298"/>
      <c r="L89" s="298"/>
      <c r="M89" s="299"/>
      <c r="N89" s="360" t="str">
        <f>TERM3!Y88</f>
        <v/>
      </c>
      <c r="O89" s="298"/>
      <c r="P89" s="298"/>
      <c r="Q89" s="299"/>
      <c r="R89" s="361" t="str">
        <f t="shared" si="5"/>
        <v/>
      </c>
      <c r="S89" s="277"/>
      <c r="T89" s="277"/>
      <c r="U89" s="278"/>
      <c r="V89" s="360" t="str">
        <f t="shared" si="3"/>
        <v/>
      </c>
      <c r="W89" s="277"/>
      <c r="X89" s="277"/>
      <c r="Y89" s="278"/>
      <c r="Z89" s="362" t="str">
        <f t="shared" si="4"/>
        <v/>
      </c>
      <c r="AA89" s="277"/>
      <c r="AB89" s="363"/>
      <c r="AI89" s="145"/>
      <c r="AK89" s="2"/>
      <c r="AN89" s="1"/>
      <c r="AO89" s="1"/>
      <c r="AP89" s="1"/>
      <c r="AQ89" s="1"/>
      <c r="AR89" s="1"/>
      <c r="AS89" s="1"/>
      <c r="AT89" s="1"/>
      <c r="AU89" s="1"/>
      <c r="AV89" s="1"/>
      <c r="AW89" s="1"/>
      <c r="AX89" s="1"/>
      <c r="AY89" s="1"/>
      <c r="AZ89" s="1"/>
      <c r="BA89" s="1"/>
      <c r="BB89" s="1"/>
      <c r="BC89" s="1"/>
    </row>
    <row r="90" spans="1:55" ht="18" customHeight="1">
      <c r="A90" s="224"/>
      <c r="B90" s="153">
        <f>INPUT!B85</f>
      </c>
      <c r="C90" s="149"/>
      <c r="D90" s="149"/>
      <c r="E90" s="149"/>
      <c r="F90" s="360" t="str">
        <f>TERM1!Y89</f>
        <v/>
      </c>
      <c r="G90" s="298"/>
      <c r="H90" s="298"/>
      <c r="I90" s="299"/>
      <c r="J90" s="360" t="str">
        <f>TERM2!Y89</f>
        <v/>
      </c>
      <c r="K90" s="298"/>
      <c r="L90" s="298"/>
      <c r="M90" s="299"/>
      <c r="N90" s="360" t="str">
        <f>TERM3!Y89</f>
        <v/>
      </c>
      <c r="O90" s="298"/>
      <c r="P90" s="298"/>
      <c r="Q90" s="299"/>
      <c r="R90" s="361" t="str">
        <f t="shared" si="5"/>
        <v/>
      </c>
      <c r="S90" s="277"/>
      <c r="T90" s="277"/>
      <c r="U90" s="278"/>
      <c r="V90" s="360" t="str">
        <f t="shared" si="3"/>
        <v/>
      </c>
      <c r="W90" s="277"/>
      <c r="X90" s="277"/>
      <c r="Y90" s="278"/>
      <c r="Z90" s="362" t="str">
        <f t="shared" si="4"/>
        <v/>
      </c>
      <c r="AA90" s="277"/>
      <c r="AB90" s="363"/>
      <c r="AI90" s="145"/>
      <c r="AK90" s="2"/>
      <c r="AN90" s="1"/>
      <c r="AO90" s="1"/>
      <c r="AP90" s="1"/>
      <c r="AQ90" s="1"/>
      <c r="AR90" s="1"/>
      <c r="AS90" s="1"/>
      <c r="AT90" s="1"/>
      <c r="AU90" s="1"/>
      <c r="AV90" s="1"/>
      <c r="AW90" s="1"/>
      <c r="AX90" s="1"/>
      <c r="AY90" s="1"/>
      <c r="AZ90" s="1"/>
      <c r="BA90" s="1"/>
      <c r="BB90" s="1"/>
      <c r="BC90" s="1"/>
    </row>
    <row r="91" spans="1:55" ht="18" customHeight="1">
      <c r="A91" s="224"/>
      <c r="B91" s="153">
        <f>INPUT!B86</f>
      </c>
      <c r="C91" s="149"/>
      <c r="D91" s="149"/>
      <c r="E91" s="149"/>
      <c r="F91" s="360" t="str">
        <f>TERM1!Y90</f>
        <v/>
      </c>
      <c r="G91" s="298"/>
      <c r="H91" s="298"/>
      <c r="I91" s="299"/>
      <c r="J91" s="360" t="str">
        <f>TERM2!Y90</f>
        <v/>
      </c>
      <c r="K91" s="298"/>
      <c r="L91" s="298"/>
      <c r="M91" s="299"/>
      <c r="N91" s="360" t="str">
        <f>TERM3!Y90</f>
        <v/>
      </c>
      <c r="O91" s="298"/>
      <c r="P91" s="298"/>
      <c r="Q91" s="299"/>
      <c r="R91" s="361" t="str">
        <f t="shared" si="5"/>
        <v/>
      </c>
      <c r="S91" s="277"/>
      <c r="T91" s="277"/>
      <c r="U91" s="278"/>
      <c r="V91" s="360" t="str">
        <f t="shared" si="3"/>
        <v/>
      </c>
      <c r="W91" s="277"/>
      <c r="X91" s="277"/>
      <c r="Y91" s="278"/>
      <c r="Z91" s="362" t="str">
        <f t="shared" si="4"/>
        <v/>
      </c>
      <c r="AA91" s="277"/>
      <c r="AB91" s="363"/>
      <c r="AI91" s="145"/>
      <c r="AK91" s="2"/>
      <c r="AN91" s="1"/>
      <c r="AO91" s="1"/>
      <c r="AP91" s="1"/>
      <c r="AQ91" s="1"/>
      <c r="AR91" s="1"/>
      <c r="AS91" s="1"/>
      <c r="AT91" s="1"/>
      <c r="AU91" s="1"/>
      <c r="AV91" s="1"/>
      <c r="AW91" s="1"/>
      <c r="AX91" s="1"/>
      <c r="AY91" s="1"/>
      <c r="AZ91" s="1"/>
      <c r="BA91" s="1"/>
      <c r="BB91" s="1"/>
      <c r="BC91" s="1"/>
    </row>
    <row r="92" spans="1:55" ht="18" customHeight="1">
      <c r="A92" s="224"/>
      <c r="B92" s="153">
        <f>INPUT!B87</f>
      </c>
      <c r="C92" s="149"/>
      <c r="D92" s="149"/>
      <c r="E92" s="149"/>
      <c r="F92" s="360" t="str">
        <f>TERM1!Y91</f>
        <v/>
      </c>
      <c r="G92" s="298"/>
      <c r="H92" s="298"/>
      <c r="I92" s="299"/>
      <c r="J92" s="360" t="str">
        <f>TERM2!Y91</f>
        <v/>
      </c>
      <c r="K92" s="298"/>
      <c r="L92" s="298"/>
      <c r="M92" s="299"/>
      <c r="N92" s="360" t="str">
        <f>TERM3!Y91</f>
        <v/>
      </c>
      <c r="O92" s="298"/>
      <c r="P92" s="298"/>
      <c r="Q92" s="299"/>
      <c r="R92" s="361" t="str">
        <f t="shared" si="5"/>
        <v/>
      </c>
      <c r="S92" s="277"/>
      <c r="T92" s="277"/>
      <c r="U92" s="278"/>
      <c r="V92" s="360" t="str">
        <f t="shared" si="3"/>
        <v/>
      </c>
      <c r="W92" s="277"/>
      <c r="X92" s="277"/>
      <c r="Y92" s="278"/>
      <c r="Z92" s="362" t="str">
        <f t="shared" si="4"/>
        <v/>
      </c>
      <c r="AA92" s="277"/>
      <c r="AB92" s="363"/>
      <c r="AI92" s="145"/>
      <c r="AK92" s="2"/>
      <c r="AN92" s="1"/>
      <c r="AO92" s="1"/>
      <c r="AP92" s="1"/>
      <c r="AQ92" s="1"/>
      <c r="AR92" s="1"/>
      <c r="AS92" s="1"/>
      <c r="AT92" s="1"/>
      <c r="AU92" s="1"/>
      <c r="AV92" s="1"/>
      <c r="AW92" s="1"/>
      <c r="AX92" s="1"/>
      <c r="AY92" s="1"/>
      <c r="AZ92" s="1"/>
      <c r="BA92" s="1"/>
      <c r="BB92" s="1"/>
      <c r="BC92" s="1"/>
    </row>
    <row r="93" spans="1:55" ht="18" customHeight="1">
      <c r="A93" s="224"/>
      <c r="B93" s="153">
        <f>INPUT!B88</f>
      </c>
      <c r="C93" s="149"/>
      <c r="D93" s="149"/>
      <c r="E93" s="149"/>
      <c r="F93" s="360" t="str">
        <f>TERM1!Y92</f>
        <v/>
      </c>
      <c r="G93" s="298"/>
      <c r="H93" s="298"/>
      <c r="I93" s="299"/>
      <c r="J93" s="360" t="str">
        <f>TERM2!Y92</f>
        <v/>
      </c>
      <c r="K93" s="298"/>
      <c r="L93" s="298"/>
      <c r="M93" s="299"/>
      <c r="N93" s="360" t="str">
        <f>TERM3!Y92</f>
        <v/>
      </c>
      <c r="O93" s="298"/>
      <c r="P93" s="298"/>
      <c r="Q93" s="299"/>
      <c r="R93" s="361" t="str">
        <f t="shared" si="5"/>
        <v/>
      </c>
      <c r="S93" s="277"/>
      <c r="T93" s="277"/>
      <c r="U93" s="278"/>
      <c r="V93" s="360" t="str">
        <f t="shared" si="3"/>
        <v/>
      </c>
      <c r="W93" s="277"/>
      <c r="X93" s="277"/>
      <c r="Y93" s="278"/>
      <c r="Z93" s="362" t="str">
        <f t="shared" si="4"/>
        <v/>
      </c>
      <c r="AA93" s="277"/>
      <c r="AB93" s="363"/>
      <c r="AI93" s="145"/>
      <c r="AK93" s="2"/>
      <c r="AN93" s="1"/>
      <c r="AO93" s="1"/>
      <c r="AP93" s="1"/>
      <c r="AQ93" s="1"/>
      <c r="AR93" s="1"/>
      <c r="AS93" s="1"/>
      <c r="AT93" s="1"/>
      <c r="AU93" s="1"/>
      <c r="AV93" s="1"/>
      <c r="AW93" s="1"/>
      <c r="AX93" s="1"/>
      <c r="AY93" s="1"/>
      <c r="AZ93" s="1"/>
      <c r="BA93" s="1"/>
      <c r="BB93" s="1"/>
      <c r="BC93" s="1"/>
    </row>
    <row r="94" spans="1:55" ht="18" customHeight="1">
      <c r="A94" s="224"/>
      <c r="B94" s="153">
        <f>INPUT!B89</f>
      </c>
      <c r="C94" s="149"/>
      <c r="D94" s="149"/>
      <c r="E94" s="149"/>
      <c r="F94" s="360" t="str">
        <f>TERM1!Y93</f>
        <v/>
      </c>
      <c r="G94" s="298"/>
      <c r="H94" s="298"/>
      <c r="I94" s="299"/>
      <c r="J94" s="360" t="str">
        <f>TERM2!Y93</f>
        <v/>
      </c>
      <c r="K94" s="298"/>
      <c r="L94" s="298"/>
      <c r="M94" s="299"/>
      <c r="N94" s="360" t="str">
        <f>TERM3!Y93</f>
        <v/>
      </c>
      <c r="O94" s="298"/>
      <c r="P94" s="298"/>
      <c r="Q94" s="299"/>
      <c r="R94" s="361" t="str">
        <f t="shared" si="5"/>
        <v/>
      </c>
      <c r="S94" s="277"/>
      <c r="T94" s="277"/>
      <c r="U94" s="278"/>
      <c r="V94" s="360" t="str">
        <f t="shared" si="3"/>
        <v/>
      </c>
      <c r="W94" s="277"/>
      <c r="X94" s="277"/>
      <c r="Y94" s="278"/>
      <c r="Z94" s="362" t="str">
        <f t="shared" si="4"/>
        <v/>
      </c>
      <c r="AA94" s="277"/>
      <c r="AB94" s="363"/>
      <c r="AI94" s="145"/>
      <c r="AK94" s="2"/>
      <c r="AN94" s="1"/>
      <c r="AO94" s="1"/>
      <c r="AP94" s="1"/>
      <c r="AQ94" s="1"/>
      <c r="AR94" s="1"/>
      <c r="AS94" s="1"/>
      <c r="AT94" s="1"/>
      <c r="AU94" s="1"/>
      <c r="AV94" s="1"/>
      <c r="AW94" s="1"/>
      <c r="AX94" s="1"/>
      <c r="AY94" s="1"/>
      <c r="AZ94" s="1"/>
      <c r="BA94" s="1"/>
      <c r="BB94" s="1"/>
      <c r="BC94" s="1"/>
    </row>
    <row r="95" spans="1:55" ht="18" customHeight="1">
      <c r="A95" s="224"/>
      <c r="B95" s="153">
        <f>INPUT!B90</f>
      </c>
      <c r="C95" s="149"/>
      <c r="D95" s="149"/>
      <c r="E95" s="149"/>
      <c r="F95" s="360" t="str">
        <f>TERM1!Y94</f>
        <v/>
      </c>
      <c r="G95" s="298"/>
      <c r="H95" s="298"/>
      <c r="I95" s="299"/>
      <c r="J95" s="360" t="str">
        <f>TERM2!Y94</f>
        <v/>
      </c>
      <c r="K95" s="298"/>
      <c r="L95" s="298"/>
      <c r="M95" s="299"/>
      <c r="N95" s="360" t="str">
        <f>TERM3!Y94</f>
        <v/>
      </c>
      <c r="O95" s="298"/>
      <c r="P95" s="298"/>
      <c r="Q95" s="299"/>
      <c r="R95" s="361" t="str">
        <f t="shared" si="5"/>
        <v/>
      </c>
      <c r="S95" s="277"/>
      <c r="T95" s="277"/>
      <c r="U95" s="278"/>
      <c r="V95" s="360" t="str">
        <f t="shared" si="3"/>
        <v/>
      </c>
      <c r="W95" s="277"/>
      <c r="X95" s="277"/>
      <c r="Y95" s="278"/>
      <c r="Z95" s="362" t="str">
        <f t="shared" si="4"/>
        <v/>
      </c>
      <c r="AA95" s="277"/>
      <c r="AB95" s="363"/>
      <c r="AI95" s="145"/>
      <c r="AK95" s="2"/>
      <c r="AN95" s="1"/>
      <c r="AO95" s="1"/>
      <c r="AP95" s="1"/>
      <c r="AQ95" s="1"/>
      <c r="AR95" s="1"/>
      <c r="AS95" s="1"/>
      <c r="AT95" s="1"/>
      <c r="AU95" s="1"/>
      <c r="AV95" s="1"/>
      <c r="AW95" s="1"/>
      <c r="AX95" s="1"/>
      <c r="AY95" s="1"/>
      <c r="AZ95" s="1"/>
      <c r="BA95" s="1"/>
      <c r="BB95" s="1"/>
      <c r="BC95" s="1"/>
    </row>
    <row r="96" spans="1:55" ht="18" customHeight="1">
      <c r="A96" s="224"/>
      <c r="B96" s="153">
        <f>INPUT!B91</f>
      </c>
      <c r="C96" s="149"/>
      <c r="D96" s="149"/>
      <c r="E96" s="149"/>
      <c r="F96" s="360" t="str">
        <f>TERM1!Y95</f>
        <v/>
      </c>
      <c r="G96" s="298"/>
      <c r="H96" s="298"/>
      <c r="I96" s="299"/>
      <c r="J96" s="360" t="str">
        <f>TERM2!Y95</f>
        <v/>
      </c>
      <c r="K96" s="298"/>
      <c r="L96" s="298"/>
      <c r="M96" s="299"/>
      <c r="N96" s="360" t="str">
        <f>TERM3!Y95</f>
        <v/>
      </c>
      <c r="O96" s="298"/>
      <c r="P96" s="298"/>
      <c r="Q96" s="299"/>
      <c r="R96" s="361" t="str">
        <f t="shared" si="5"/>
        <v/>
      </c>
      <c r="S96" s="277"/>
      <c r="T96" s="277"/>
      <c r="U96" s="278"/>
      <c r="V96" s="360" t="str">
        <f t="shared" si="3"/>
        <v/>
      </c>
      <c r="W96" s="277"/>
      <c r="X96" s="277"/>
      <c r="Y96" s="278"/>
      <c r="Z96" s="362" t="str">
        <f t="shared" si="4"/>
        <v/>
      </c>
      <c r="AA96" s="277"/>
      <c r="AB96" s="363"/>
      <c r="AI96" s="145"/>
      <c r="AK96" s="2"/>
      <c r="AN96" s="1"/>
      <c r="AO96" s="1"/>
      <c r="AP96" s="1"/>
      <c r="AQ96" s="1"/>
      <c r="AR96" s="1"/>
      <c r="AS96" s="1"/>
      <c r="AT96" s="1"/>
      <c r="AU96" s="1"/>
      <c r="AV96" s="1"/>
      <c r="AW96" s="1"/>
      <c r="AX96" s="1"/>
      <c r="AY96" s="1"/>
      <c r="AZ96" s="1"/>
      <c r="BA96" s="1"/>
      <c r="BB96" s="1"/>
      <c r="BC96" s="1"/>
    </row>
    <row r="97" spans="1:55" ht="18" customHeight="1">
      <c r="A97" s="224"/>
      <c r="B97" s="153">
        <f>INPUT!B92</f>
      </c>
      <c r="C97" s="149"/>
      <c r="D97" s="149"/>
      <c r="E97" s="149"/>
      <c r="F97" s="360" t="str">
        <f>TERM1!Y96</f>
        <v/>
      </c>
      <c r="G97" s="298"/>
      <c r="H97" s="298"/>
      <c r="I97" s="299"/>
      <c r="J97" s="360" t="str">
        <f>TERM2!Y96</f>
        <v/>
      </c>
      <c r="K97" s="298"/>
      <c r="L97" s="298"/>
      <c r="M97" s="299"/>
      <c r="N97" s="360" t="str">
        <f>TERM3!Y96</f>
        <v/>
      </c>
      <c r="O97" s="298"/>
      <c r="P97" s="298"/>
      <c r="Q97" s="299"/>
      <c r="R97" s="361" t="str">
        <f t="shared" si="5"/>
        <v/>
      </c>
      <c r="S97" s="277"/>
      <c r="T97" s="277"/>
      <c r="U97" s="278"/>
      <c r="V97" s="360" t="str">
        <f t="shared" si="3"/>
        <v/>
      </c>
      <c r="W97" s="277"/>
      <c r="X97" s="277"/>
      <c r="Y97" s="278"/>
      <c r="Z97" s="362" t="str">
        <f t="shared" si="4"/>
        <v/>
      </c>
      <c r="AA97" s="277"/>
      <c r="AB97" s="363"/>
      <c r="AI97" s="145"/>
      <c r="AK97" s="2"/>
      <c r="AN97" s="1"/>
      <c r="AO97" s="1"/>
      <c r="AP97" s="1"/>
      <c r="AQ97" s="1"/>
      <c r="AR97" s="1"/>
      <c r="AS97" s="1"/>
      <c r="AT97" s="1"/>
      <c r="AU97" s="1"/>
      <c r="AV97" s="1"/>
      <c r="AW97" s="1"/>
      <c r="AX97" s="1"/>
      <c r="AY97" s="1"/>
      <c r="AZ97" s="1"/>
      <c r="BA97" s="1"/>
      <c r="BB97" s="1"/>
      <c r="BC97" s="1"/>
    </row>
    <row r="98" spans="1:55" ht="18" customHeight="1">
      <c r="A98" s="224"/>
      <c r="B98" s="153">
        <f>INPUT!B93</f>
      </c>
      <c r="C98" s="149"/>
      <c r="D98" s="149"/>
      <c r="E98" s="149"/>
      <c r="F98" s="360" t="str">
        <f>TERM1!Y97</f>
        <v/>
      </c>
      <c r="G98" s="298"/>
      <c r="H98" s="298"/>
      <c r="I98" s="299"/>
      <c r="J98" s="360" t="str">
        <f>TERM2!Y97</f>
        <v/>
      </c>
      <c r="K98" s="298"/>
      <c r="L98" s="298"/>
      <c r="M98" s="299"/>
      <c r="N98" s="360" t="str">
        <f>TERM3!Y97</f>
        <v/>
      </c>
      <c r="O98" s="298"/>
      <c r="P98" s="298"/>
      <c r="Q98" s="299"/>
      <c r="R98" s="361" t="str">
        <f t="shared" si="5"/>
        <v/>
      </c>
      <c r="S98" s="277"/>
      <c r="T98" s="277"/>
      <c r="U98" s="278"/>
      <c r="V98" s="360" t="str">
        <f t="shared" si="3"/>
        <v/>
      </c>
      <c r="W98" s="277"/>
      <c r="X98" s="277"/>
      <c r="Y98" s="278"/>
      <c r="Z98" s="362" t="str">
        <f t="shared" si="4"/>
        <v/>
      </c>
      <c r="AA98" s="277"/>
      <c r="AB98" s="363"/>
      <c r="AI98" s="145"/>
      <c r="AK98" s="2"/>
      <c r="AN98" s="1"/>
      <c r="AO98" s="1"/>
      <c r="AP98" s="1"/>
      <c r="AQ98" s="1"/>
      <c r="AR98" s="1"/>
      <c r="AS98" s="1"/>
      <c r="AT98" s="1"/>
      <c r="AU98" s="1"/>
      <c r="AV98" s="1"/>
      <c r="AW98" s="1"/>
      <c r="AX98" s="1"/>
      <c r="AY98" s="1"/>
      <c r="AZ98" s="1"/>
      <c r="BA98" s="1"/>
      <c r="BB98" s="1"/>
      <c r="BC98" s="1"/>
    </row>
    <row r="99" spans="1:55" ht="18" customHeight="1">
      <c r="A99" s="224"/>
      <c r="B99" s="153">
        <f>INPUT!B94</f>
      </c>
      <c r="C99" s="149"/>
      <c r="D99" s="149"/>
      <c r="E99" s="149"/>
      <c r="F99" s="360" t="str">
        <f>TERM1!Y98</f>
        <v/>
      </c>
      <c r="G99" s="298"/>
      <c r="H99" s="298"/>
      <c r="I99" s="299"/>
      <c r="J99" s="360" t="str">
        <f>TERM2!Y98</f>
        <v/>
      </c>
      <c r="K99" s="298"/>
      <c r="L99" s="298"/>
      <c r="M99" s="299"/>
      <c r="N99" s="360" t="str">
        <f>TERM3!Y98</f>
        <v/>
      </c>
      <c r="O99" s="298"/>
      <c r="P99" s="298"/>
      <c r="Q99" s="299"/>
      <c r="R99" s="361" t="str">
        <f t="shared" si="5"/>
        <v/>
      </c>
      <c r="S99" s="277"/>
      <c r="T99" s="277"/>
      <c r="U99" s="278"/>
      <c r="V99" s="360" t="str">
        <f t="shared" si="3"/>
        <v/>
      </c>
      <c r="W99" s="277"/>
      <c r="X99" s="277"/>
      <c r="Y99" s="278"/>
      <c r="Z99" s="362" t="str">
        <f t="shared" si="4"/>
        <v/>
      </c>
      <c r="AA99" s="277"/>
      <c r="AB99" s="363"/>
      <c r="AI99" s="145"/>
      <c r="AK99" s="2"/>
      <c r="AN99" s="1"/>
      <c r="AO99" s="1"/>
      <c r="AP99" s="1"/>
      <c r="AQ99" s="1"/>
      <c r="AR99" s="1"/>
      <c r="AS99" s="1"/>
      <c r="AT99" s="1"/>
      <c r="AU99" s="1"/>
      <c r="AV99" s="1"/>
      <c r="AW99" s="1"/>
      <c r="AX99" s="1"/>
      <c r="AY99" s="1"/>
      <c r="AZ99" s="1"/>
      <c r="BA99" s="1"/>
      <c r="BB99" s="1"/>
      <c r="BC99" s="1"/>
    </row>
    <row r="100" spans="1:55" ht="18" customHeight="1">
      <c r="A100" s="224"/>
      <c r="B100" s="153">
        <f>INPUT!B95</f>
      </c>
      <c r="C100" s="149"/>
      <c r="D100" s="149"/>
      <c r="E100" s="149"/>
      <c r="F100" s="360" t="str">
        <f>TERM1!Y99</f>
        <v/>
      </c>
      <c r="G100" s="298"/>
      <c r="H100" s="298"/>
      <c r="I100" s="299"/>
      <c r="J100" s="360" t="str">
        <f>TERM2!Y99</f>
        <v/>
      </c>
      <c r="K100" s="298"/>
      <c r="L100" s="298"/>
      <c r="M100" s="299"/>
      <c r="N100" s="360" t="str">
        <f>TERM3!Y99</f>
        <v/>
      </c>
      <c r="O100" s="298"/>
      <c r="P100" s="298"/>
      <c r="Q100" s="299"/>
      <c r="R100" s="361" t="str">
        <f t="shared" si="5"/>
        <v/>
      </c>
      <c r="S100" s="277"/>
      <c r="T100" s="277"/>
      <c r="U100" s="278"/>
      <c r="V100" s="360" t="str">
        <f t="shared" si="3"/>
        <v/>
      </c>
      <c r="W100" s="277"/>
      <c r="X100" s="277"/>
      <c r="Y100" s="278"/>
      <c r="Z100" s="362" t="str">
        <f t="shared" si="4"/>
        <v/>
      </c>
      <c r="AA100" s="277"/>
      <c r="AB100" s="363"/>
      <c r="AI100" s="145"/>
      <c r="AK100" s="2"/>
      <c r="AN100" s="1"/>
      <c r="AO100" s="1"/>
      <c r="AP100" s="1"/>
      <c r="AQ100" s="1"/>
      <c r="AR100" s="1"/>
      <c r="AS100" s="1"/>
      <c r="AT100" s="1"/>
      <c r="AU100" s="1"/>
      <c r="AV100" s="1"/>
      <c r="AW100" s="1"/>
      <c r="AX100" s="1"/>
      <c r="AY100" s="1"/>
      <c r="AZ100" s="1"/>
      <c r="BA100" s="1"/>
      <c r="BB100" s="1"/>
      <c r="BC100" s="1"/>
    </row>
    <row r="101" spans="1:55" ht="18" customHeight="1">
      <c r="A101" s="224"/>
      <c r="B101" s="153">
        <f>INPUT!B96</f>
      </c>
      <c r="C101" s="149"/>
      <c r="D101" s="149"/>
      <c r="E101" s="149"/>
      <c r="F101" s="360" t="str">
        <f>TERM1!Y100</f>
        <v/>
      </c>
      <c r="G101" s="298"/>
      <c r="H101" s="298"/>
      <c r="I101" s="299"/>
      <c r="J101" s="360" t="str">
        <f>TERM2!Y100</f>
        <v/>
      </c>
      <c r="K101" s="298"/>
      <c r="L101" s="298"/>
      <c r="M101" s="299"/>
      <c r="N101" s="360" t="str">
        <f>TERM3!Y100</f>
        <v/>
      </c>
      <c r="O101" s="298"/>
      <c r="P101" s="298"/>
      <c r="Q101" s="299"/>
      <c r="R101" s="361" t="str">
        <f t="shared" si="5"/>
        <v/>
      </c>
      <c r="S101" s="277"/>
      <c r="T101" s="277"/>
      <c r="U101" s="278"/>
      <c r="V101" s="360" t="str">
        <f t="shared" si="3"/>
        <v/>
      </c>
      <c r="W101" s="277"/>
      <c r="X101" s="277"/>
      <c r="Y101" s="278"/>
      <c r="Z101" s="362" t="str">
        <f t="shared" si="4"/>
        <v/>
      </c>
      <c r="AA101" s="277"/>
      <c r="AB101" s="363"/>
      <c r="AI101" s="145"/>
      <c r="AK101" s="2"/>
      <c r="AN101" s="1"/>
      <c r="AO101" s="1"/>
      <c r="AP101" s="1"/>
      <c r="AQ101" s="1"/>
      <c r="AR101" s="1"/>
      <c r="AS101" s="1"/>
      <c r="AT101" s="1"/>
      <c r="AU101" s="1"/>
      <c r="AV101" s="1"/>
      <c r="AW101" s="1"/>
      <c r="AX101" s="1"/>
      <c r="AY101" s="1"/>
      <c r="AZ101" s="1"/>
      <c r="BA101" s="1"/>
      <c r="BB101" s="1"/>
      <c r="BC101" s="1"/>
    </row>
    <row r="102" spans="1:55" ht="18" customHeight="1">
      <c r="A102" s="224"/>
      <c r="B102" s="153">
        <f>INPUT!B97</f>
      </c>
      <c r="C102" s="149"/>
      <c r="D102" s="149"/>
      <c r="E102" s="149"/>
      <c r="F102" s="360" t="str">
        <f>TERM1!Y101</f>
        <v/>
      </c>
      <c r="G102" s="298"/>
      <c r="H102" s="298"/>
      <c r="I102" s="299"/>
      <c r="J102" s="360" t="str">
        <f>TERM2!Y101</f>
        <v/>
      </c>
      <c r="K102" s="298"/>
      <c r="L102" s="298"/>
      <c r="M102" s="299"/>
      <c r="N102" s="360" t="str">
        <f>TERM3!Y101</f>
        <v/>
      </c>
      <c r="O102" s="298"/>
      <c r="P102" s="298"/>
      <c r="Q102" s="299"/>
      <c r="R102" s="361" t="str">
        <f t="shared" si="5"/>
        <v/>
      </c>
      <c r="S102" s="277"/>
      <c r="T102" s="277"/>
      <c r="U102" s="278"/>
      <c r="V102" s="360" t="str">
        <f t="shared" si="3"/>
        <v/>
      </c>
      <c r="W102" s="277"/>
      <c r="X102" s="277"/>
      <c r="Y102" s="278"/>
      <c r="Z102" s="362" t="str">
        <f t="shared" si="4"/>
        <v/>
      </c>
      <c r="AA102" s="277"/>
      <c r="AB102" s="363"/>
      <c r="AI102" s="145"/>
      <c r="AK102" s="2"/>
      <c r="AN102" s="1"/>
      <c r="AO102" s="1"/>
      <c r="AP102" s="1"/>
      <c r="AQ102" s="1"/>
      <c r="AR102" s="1"/>
      <c r="AS102" s="1"/>
      <c r="AT102" s="1"/>
      <c r="AU102" s="1"/>
      <c r="AV102" s="1"/>
      <c r="AW102" s="1"/>
      <c r="AX102" s="1"/>
      <c r="AY102" s="1"/>
      <c r="AZ102" s="1"/>
      <c r="BA102" s="1"/>
      <c r="BB102" s="1"/>
      <c r="BC102" s="1"/>
    </row>
    <row r="103" spans="1:55" ht="18" customHeight="1">
      <c r="A103" s="224"/>
      <c r="B103" s="153">
        <f>INPUT!B98</f>
      </c>
      <c r="C103" s="149"/>
      <c r="D103" s="149"/>
      <c r="E103" s="149"/>
      <c r="F103" s="360" t="str">
        <f>TERM1!Y102</f>
        <v/>
      </c>
      <c r="G103" s="298"/>
      <c r="H103" s="298"/>
      <c r="I103" s="299"/>
      <c r="J103" s="360" t="str">
        <f>TERM2!Y102</f>
        <v/>
      </c>
      <c r="K103" s="298"/>
      <c r="L103" s="298"/>
      <c r="M103" s="299"/>
      <c r="N103" s="360" t="str">
        <f>TERM3!Y102</f>
        <v/>
      </c>
      <c r="O103" s="298"/>
      <c r="P103" s="298"/>
      <c r="Q103" s="299"/>
      <c r="R103" s="361" t="str">
        <f t="shared" si="5"/>
        <v/>
      </c>
      <c r="S103" s="277"/>
      <c r="T103" s="277"/>
      <c r="U103" s="278"/>
      <c r="V103" s="360" t="str">
        <f t="shared" si="3"/>
        <v/>
      </c>
      <c r="W103" s="277"/>
      <c r="X103" s="277"/>
      <c r="Y103" s="278"/>
      <c r="Z103" s="362" t="str">
        <f t="shared" si="4"/>
        <v/>
      </c>
      <c r="AA103" s="277"/>
      <c r="AB103" s="363"/>
      <c r="AI103" s="145"/>
      <c r="AK103" s="2"/>
      <c r="AN103" s="1"/>
      <c r="AO103" s="1"/>
      <c r="AP103" s="1"/>
      <c r="AQ103" s="1"/>
      <c r="AR103" s="1"/>
      <c r="AS103" s="1"/>
      <c r="AT103" s="1"/>
      <c r="AU103" s="1"/>
      <c r="AV103" s="1"/>
      <c r="AW103" s="1"/>
      <c r="AX103" s="1"/>
      <c r="AY103" s="1"/>
      <c r="AZ103" s="1"/>
      <c r="BA103" s="1"/>
      <c r="BB103" s="1"/>
      <c r="BC103" s="1"/>
    </row>
    <row r="104" spans="1:55" ht="18" customHeight="1">
      <c r="A104" s="224"/>
      <c r="B104" s="153">
        <f>INPUT!B99</f>
      </c>
      <c r="C104" s="149"/>
      <c r="D104" s="149"/>
      <c r="E104" s="149"/>
      <c r="F104" s="360" t="str">
        <f>TERM1!Y103</f>
        <v/>
      </c>
      <c r="G104" s="298"/>
      <c r="H104" s="298"/>
      <c r="I104" s="299"/>
      <c r="J104" s="360" t="str">
        <f>TERM2!Y103</f>
        <v/>
      </c>
      <c r="K104" s="298"/>
      <c r="L104" s="298"/>
      <c r="M104" s="299"/>
      <c r="N104" s="360" t="str">
        <f>TERM3!Y103</f>
        <v/>
      </c>
      <c r="O104" s="298"/>
      <c r="P104" s="298"/>
      <c r="Q104" s="299"/>
      <c r="R104" s="361" t="str">
        <f t="shared" si="5"/>
        <v/>
      </c>
      <c r="S104" s="277"/>
      <c r="T104" s="277"/>
      <c r="U104" s="278"/>
      <c r="V104" s="360" t="str">
        <f t="shared" si="3"/>
        <v/>
      </c>
      <c r="W104" s="277"/>
      <c r="X104" s="277"/>
      <c r="Y104" s="278"/>
      <c r="Z104" s="362" t="str">
        <f t="shared" si="4"/>
        <v/>
      </c>
      <c r="AA104" s="277"/>
      <c r="AB104" s="363"/>
      <c r="AI104" s="145"/>
      <c r="AK104" s="2"/>
      <c r="AN104" s="1"/>
      <c r="AO104" s="1"/>
      <c r="AP104" s="1"/>
      <c r="AQ104" s="1"/>
      <c r="AR104" s="1"/>
      <c r="AS104" s="1"/>
      <c r="AT104" s="1"/>
      <c r="AU104" s="1"/>
      <c r="AV104" s="1"/>
      <c r="AW104" s="1"/>
      <c r="AX104" s="1"/>
      <c r="AY104" s="1"/>
      <c r="AZ104" s="1"/>
      <c r="BA104" s="1"/>
      <c r="BB104" s="1"/>
      <c r="BC104" s="1"/>
    </row>
    <row r="105" spans="1:55" ht="18" customHeight="1">
      <c r="A105" s="224"/>
      <c r="B105" s="153">
        <f>INPUT!B100</f>
      </c>
      <c r="C105" s="149"/>
      <c r="D105" s="149"/>
      <c r="E105" s="149"/>
      <c r="F105" s="360" t="str">
        <f>TERM1!Y104</f>
        <v/>
      </c>
      <c r="G105" s="298"/>
      <c r="H105" s="298"/>
      <c r="I105" s="299"/>
      <c r="J105" s="360" t="str">
        <f>TERM2!Y104</f>
        <v/>
      </c>
      <c r="K105" s="298"/>
      <c r="L105" s="298"/>
      <c r="M105" s="299"/>
      <c r="N105" s="360" t="str">
        <f>TERM3!Y104</f>
        <v/>
      </c>
      <c r="O105" s="298"/>
      <c r="P105" s="298"/>
      <c r="Q105" s="299"/>
      <c r="R105" s="361" t="str">
        <f t="shared" si="5"/>
        <v/>
      </c>
      <c r="S105" s="277"/>
      <c r="T105" s="277"/>
      <c r="U105" s="278"/>
      <c r="V105" s="360" t="str">
        <f t="shared" si="3"/>
        <v/>
      </c>
      <c r="W105" s="277"/>
      <c r="X105" s="277"/>
      <c r="Y105" s="278"/>
      <c r="Z105" s="362" t="str">
        <f t="shared" si="4"/>
        <v/>
      </c>
      <c r="AA105" s="277"/>
      <c r="AB105" s="363"/>
      <c r="AI105" s="145"/>
      <c r="AK105" s="2"/>
      <c r="AN105" s="1"/>
      <c r="AO105" s="1"/>
      <c r="AP105" s="1"/>
      <c r="AQ105" s="1"/>
      <c r="AR105" s="1"/>
      <c r="AS105" s="1"/>
      <c r="AT105" s="1"/>
      <c r="AU105" s="1"/>
      <c r="AV105" s="1"/>
      <c r="AW105" s="1"/>
      <c r="AX105" s="1"/>
      <c r="AY105" s="1"/>
      <c r="AZ105" s="1"/>
      <c r="BA105" s="1"/>
      <c r="BB105" s="1"/>
      <c r="BC105" s="1"/>
    </row>
    <row r="106" spans="1:55" ht="18" customHeight="1">
      <c r="A106" s="224"/>
      <c r="B106" s="153">
        <f>INPUT!B101</f>
      </c>
      <c r="C106" s="149"/>
      <c r="D106" s="149"/>
      <c r="E106" s="149"/>
      <c r="F106" s="360" t="str">
        <f>TERM1!Y105</f>
        <v/>
      </c>
      <c r="G106" s="298"/>
      <c r="H106" s="298"/>
      <c r="I106" s="299"/>
      <c r="J106" s="360" t="str">
        <f>TERM2!Y105</f>
        <v/>
      </c>
      <c r="K106" s="298"/>
      <c r="L106" s="298"/>
      <c r="M106" s="299"/>
      <c r="N106" s="360" t="str">
        <f>TERM3!Y105</f>
        <v/>
      </c>
      <c r="O106" s="298"/>
      <c r="P106" s="298"/>
      <c r="Q106" s="299"/>
      <c r="R106" s="361" t="str">
        <f t="shared" si="5"/>
        <v/>
      </c>
      <c r="S106" s="277"/>
      <c r="T106" s="277"/>
      <c r="U106" s="278"/>
      <c r="V106" s="360" t="str">
        <f t="shared" si="3"/>
        <v/>
      </c>
      <c r="W106" s="277"/>
      <c r="X106" s="277"/>
      <c r="Y106" s="278"/>
      <c r="Z106" s="362" t="str">
        <f t="shared" si="4"/>
        <v/>
      </c>
      <c r="AA106" s="277"/>
      <c r="AB106" s="363"/>
      <c r="AI106" s="145"/>
      <c r="AK106" s="2"/>
      <c r="AN106" s="1"/>
      <c r="AO106" s="1"/>
      <c r="AP106" s="1"/>
      <c r="AQ106" s="1"/>
      <c r="AR106" s="1"/>
      <c r="AS106" s="1"/>
      <c r="AT106" s="1"/>
      <c r="AU106" s="1"/>
      <c r="AV106" s="1"/>
      <c r="AW106" s="1"/>
      <c r="AX106" s="1"/>
      <c r="AY106" s="1"/>
      <c r="AZ106" s="1"/>
      <c r="BA106" s="1"/>
      <c r="BB106" s="1"/>
      <c r="BC106" s="1"/>
    </row>
    <row r="107" spans="1:55" ht="18" customHeight="1">
      <c r="A107" s="224"/>
      <c r="B107" s="153">
        <f>INPUT!B102</f>
      </c>
      <c r="C107" s="149"/>
      <c r="D107" s="149"/>
      <c r="E107" s="149"/>
      <c r="F107" s="360" t="str">
        <f>TERM1!Y106</f>
        <v/>
      </c>
      <c r="G107" s="298"/>
      <c r="H107" s="298"/>
      <c r="I107" s="299"/>
      <c r="J107" s="360" t="str">
        <f>TERM2!Y106</f>
        <v/>
      </c>
      <c r="K107" s="298"/>
      <c r="L107" s="298"/>
      <c r="M107" s="299"/>
      <c r="N107" s="360" t="str">
        <f>TERM3!Y106</f>
        <v/>
      </c>
      <c r="O107" s="298"/>
      <c r="P107" s="298"/>
      <c r="Q107" s="299"/>
      <c r="R107" s="361" t="str">
        <f t="shared" si="5"/>
        <v/>
      </c>
      <c r="S107" s="277"/>
      <c r="T107" s="277"/>
      <c r="U107" s="278"/>
      <c r="V107" s="360" t="str">
        <f t="shared" si="3"/>
        <v/>
      </c>
      <c r="W107" s="277"/>
      <c r="X107" s="277"/>
      <c r="Y107" s="278"/>
      <c r="Z107" s="362" t="str">
        <f t="shared" si="4"/>
        <v/>
      </c>
      <c r="AA107" s="277"/>
      <c r="AB107" s="363"/>
      <c r="AI107" s="145"/>
      <c r="AK107" s="2"/>
      <c r="AN107" s="1"/>
      <c r="AO107" s="1"/>
      <c r="AP107" s="1"/>
      <c r="AQ107" s="1"/>
      <c r="AR107" s="1"/>
      <c r="AS107" s="1"/>
      <c r="AT107" s="1"/>
      <c r="AU107" s="1"/>
      <c r="AV107" s="1"/>
      <c r="AW107" s="1"/>
      <c r="AX107" s="1"/>
      <c r="AY107" s="1"/>
      <c r="AZ107" s="1"/>
      <c r="BA107" s="1"/>
      <c r="BB107" s="1"/>
      <c r="BC107" s="1"/>
    </row>
    <row r="108" spans="1:55" ht="18" customHeight="1">
      <c r="A108" s="224"/>
      <c r="B108" s="153">
        <f>INPUT!B103</f>
      </c>
      <c r="C108" s="149"/>
      <c r="D108" s="149"/>
      <c r="E108" s="149"/>
      <c r="F108" s="360" t="str">
        <f>TERM1!Y107</f>
        <v/>
      </c>
      <c r="G108" s="298"/>
      <c r="H108" s="298"/>
      <c r="I108" s="299"/>
      <c r="J108" s="360" t="str">
        <f>TERM2!Y107</f>
        <v/>
      </c>
      <c r="K108" s="298"/>
      <c r="L108" s="298"/>
      <c r="M108" s="299"/>
      <c r="N108" s="360" t="str">
        <f>TERM3!Y107</f>
        <v/>
      </c>
      <c r="O108" s="298"/>
      <c r="P108" s="298"/>
      <c r="Q108" s="299"/>
      <c r="R108" s="361" t="str">
        <f t="shared" si="5"/>
        <v/>
      </c>
      <c r="S108" s="277"/>
      <c r="T108" s="277"/>
      <c r="U108" s="278"/>
      <c r="V108" s="360" t="str">
        <f t="shared" si="3"/>
        <v/>
      </c>
      <c r="W108" s="277"/>
      <c r="X108" s="277"/>
      <c r="Y108" s="278"/>
      <c r="Z108" s="362" t="str">
        <f t="shared" si="4"/>
        <v/>
      </c>
      <c r="AA108" s="277"/>
      <c r="AB108" s="363"/>
      <c r="AI108" s="145"/>
      <c r="AK108" s="2"/>
      <c r="AN108" s="1"/>
      <c r="AO108" s="1"/>
      <c r="AP108" s="1"/>
      <c r="AQ108" s="1"/>
      <c r="AR108" s="1"/>
      <c r="AS108" s="1"/>
      <c r="AT108" s="1"/>
      <c r="AU108" s="1"/>
      <c r="AV108" s="1"/>
      <c r="AW108" s="1"/>
      <c r="AX108" s="1"/>
      <c r="AY108" s="1"/>
      <c r="AZ108" s="1"/>
      <c r="BA108" s="1"/>
      <c r="BB108" s="1"/>
      <c r="BC108" s="1"/>
    </row>
    <row r="109" spans="1:55" ht="18" customHeight="1">
      <c r="A109" s="224"/>
      <c r="B109" s="153">
        <f>INPUT!B104</f>
      </c>
      <c r="C109" s="149"/>
      <c r="D109" s="149"/>
      <c r="E109" s="149"/>
      <c r="F109" s="360" t="str">
        <f>TERM1!Y108</f>
        <v/>
      </c>
      <c r="G109" s="298"/>
      <c r="H109" s="298"/>
      <c r="I109" s="299"/>
      <c r="J109" s="360" t="str">
        <f>TERM2!Y108</f>
        <v/>
      </c>
      <c r="K109" s="298"/>
      <c r="L109" s="298"/>
      <c r="M109" s="299"/>
      <c r="N109" s="360" t="str">
        <f>TERM3!Y108</f>
        <v/>
      </c>
      <c r="O109" s="298"/>
      <c r="P109" s="298"/>
      <c r="Q109" s="299"/>
      <c r="R109" s="361" t="str">
        <f t="shared" si="5"/>
        <v/>
      </c>
      <c r="S109" s="277"/>
      <c r="T109" s="277"/>
      <c r="U109" s="278"/>
      <c r="V109" s="360" t="str">
        <f t="shared" si="3"/>
        <v/>
      </c>
      <c r="W109" s="277"/>
      <c r="X109" s="277"/>
      <c r="Y109" s="278"/>
      <c r="Z109" s="362" t="str">
        <f t="shared" si="4"/>
        <v/>
      </c>
      <c r="AA109" s="277"/>
      <c r="AB109" s="363"/>
      <c r="AI109" s="145"/>
      <c r="AK109" s="2"/>
      <c r="AN109" s="1"/>
      <c r="AO109" s="1"/>
      <c r="AP109" s="1"/>
      <c r="AQ109" s="1"/>
      <c r="AR109" s="1"/>
      <c r="AS109" s="1"/>
      <c r="AT109" s="1"/>
      <c r="AU109" s="1"/>
      <c r="AV109" s="1"/>
      <c r="AW109" s="1"/>
      <c r="AX109" s="1"/>
      <c r="AY109" s="1"/>
      <c r="AZ109" s="1"/>
      <c r="BA109" s="1"/>
      <c r="BB109" s="1"/>
      <c r="BC109" s="1"/>
    </row>
    <row r="110" spans="1:55" ht="18" customHeight="1">
      <c r="A110" s="224"/>
      <c r="B110" s="153">
        <f>INPUT!B105</f>
      </c>
      <c r="C110" s="149"/>
      <c r="D110" s="149"/>
      <c r="E110" s="149"/>
      <c r="F110" s="360" t="str">
        <f>TERM1!Y109</f>
        <v/>
      </c>
      <c r="G110" s="298"/>
      <c r="H110" s="298"/>
      <c r="I110" s="299"/>
      <c r="J110" s="360" t="str">
        <f>TERM2!Y109</f>
        <v/>
      </c>
      <c r="K110" s="298"/>
      <c r="L110" s="298"/>
      <c r="M110" s="299"/>
      <c r="N110" s="360" t="str">
        <f>TERM3!Y109</f>
        <v/>
      </c>
      <c r="O110" s="298"/>
      <c r="P110" s="298"/>
      <c r="Q110" s="299"/>
      <c r="R110" s="361" t="str">
        <f t="shared" si="5"/>
        <v/>
      </c>
      <c r="S110" s="277"/>
      <c r="T110" s="277"/>
      <c r="U110" s="278"/>
      <c r="V110" s="360" t="str">
        <f t="shared" si="3"/>
        <v/>
      </c>
      <c r="W110" s="277"/>
      <c r="X110" s="277"/>
      <c r="Y110" s="278"/>
      <c r="Z110" s="362" t="str">
        <f t="shared" si="4"/>
        <v/>
      </c>
      <c r="AA110" s="277"/>
      <c r="AB110" s="363"/>
      <c r="AI110" s="145"/>
      <c r="AK110" s="2"/>
      <c r="AN110" s="1"/>
      <c r="AO110" s="1"/>
      <c r="AP110" s="1"/>
      <c r="AQ110" s="1"/>
      <c r="AR110" s="1"/>
      <c r="AS110" s="1"/>
      <c r="AT110" s="1"/>
      <c r="AU110" s="1"/>
      <c r="AV110" s="1"/>
      <c r="AW110" s="1"/>
      <c r="AX110" s="1"/>
      <c r="AY110" s="1"/>
      <c r="AZ110" s="1"/>
      <c r="BA110" s="1"/>
      <c r="BB110" s="1"/>
      <c r="BC110" s="1"/>
    </row>
    <row r="111" spans="1:55" ht="18" customHeight="1">
      <c r="A111" s="224"/>
      <c r="B111" s="153">
        <f>INPUT!B106</f>
      </c>
      <c r="C111" s="149"/>
      <c r="D111" s="149"/>
      <c r="E111" s="149"/>
      <c r="F111" s="360" t="str">
        <f>TERM1!Y110</f>
        <v/>
      </c>
      <c r="G111" s="298"/>
      <c r="H111" s="298"/>
      <c r="I111" s="299"/>
      <c r="J111" s="360" t="str">
        <f>TERM2!Y110</f>
        <v/>
      </c>
      <c r="K111" s="298"/>
      <c r="L111" s="298"/>
      <c r="M111" s="299"/>
      <c r="N111" s="360" t="str">
        <f>TERM3!Y110</f>
        <v/>
      </c>
      <c r="O111" s="298"/>
      <c r="P111" s="298"/>
      <c r="Q111" s="299"/>
      <c r="R111" s="361" t="str">
        <f t="shared" si="5"/>
        <v/>
      </c>
      <c r="S111" s="277"/>
      <c r="T111" s="277"/>
      <c r="U111" s="278"/>
      <c r="V111" s="360" t="str">
        <f t="shared" si="3"/>
        <v/>
      </c>
      <c r="W111" s="277"/>
      <c r="X111" s="277"/>
      <c r="Y111" s="278"/>
      <c r="Z111" s="362" t="str">
        <f t="shared" si="4"/>
        <v/>
      </c>
      <c r="AA111" s="277"/>
      <c r="AB111" s="363"/>
      <c r="AI111" s="145"/>
      <c r="AK111" s="2"/>
      <c r="AN111" s="1"/>
      <c r="AO111" s="1"/>
      <c r="AP111" s="1"/>
      <c r="AQ111" s="1"/>
      <c r="AR111" s="1"/>
      <c r="AS111" s="1"/>
      <c r="AT111" s="1"/>
      <c r="AU111" s="1"/>
      <c r="AV111" s="1"/>
      <c r="AW111" s="1"/>
      <c r="AX111" s="1"/>
      <c r="AY111" s="1"/>
      <c r="AZ111" s="1"/>
      <c r="BA111" s="1"/>
      <c r="BB111" s="1"/>
      <c r="BC111" s="1"/>
    </row>
    <row r="112" spans="1:55" ht="18" customHeight="1">
      <c r="A112" s="224"/>
      <c r="B112" s="153">
        <f>INPUT!B107</f>
      </c>
      <c r="C112" s="149"/>
      <c r="D112" s="149"/>
      <c r="E112" s="149"/>
      <c r="F112" s="360" t="str">
        <f>TERM1!Y111</f>
        <v/>
      </c>
      <c r="G112" s="298"/>
      <c r="H112" s="298"/>
      <c r="I112" s="299"/>
      <c r="J112" s="360" t="str">
        <f>TERM2!Y111</f>
        <v/>
      </c>
      <c r="K112" s="298"/>
      <c r="L112" s="298"/>
      <c r="M112" s="299"/>
      <c r="N112" s="360" t="str">
        <f>TERM3!Y111</f>
        <v/>
      </c>
      <c r="O112" s="298"/>
      <c r="P112" s="298"/>
      <c r="Q112" s="299"/>
      <c r="R112" s="361" t="str">
        <f t="shared" si="5"/>
        <v/>
      </c>
      <c r="S112" s="277"/>
      <c r="T112" s="277"/>
      <c r="U112" s="278"/>
      <c r="V112" s="360" t="str">
        <f t="shared" si="3"/>
        <v/>
      </c>
      <c r="W112" s="277"/>
      <c r="X112" s="277"/>
      <c r="Y112" s="278"/>
      <c r="Z112" s="362" t="str">
        <f t="shared" si="4"/>
        <v/>
      </c>
      <c r="AA112" s="277"/>
      <c r="AB112" s="363"/>
      <c r="AI112" s="145"/>
      <c r="AK112" s="2"/>
      <c r="AN112" s="1"/>
      <c r="AO112" s="1"/>
      <c r="AP112" s="1"/>
      <c r="AQ112" s="1"/>
      <c r="AR112" s="1"/>
      <c r="AS112" s="1"/>
      <c r="AT112" s="1"/>
      <c r="AU112" s="1"/>
      <c r="AV112" s="1"/>
      <c r="AW112" s="1"/>
      <c r="AX112" s="1"/>
      <c r="AY112" s="1"/>
      <c r="AZ112" s="1"/>
      <c r="BA112" s="1"/>
      <c r="BB112" s="1"/>
      <c r="BC112" s="1"/>
    </row>
    <row r="113" spans="1:55" ht="18" customHeight="1">
      <c r="A113" s="224"/>
      <c r="B113" s="153">
        <f>INPUT!B108</f>
      </c>
      <c r="C113" s="149"/>
      <c r="D113" s="149"/>
      <c r="E113" s="149"/>
      <c r="F113" s="360" t="str">
        <f>TERM1!Y112</f>
        <v/>
      </c>
      <c r="G113" s="298"/>
      <c r="H113" s="298"/>
      <c r="I113" s="299"/>
      <c r="J113" s="360" t="str">
        <f>TERM2!Y112</f>
        <v/>
      </c>
      <c r="K113" s="298"/>
      <c r="L113" s="298"/>
      <c r="M113" s="299"/>
      <c r="N113" s="360" t="str">
        <f>TERM3!Y112</f>
        <v/>
      </c>
      <c r="O113" s="298"/>
      <c r="P113" s="298"/>
      <c r="Q113" s="299"/>
      <c r="R113" s="361" t="str">
        <f t="shared" si="5"/>
        <v/>
      </c>
      <c r="S113" s="277"/>
      <c r="T113" s="277"/>
      <c r="U113" s="278"/>
      <c r="V113" s="360" t="str">
        <f t="shared" si="3"/>
        <v/>
      </c>
      <c r="W113" s="277"/>
      <c r="X113" s="277"/>
      <c r="Y113" s="278"/>
      <c r="Z113" s="362" t="str">
        <f t="shared" si="4"/>
        <v/>
      </c>
      <c r="AA113" s="277"/>
      <c r="AB113" s="363"/>
      <c r="AI113" s="145"/>
      <c r="AK113" s="2"/>
      <c r="AN113" s="1"/>
      <c r="AO113" s="1"/>
      <c r="AP113" s="1"/>
      <c r="AQ113" s="1"/>
      <c r="AR113" s="1"/>
      <c r="AS113" s="1"/>
      <c r="AT113" s="1"/>
      <c r="AU113" s="1"/>
      <c r="AV113" s="1"/>
      <c r="AW113" s="1"/>
      <c r="AX113" s="1"/>
      <c r="AY113" s="1"/>
      <c r="AZ113" s="1"/>
      <c r="BA113" s="1"/>
      <c r="BB113" s="1"/>
      <c r="BC113" s="1"/>
    </row>
    <row r="114" spans="1:55" ht="18" customHeight="1">
      <c r="A114" s="224"/>
      <c r="B114" s="153">
        <f>INPUT!B109</f>
      </c>
      <c r="C114" s="149"/>
      <c r="D114" s="149"/>
      <c r="E114" s="149"/>
      <c r="F114" s="360" t="str">
        <f>TERM1!Y113</f>
        <v/>
      </c>
      <c r="G114" s="298"/>
      <c r="H114" s="298"/>
      <c r="I114" s="299"/>
      <c r="J114" s="360" t="str">
        <f>TERM2!Y113</f>
        <v/>
      </c>
      <c r="K114" s="298"/>
      <c r="L114" s="298"/>
      <c r="M114" s="299"/>
      <c r="N114" s="360" t="str">
        <f>TERM3!Y113</f>
        <v/>
      </c>
      <c r="O114" s="298"/>
      <c r="P114" s="298"/>
      <c r="Q114" s="299"/>
      <c r="R114" s="361" t="str">
        <f t="shared" si="5"/>
        <v/>
      </c>
      <c r="S114" s="277"/>
      <c r="T114" s="277"/>
      <c r="U114" s="278"/>
      <c r="V114" s="360" t="str">
        <f t="shared" si="3"/>
        <v/>
      </c>
      <c r="W114" s="277"/>
      <c r="X114" s="277"/>
      <c r="Y114" s="278"/>
      <c r="Z114" s="362" t="str">
        <f t="shared" si="4"/>
        <v/>
      </c>
      <c r="AA114" s="277"/>
      <c r="AB114" s="363"/>
      <c r="AI114" s="145"/>
      <c r="AK114" s="2"/>
      <c r="AN114" s="1"/>
      <c r="AO114" s="1"/>
      <c r="AP114" s="1"/>
      <c r="AQ114" s="1"/>
      <c r="AR114" s="1"/>
      <c r="AS114" s="1"/>
      <c r="AT114" s="1"/>
      <c r="AU114" s="1"/>
      <c r="AV114" s="1"/>
      <c r="AW114" s="1"/>
      <c r="AX114" s="1"/>
      <c r="AY114" s="1"/>
      <c r="AZ114" s="1"/>
      <c r="BA114" s="1"/>
      <c r="BB114" s="1"/>
      <c r="BC114" s="1"/>
    </row>
    <row r="115" spans="1:55" ht="19.5" customHeight="1">
      <c r="A115" s="224"/>
      <c r="B115" s="153">
        <f>INPUT!B110</f>
      </c>
      <c r="C115" s="149"/>
      <c r="D115" s="149"/>
      <c r="E115" s="149"/>
      <c r="F115" s="360" t="str">
        <f>TERM1!Y114</f>
        <v/>
      </c>
      <c r="G115" s="298"/>
      <c r="H115" s="298"/>
      <c r="I115" s="299"/>
      <c r="J115" s="360" t="str">
        <f>TERM2!Y114</f>
        <v/>
      </c>
      <c r="K115" s="298"/>
      <c r="L115" s="298"/>
      <c r="M115" s="299"/>
      <c r="N115" s="360" t="str">
        <f>TERM3!Y114</f>
        <v/>
      </c>
      <c r="O115" s="298"/>
      <c r="P115" s="298"/>
      <c r="Q115" s="299"/>
      <c r="R115" s="361" t="str">
        <f t="shared" si="5"/>
        <v/>
      </c>
      <c r="S115" s="277"/>
      <c r="T115" s="277"/>
      <c r="U115" s="278"/>
      <c r="V115" s="360" t="str">
        <f t="shared" si="3"/>
        <v/>
      </c>
      <c r="W115" s="277"/>
      <c r="X115" s="277"/>
      <c r="Y115" s="278"/>
      <c r="Z115" s="362" t="str">
        <f t="shared" si="4"/>
        <v/>
      </c>
      <c r="AA115" s="277"/>
      <c r="AB115" s="363"/>
      <c r="AI115" s="145"/>
      <c r="AN115" s="1"/>
      <c r="AO115" s="1"/>
      <c r="AP115" s="1"/>
      <c r="AQ115" s="1"/>
      <c r="AR115" s="1"/>
      <c r="AS115" s="1"/>
      <c r="AT115" s="1"/>
      <c r="AU115" s="1"/>
      <c r="AV115" s="1"/>
      <c r="AW115" s="1"/>
      <c r="AX115" s="1"/>
      <c r="AY115" s="1"/>
      <c r="AZ115" s="1"/>
      <c r="BA115" s="1"/>
      <c r="BB115" s="1"/>
      <c r="BC115" s="1"/>
    </row>
    <row r="116" spans="1:55" ht="18" customHeight="1" thickBot="1">
      <c r="A116" s="228"/>
      <c r="B116" s="222">
        <f>INPUT!B111</f>
      </c>
      <c r="C116" s="154"/>
      <c r="D116" s="154"/>
      <c r="E116" s="154"/>
      <c r="F116" s="364" t="str">
        <f>TERM1!Y115</f>
        <v/>
      </c>
      <c r="G116" s="365"/>
      <c r="H116" s="365"/>
      <c r="I116" s="366"/>
      <c r="J116" s="364" t="str">
        <f>TERM2!Y115</f>
        <v/>
      </c>
      <c r="K116" s="365"/>
      <c r="L116" s="365"/>
      <c r="M116" s="366"/>
      <c r="N116" s="364" t="str">
        <f>TERM3!Y116</f>
        <v/>
      </c>
      <c r="O116" s="365"/>
      <c r="P116" s="365"/>
      <c r="Q116" s="366"/>
      <c r="R116" s="367" t="str">
        <f t="shared" si="5"/>
        <v/>
      </c>
      <c r="S116" s="368"/>
      <c r="T116" s="368"/>
      <c r="U116" s="369"/>
      <c r="V116" s="364" t="str">
        <f t="shared" si="3"/>
        <v/>
      </c>
      <c r="W116" s="368"/>
      <c r="X116" s="368"/>
      <c r="Y116" s="369"/>
      <c r="Z116" s="370" t="str">
        <f t="shared" si="4"/>
        <v/>
      </c>
      <c r="AA116" s="371"/>
      <c r="AB116" s="372"/>
      <c r="AI116" s="145"/>
      <c r="AN116" s="1"/>
      <c r="AO116" s="1"/>
      <c r="AP116" s="1"/>
      <c r="AQ116" s="1"/>
      <c r="AR116" s="1"/>
      <c r="AS116" s="1"/>
      <c r="AT116" s="1"/>
      <c r="AU116" s="1"/>
      <c r="AV116" s="1"/>
      <c r="AW116" s="1"/>
      <c r="AX116" s="1"/>
      <c r="AY116" s="1"/>
      <c r="AZ116" s="1"/>
      <c r="BA116" s="1"/>
      <c r="BB116" s="1"/>
      <c r="BC116" s="1"/>
    </row>
    <row r="117" spans="1:55" ht="19.5" hidden="1" customHeight="1">
      <c r="A117" s="236" t="s">
        <v>159</v>
      </c>
      <c r="B117" s="289" t="s">
        <v>160</v>
      </c>
      <c r="C117" s="289"/>
      <c r="D117" s="289"/>
      <c r="E117" s="232"/>
      <c r="F117" s="8"/>
      <c r="G117" s="212"/>
      <c r="H117" s="212"/>
      <c r="I117" s="212"/>
      <c r="J117" s="8"/>
      <c r="K117" s="212"/>
      <c r="L117" s="212"/>
      <c r="M117" s="212"/>
      <c r="N117" s="8"/>
      <c r="O117" s="212"/>
      <c r="P117" s="212"/>
      <c r="Q117" s="212"/>
      <c r="R117" s="234"/>
      <c r="S117" s="212"/>
      <c r="T117" s="212"/>
      <c r="U117" s="212"/>
      <c r="V117" s="8"/>
      <c r="W117" s="212"/>
      <c r="X117" s="212"/>
      <c r="Y117" s="212"/>
      <c r="Z117" s="235"/>
      <c r="AA117" s="212"/>
      <c r="AB117" s="212"/>
      <c r="AI117" s="145"/>
      <c r="AN117" s="1"/>
      <c r="AO117" s="1"/>
      <c r="AP117" s="1"/>
      <c r="AQ117" s="1"/>
      <c r="AR117" s="1"/>
      <c r="AS117" s="1"/>
      <c r="AT117" s="1"/>
      <c r="AU117" s="1"/>
      <c r="AV117" s="1"/>
      <c r="AW117" s="1"/>
      <c r="AX117" s="1"/>
      <c r="AY117" s="1"/>
      <c r="AZ117" s="1"/>
      <c r="BA117" s="1"/>
      <c r="BB117" s="1"/>
      <c r="BC117" s="1"/>
    </row>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659">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A1:AB2"/>
    <mergeCell ref="B5:F5"/>
    <mergeCell ref="G5:J5"/>
    <mergeCell ref="L5:N5"/>
    <mergeCell ref="O5:R5"/>
    <mergeCell ref="S5:V5"/>
    <mergeCell ref="W5:AB5"/>
    <mergeCell ref="B6:F6"/>
    <mergeCell ref="G6:R6"/>
    <mergeCell ref="S6:V6"/>
    <mergeCell ref="W6:AB6"/>
    <mergeCell ref="Z18:AB18"/>
    <mergeCell ref="F12:I12"/>
    <mergeCell ref="J12:M12"/>
    <mergeCell ref="N12:Q12"/>
    <mergeCell ref="R12:U12"/>
    <mergeCell ref="V12:Y12"/>
    <mergeCell ref="Z12:AB12"/>
    <mergeCell ref="F14:I14"/>
    <mergeCell ref="J14:M14"/>
    <mergeCell ref="N14:Q14"/>
    <mergeCell ref="R14:U14"/>
    <mergeCell ref="V14:Y14"/>
    <mergeCell ref="Z14:AB14"/>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7:I67"/>
    <mergeCell ref="J67:M67"/>
    <mergeCell ref="N67:Q67"/>
    <mergeCell ref="R67:U67"/>
    <mergeCell ref="V67:Y67"/>
    <mergeCell ref="Z67:AB67"/>
    <mergeCell ref="F68:I68"/>
    <mergeCell ref="J68:M68"/>
    <mergeCell ref="N68:Q68"/>
    <mergeCell ref="R68:U68"/>
    <mergeCell ref="V68:Y68"/>
    <mergeCell ref="Z68:AB68"/>
    <mergeCell ref="F63:I63"/>
    <mergeCell ref="J63:M63"/>
    <mergeCell ref="N63:Q63"/>
    <mergeCell ref="R63:U63"/>
    <mergeCell ref="V63:Y63"/>
    <mergeCell ref="Z63:AB63"/>
    <mergeCell ref="F65:I65"/>
    <mergeCell ref="J65:M65"/>
    <mergeCell ref="N65:Q65"/>
    <mergeCell ref="R65:U65"/>
    <mergeCell ref="V65:Y65"/>
    <mergeCell ref="Z65:AB65"/>
    <mergeCell ref="F71:I71"/>
    <mergeCell ref="J71:M71"/>
    <mergeCell ref="N71:Q71"/>
    <mergeCell ref="R71:U71"/>
    <mergeCell ref="V71:Y71"/>
    <mergeCell ref="Z71:AB71"/>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75:I75"/>
    <mergeCell ref="J75:M75"/>
    <mergeCell ref="N75:Q75"/>
    <mergeCell ref="R75:U75"/>
    <mergeCell ref="V75:Y75"/>
    <mergeCell ref="Z75:AB75"/>
    <mergeCell ref="F76:I76"/>
    <mergeCell ref="J76:M76"/>
    <mergeCell ref="N76:Q76"/>
    <mergeCell ref="R76:U76"/>
    <mergeCell ref="V76:Y76"/>
    <mergeCell ref="Z76:AB76"/>
    <mergeCell ref="F73:I73"/>
    <mergeCell ref="J73:M73"/>
    <mergeCell ref="N73:Q73"/>
    <mergeCell ref="R73:U73"/>
    <mergeCell ref="V73:Y73"/>
    <mergeCell ref="Z73:AB73"/>
    <mergeCell ref="F74:I74"/>
    <mergeCell ref="J74:M74"/>
    <mergeCell ref="N74:Q74"/>
    <mergeCell ref="R74:U74"/>
    <mergeCell ref="V74:Y74"/>
    <mergeCell ref="Z74:AB74"/>
    <mergeCell ref="F79:I79"/>
    <mergeCell ref="J79:M79"/>
    <mergeCell ref="N79:Q79"/>
    <mergeCell ref="R79:U79"/>
    <mergeCell ref="V79:Y79"/>
    <mergeCell ref="Z79:AB79"/>
    <mergeCell ref="F80:I80"/>
    <mergeCell ref="J80:M80"/>
    <mergeCell ref="N80:Q80"/>
    <mergeCell ref="R80:U80"/>
    <mergeCell ref="V80:Y80"/>
    <mergeCell ref="Z80:AB80"/>
    <mergeCell ref="F77:I77"/>
    <mergeCell ref="J77:M77"/>
    <mergeCell ref="N77:Q77"/>
    <mergeCell ref="R77:U77"/>
    <mergeCell ref="V77:Y77"/>
    <mergeCell ref="Z77:AB77"/>
    <mergeCell ref="F78:I78"/>
    <mergeCell ref="J78:M78"/>
    <mergeCell ref="N78:Q78"/>
    <mergeCell ref="R78:U78"/>
    <mergeCell ref="V78:Y78"/>
    <mergeCell ref="Z78:AB78"/>
    <mergeCell ref="F83:I83"/>
    <mergeCell ref="J83:M83"/>
    <mergeCell ref="N83:Q83"/>
    <mergeCell ref="R83:U83"/>
    <mergeCell ref="V83:Y83"/>
    <mergeCell ref="Z83:AB83"/>
    <mergeCell ref="F84:I84"/>
    <mergeCell ref="J84:M84"/>
    <mergeCell ref="N84:Q84"/>
    <mergeCell ref="R84:U84"/>
    <mergeCell ref="V84:Y84"/>
    <mergeCell ref="Z84:AB84"/>
    <mergeCell ref="F81:I81"/>
    <mergeCell ref="J81:M81"/>
    <mergeCell ref="N81:Q81"/>
    <mergeCell ref="R81:U81"/>
    <mergeCell ref="V81:Y81"/>
    <mergeCell ref="Z81:AB81"/>
    <mergeCell ref="F82:I82"/>
    <mergeCell ref="J82:M82"/>
    <mergeCell ref="N82:Q82"/>
    <mergeCell ref="R82:U82"/>
    <mergeCell ref="V82:Y82"/>
    <mergeCell ref="Z82:AB82"/>
    <mergeCell ref="F87:I87"/>
    <mergeCell ref="J87:M87"/>
    <mergeCell ref="N87:Q87"/>
    <mergeCell ref="R87:U87"/>
    <mergeCell ref="V87:Y87"/>
    <mergeCell ref="Z87:AB87"/>
    <mergeCell ref="F88:I88"/>
    <mergeCell ref="J88:M88"/>
    <mergeCell ref="N88:Q88"/>
    <mergeCell ref="R88:U88"/>
    <mergeCell ref="V88:Y88"/>
    <mergeCell ref="Z88:AB88"/>
    <mergeCell ref="F85:I85"/>
    <mergeCell ref="J85:M85"/>
    <mergeCell ref="N85:Q85"/>
    <mergeCell ref="R85:U85"/>
    <mergeCell ref="V85:Y85"/>
    <mergeCell ref="Z85:AB85"/>
    <mergeCell ref="F86:I86"/>
    <mergeCell ref="J86:M86"/>
    <mergeCell ref="N86:Q86"/>
    <mergeCell ref="R86:U86"/>
    <mergeCell ref="V86:Y86"/>
    <mergeCell ref="Z86:AB86"/>
    <mergeCell ref="F91:I91"/>
    <mergeCell ref="J91:M91"/>
    <mergeCell ref="N91:Q91"/>
    <mergeCell ref="R91:U91"/>
    <mergeCell ref="V91:Y91"/>
    <mergeCell ref="Z91:AB91"/>
    <mergeCell ref="F92:I92"/>
    <mergeCell ref="J92:M92"/>
    <mergeCell ref="N92:Q92"/>
    <mergeCell ref="R92:U92"/>
    <mergeCell ref="V92:Y92"/>
    <mergeCell ref="Z92:AB92"/>
    <mergeCell ref="F89:I89"/>
    <mergeCell ref="J89:M89"/>
    <mergeCell ref="N89:Q89"/>
    <mergeCell ref="R89:U89"/>
    <mergeCell ref="V89:Y89"/>
    <mergeCell ref="Z89:AB89"/>
    <mergeCell ref="F90:I90"/>
    <mergeCell ref="J90:M90"/>
    <mergeCell ref="N90:Q90"/>
    <mergeCell ref="R90:U90"/>
    <mergeCell ref="V90:Y90"/>
    <mergeCell ref="Z90:AB90"/>
    <mergeCell ref="F95:I95"/>
    <mergeCell ref="J95:M95"/>
    <mergeCell ref="N95:Q95"/>
    <mergeCell ref="R95:U95"/>
    <mergeCell ref="V95:Y95"/>
    <mergeCell ref="Z95:AB95"/>
    <mergeCell ref="F96:I96"/>
    <mergeCell ref="J96:M96"/>
    <mergeCell ref="N96:Q96"/>
    <mergeCell ref="R96:U96"/>
    <mergeCell ref="V96:Y96"/>
    <mergeCell ref="Z96:AB96"/>
    <mergeCell ref="F93:I93"/>
    <mergeCell ref="J93:M93"/>
    <mergeCell ref="N93:Q93"/>
    <mergeCell ref="R93:U93"/>
    <mergeCell ref="V93:Y93"/>
    <mergeCell ref="Z93:AB93"/>
    <mergeCell ref="F94:I94"/>
    <mergeCell ref="J94:M94"/>
    <mergeCell ref="N94:Q94"/>
    <mergeCell ref="R94:U94"/>
    <mergeCell ref="V94:Y94"/>
    <mergeCell ref="Z94:AB94"/>
    <mergeCell ref="F99:I99"/>
    <mergeCell ref="J99:M99"/>
    <mergeCell ref="N99:Q99"/>
    <mergeCell ref="R99:U99"/>
    <mergeCell ref="V99:Y99"/>
    <mergeCell ref="Z99:AB99"/>
    <mergeCell ref="F100:I100"/>
    <mergeCell ref="J100:M100"/>
    <mergeCell ref="N100:Q100"/>
    <mergeCell ref="R100:U100"/>
    <mergeCell ref="V100:Y100"/>
    <mergeCell ref="Z100:AB100"/>
    <mergeCell ref="F97:I97"/>
    <mergeCell ref="J97:M97"/>
    <mergeCell ref="N97:Q97"/>
    <mergeCell ref="R97:U97"/>
    <mergeCell ref="V97:Y97"/>
    <mergeCell ref="Z97:AB97"/>
    <mergeCell ref="F98:I98"/>
    <mergeCell ref="J98:M98"/>
    <mergeCell ref="N98:Q98"/>
    <mergeCell ref="R98:U98"/>
    <mergeCell ref="V98:Y98"/>
    <mergeCell ref="Z98:AB98"/>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B64:D64"/>
    <mergeCell ref="Z64:AB64"/>
    <mergeCell ref="AD64:AF64"/>
    <mergeCell ref="AH64:AJ64"/>
    <mergeCell ref="AL64:AN64"/>
    <mergeCell ref="AP64:AR64"/>
    <mergeCell ref="AT64:AV64"/>
    <mergeCell ref="AX64:AZ64"/>
    <mergeCell ref="BB64:BD64"/>
    <mergeCell ref="BF64:BH64"/>
    <mergeCell ref="B117:D117"/>
  </mergeCells>
  <conditionalFormatting sqref="R14:U63 R67:U117">
    <cfRule type="cellIs" dxfId="3" priority="4" operator="lessThan">
      <formula>75</formula>
    </cfRule>
  </conditionalFormatting>
  <conditionalFormatting sqref="V14:Y63 V65:Y117">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7">
    <cfRule type="containsText" dxfId="0" priority="1" operator="containsText" text="FAILED">
      <formula>NOT(ISERROR(SEARCH("FAILED",Z14)))</formula>
    </cfRule>
  </conditionalFormatting>
  <printOptions horizontalCentered="1"/>
  <pageMargins left="0.7" right="0.7" top="0.75" bottom="0.75" header="0.3" footer="0.3"/>
  <pageSetup/>
  <rowBreaks count="1" manualBreakCount="1">
    <brk id="64" max="27" man="1"/>
  </rowBreaks>
  <drawing r:id="rId1"/>
</worksheet>
</file>

<file path=xl/worksheets/sheet6.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200-000000000000}">
  <sheetPr>
    <tabColor rgb="FFFF9933"/>
  </sheetPr>
  <dimension ref="A1"/>
  <sheetViews>
    <sheetView workbookViewId="0"/>
  </sheetViews>
  <sheetFormatPr defaultRowHeight="15"/>
  <sheetData/>
  <pageMargins left="0.7" right="0.7" top="0.75" bottom="0.75" header="0.3" footer="0.3"/>
  <pageSetup/>
</worksheet>
</file>

<file path=xl/worksheets/sheet7.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600-000000000000}">
  <dimension ref="A1:B43"/>
  <sheetViews>
    <sheetView workbookViewId="0">
      <selection activeCell="D5" sqref="D5"/>
    </sheetView>
  </sheetViews>
  <sheetFormatPr defaultRowHeight="15"/>
  <cols>
    <col min="1" max="1" width="23.85546875" customWidth="1"/>
    <col min="2" max="2" width="27.140625" customWidth="1"/>
  </cols>
  <sheetData>
    <row r="1" spans="1:2">
      <c r="A1" s="155" t="s">
        <v>16</v>
      </c>
      <c r="B1" s="155" t="s">
        <v>43</v>
      </c>
    </row>
    <row r="2" spans="1:2">
      <c r="A2" s="155" t="s">
        <v>44</v>
      </c>
      <c r="B2" s="155">
        <v>100</v>
      </c>
    </row>
    <row r="3" spans="1:2">
      <c r="A3" s="155" t="s">
        <v>45</v>
      </c>
      <c r="B3" s="155">
        <v>99</v>
      </c>
    </row>
    <row r="4" spans="1:2">
      <c r="A4" s="155" t="s">
        <v>46</v>
      </c>
      <c r="B4" s="155">
        <v>98</v>
      </c>
    </row>
    <row r="5" spans="1:2">
      <c r="A5" s="155" t="s">
        <v>47</v>
      </c>
      <c r="B5" s="155">
        <v>97</v>
      </c>
    </row>
    <row r="6" spans="1:2">
      <c r="A6" s="155" t="s">
        <v>48</v>
      </c>
      <c r="B6" s="155">
        <v>96</v>
      </c>
    </row>
    <row r="7" spans="1:2">
      <c r="A7" s="155" t="s">
        <v>49</v>
      </c>
      <c r="B7" s="155">
        <v>95</v>
      </c>
    </row>
    <row r="8" spans="1:2">
      <c r="A8" s="155" t="s">
        <v>50</v>
      </c>
      <c r="B8" s="155">
        <v>94</v>
      </c>
    </row>
    <row r="9" spans="1:2">
      <c r="A9" s="155" t="s">
        <v>51</v>
      </c>
      <c r="B9" s="155">
        <v>93</v>
      </c>
    </row>
    <row r="10" spans="1:2">
      <c r="A10" s="155" t="s">
        <v>52</v>
      </c>
      <c r="B10" s="155">
        <v>92</v>
      </c>
    </row>
    <row r="11" spans="1:2">
      <c r="A11" s="155" t="s">
        <v>53</v>
      </c>
      <c r="B11" s="155">
        <v>91</v>
      </c>
    </row>
    <row r="12" spans="1:2">
      <c r="A12" s="155" t="s">
        <v>54</v>
      </c>
      <c r="B12" s="155">
        <v>90</v>
      </c>
    </row>
    <row r="13" spans="1:2">
      <c r="A13" s="155" t="s">
        <v>55</v>
      </c>
      <c r="B13" s="155">
        <v>89</v>
      </c>
    </row>
    <row r="14" spans="1:2">
      <c r="A14" s="155" t="s">
        <v>56</v>
      </c>
      <c r="B14" s="155">
        <v>88</v>
      </c>
    </row>
    <row r="15" spans="1:2">
      <c r="A15" s="155" t="s">
        <v>57</v>
      </c>
      <c r="B15" s="155">
        <v>87</v>
      </c>
    </row>
    <row r="16" spans="1:2">
      <c r="A16" s="155" t="s">
        <v>58</v>
      </c>
      <c r="B16" s="155">
        <v>86</v>
      </c>
    </row>
    <row r="17" spans="1:2">
      <c r="A17" s="155" t="s">
        <v>59</v>
      </c>
      <c r="B17" s="155">
        <v>85</v>
      </c>
    </row>
    <row r="18" spans="1:2">
      <c r="A18" s="155" t="s">
        <v>60</v>
      </c>
      <c r="B18" s="155">
        <v>84</v>
      </c>
    </row>
    <row r="19" spans="1:2">
      <c r="A19" s="155" t="s">
        <v>61</v>
      </c>
      <c r="B19" s="155">
        <v>83</v>
      </c>
    </row>
    <row r="20" spans="1:2">
      <c r="A20" s="155" t="s">
        <v>62</v>
      </c>
      <c r="B20" s="155">
        <v>82</v>
      </c>
    </row>
    <row r="21" spans="1:2">
      <c r="A21" s="155" t="s">
        <v>63</v>
      </c>
      <c r="B21" s="155">
        <v>81</v>
      </c>
    </row>
    <row r="22" spans="1:2">
      <c r="A22" s="155" t="s">
        <v>64</v>
      </c>
      <c r="B22" s="155">
        <v>80</v>
      </c>
    </row>
    <row r="23" spans="1:2">
      <c r="A23" s="155" t="s">
        <v>65</v>
      </c>
      <c r="B23" s="155">
        <v>79</v>
      </c>
    </row>
    <row r="24" spans="1:2">
      <c r="A24" s="155" t="s">
        <v>66</v>
      </c>
      <c r="B24" s="155">
        <v>78</v>
      </c>
    </row>
    <row r="25" spans="1:2">
      <c r="A25" s="155" t="s">
        <v>67</v>
      </c>
      <c r="B25" s="155">
        <v>77</v>
      </c>
    </row>
    <row r="26" spans="1:2">
      <c r="A26" s="155" t="s">
        <v>68</v>
      </c>
      <c r="B26" s="155">
        <v>76</v>
      </c>
    </row>
    <row r="27" spans="1:2">
      <c r="A27" s="155" t="s">
        <v>69</v>
      </c>
      <c r="B27" s="155">
        <v>75</v>
      </c>
    </row>
    <row r="28" spans="1:2">
      <c r="A28" s="155" t="s">
        <v>70</v>
      </c>
      <c r="B28" s="155">
        <v>74</v>
      </c>
    </row>
    <row r="29" spans="1:2">
      <c r="A29" s="155" t="s">
        <v>71</v>
      </c>
      <c r="B29" s="155">
        <v>73</v>
      </c>
    </row>
    <row r="30" spans="1:2">
      <c r="A30" s="155" t="s">
        <v>72</v>
      </c>
      <c r="B30" s="155">
        <v>72</v>
      </c>
    </row>
    <row r="31" spans="1:2">
      <c r="A31" s="155" t="s">
        <v>73</v>
      </c>
      <c r="B31" s="155">
        <v>71</v>
      </c>
    </row>
    <row r="32" spans="1:2">
      <c r="A32" s="155" t="s">
        <v>74</v>
      </c>
      <c r="B32" s="155">
        <v>70</v>
      </c>
    </row>
    <row r="33" spans="1:2">
      <c r="A33" s="155" t="s">
        <v>75</v>
      </c>
      <c r="B33" s="155">
        <v>69</v>
      </c>
    </row>
    <row r="34" spans="1:2">
      <c r="A34" s="155" t="s">
        <v>76</v>
      </c>
      <c r="B34" s="155">
        <v>68</v>
      </c>
    </row>
    <row r="35" spans="1:2">
      <c r="A35" s="155" t="s">
        <v>77</v>
      </c>
      <c r="B35" s="155">
        <v>67</v>
      </c>
    </row>
    <row r="36" spans="1:2">
      <c r="A36" s="155" t="s">
        <v>78</v>
      </c>
      <c r="B36" s="155">
        <v>66</v>
      </c>
    </row>
    <row r="37" spans="1:2">
      <c r="A37" s="155" t="s">
        <v>79</v>
      </c>
      <c r="B37" s="155">
        <v>65</v>
      </c>
    </row>
    <row r="38" spans="1:2">
      <c r="A38" s="155" t="s">
        <v>80</v>
      </c>
      <c r="B38" s="155">
        <v>64</v>
      </c>
    </row>
    <row r="39" spans="1:2">
      <c r="A39" s="155" t="s">
        <v>81</v>
      </c>
      <c r="B39" s="155">
        <v>63</v>
      </c>
    </row>
    <row r="40" spans="1:2">
      <c r="A40" s="155" t="s">
        <v>82</v>
      </c>
      <c r="B40" s="155">
        <v>62</v>
      </c>
    </row>
    <row r="41" spans="1:2">
      <c r="A41" s="155" t="s">
        <v>83</v>
      </c>
      <c r="B41" s="155">
        <v>61</v>
      </c>
    </row>
    <row r="42" spans="1:2">
      <c r="A42" s="155" t="s">
        <v>84</v>
      </c>
      <c r="B42" s="155">
        <v>60</v>
      </c>
    </row>
    <row r="43" spans="1:2">
      <c r="A43" s="155" t="s">
        <v>85</v>
      </c>
      <c r="B43" s="155" t="s">
        <v>86</v>
      </c>
    </row>
  </sheetData>
  <pageMargins left="0.7" right="0.7" top="0.75" bottom="0.75" header="0.3" footer="0.3"/>
  <pageSetup/>
  <drawing r:id="rId1"/>
</worksheet>
</file>

<file path=xl/worksheets/sheet8.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700-000000000000}">
  <dimension ref="B1:W43"/>
  <sheetViews>
    <sheetView workbookViewId="0">
      <selection activeCell="B10" sqref="B10"/>
    </sheetView>
  </sheetViews>
  <sheetFormatPr defaultColWidth="8.85546875" defaultRowHeight="15"/>
  <cols>
    <col min="1" max="1" width="2" style="156" customWidth="1"/>
    <col min="2" max="2" width="25.28515625" style="156" customWidth="1"/>
    <col min="3" max="5" width="10.7109375" style="156" customWidth="1"/>
    <col min="6" max="6" width="10.140625" style="156" customWidth="1"/>
    <col min="7" max="7" width="8.85546875" style="156" customWidth="1"/>
    <col min="8" max="8" width="10.7109375" style="156" customWidth="1"/>
    <col min="9" max="9" width="4.140625" style="156" customWidth="1"/>
    <col min="10" max="11" width="10.7109375" style="156" customWidth="1"/>
    <col min="12" max="19" width="8.85546875" style="156" customWidth="1"/>
    <col min="20" max="20" width="8.7109375" style="157" customWidth="1"/>
    <col min="21" max="21" width="2.5703125" style="157" customWidth="1"/>
    <col min="22" max="22" width="8.7109375" style="157" customWidth="1"/>
    <col min="23" max="23" width="20.28515625" style="157" customWidth="1"/>
    <col min="24" max="24" width="8.85546875" style="156" customWidth="1"/>
    <col min="25" max="60" width="8.85546875" style="156"/>
  </cols>
  <sheetData>
    <row r="1" spans="2:23" ht="9" customHeight="1"/>
    <row r="2" spans="2:23" ht="19.899999999999999" customHeight="1">
      <c r="B2" s="158" t="s">
        <v>87</v>
      </c>
      <c r="C2" s="159" t="s">
        <v>88</v>
      </c>
      <c r="D2" s="159" t="s">
        <v>89</v>
      </c>
      <c r="E2" s="159" t="s">
        <v>90</v>
      </c>
      <c r="F2" s="160" t="s">
        <v>91</v>
      </c>
      <c r="H2" s="421" t="s">
        <v>92</v>
      </c>
      <c r="I2" s="286"/>
      <c r="J2" s="286"/>
      <c r="K2" s="286"/>
      <c r="T2" s="422" t="s">
        <v>93</v>
      </c>
      <c r="U2" s="422"/>
      <c r="V2" s="422"/>
      <c r="W2" s="422"/>
    </row>
    <row r="3" spans="2:23" ht="19.899999999999999" customHeight="1">
      <c r="B3" s="161" t="s">
        <v>94</v>
      </c>
      <c r="C3" s="162">
        <v>0.2</v>
      </c>
      <c r="D3" s="162">
        <v>0.5</v>
      </c>
      <c r="E3" s="162">
        <v>0.3</v>
      </c>
      <c r="F3" s="163">
        <f t="shared" ref="F3:F11" si="0">SUM(C3:E3)</f>
      </c>
      <c r="H3" s="164">
        <v>0</v>
      </c>
      <c r="I3" s="164" t="s">
        <v>95</v>
      </c>
      <c r="J3" s="164">
        <v>39.99</v>
      </c>
      <c r="K3" s="165">
        <v>60</v>
      </c>
      <c r="T3" s="166">
        <v>0</v>
      </c>
      <c r="U3" s="166" t="s">
        <v>95</v>
      </c>
      <c r="V3" s="166">
        <v>64</v>
      </c>
      <c r="W3" s="167" t="s">
        <v>96</v>
      </c>
    </row>
    <row r="4" spans="2:23" ht="19.899999999999999" customHeight="1">
      <c r="B4" s="161" t="s">
        <v>97</v>
      </c>
      <c r="C4" s="162">
        <v>0.2</v>
      </c>
      <c r="D4" s="162">
        <v>0.5</v>
      </c>
      <c r="E4" s="162">
        <v>0.3</v>
      </c>
      <c r="F4" s="163">
        <f t="shared" si="0"/>
        <v>1</v>
      </c>
      <c r="H4" s="164">
        <v>40</v>
      </c>
      <c r="I4" s="164" t="s">
        <v>95</v>
      </c>
      <c r="J4" s="164">
        <v>42.99</v>
      </c>
      <c r="K4" s="165">
        <v>61</v>
      </c>
      <c r="T4" s="166">
        <v>65</v>
      </c>
      <c r="U4" s="166" t="s">
        <v>95</v>
      </c>
      <c r="V4" s="166">
        <v>74</v>
      </c>
      <c r="W4" s="167" t="s">
        <v>98</v>
      </c>
    </row>
    <row r="5" spans="2:23" ht="19.899999999999999" customHeight="1">
      <c r="B5" s="161" t="s">
        <v>99</v>
      </c>
      <c r="C5" s="162">
        <v>0.2</v>
      </c>
      <c r="D5" s="162">
        <v>0.5</v>
      </c>
      <c r="E5" s="162">
        <v>0.3</v>
      </c>
      <c r="F5" s="163">
        <f t="shared" si="0"/>
        <v>1</v>
      </c>
      <c r="H5" s="164">
        <v>43</v>
      </c>
      <c r="I5" s="164" t="s">
        <v>95</v>
      </c>
      <c r="J5" s="164">
        <v>45.99</v>
      </c>
      <c r="K5" s="165">
        <v>62</v>
      </c>
      <c r="T5" s="166">
        <v>75</v>
      </c>
      <c r="U5" s="166" t="s">
        <v>95</v>
      </c>
      <c r="V5" s="166">
        <v>79</v>
      </c>
      <c r="W5" s="167" t="s">
        <v>100</v>
      </c>
    </row>
    <row r="6" spans="2:23" ht="19.899999999999999" customHeight="1">
      <c r="B6" s="161" t="s">
        <v>101</v>
      </c>
      <c r="C6" s="162">
        <v>0.2</v>
      </c>
      <c r="D6" s="162">
        <v>0.5</v>
      </c>
      <c r="E6" s="162">
        <v>0.3</v>
      </c>
      <c r="F6" s="163">
        <f t="shared" si="0"/>
        <v>1</v>
      </c>
      <c r="H6" s="164">
        <v>46</v>
      </c>
      <c r="I6" s="164" t="s">
        <v>95</v>
      </c>
      <c r="J6" s="164">
        <v>47.99</v>
      </c>
      <c r="K6" s="165">
        <v>63</v>
      </c>
      <c r="T6" s="166">
        <v>80</v>
      </c>
      <c r="U6" s="166" t="s">
        <v>95</v>
      </c>
      <c r="V6" s="166">
        <v>89</v>
      </c>
      <c r="W6" s="167" t="s">
        <v>102</v>
      </c>
    </row>
    <row r="7" spans="2:23" ht="19.899999999999999" customHeight="1">
      <c r="B7" s="161" t="s">
        <v>103</v>
      </c>
      <c r="C7" s="162">
        <v>0.2</v>
      </c>
      <c r="D7" s="162">
        <v>0.5</v>
      </c>
      <c r="E7" s="162">
        <v>0.3</v>
      </c>
      <c r="F7" s="163">
        <f t="shared" si="0"/>
        <v>1</v>
      </c>
      <c r="H7" s="164">
        <v>48</v>
      </c>
      <c r="I7" s="164" t="s">
        <v>95</v>
      </c>
      <c r="J7" s="164">
        <v>49.99</v>
      </c>
      <c r="K7" s="165">
        <v>64</v>
      </c>
      <c r="T7" s="166">
        <v>90</v>
      </c>
      <c r="U7" s="166" t="s">
        <v>95</v>
      </c>
      <c r="V7" s="166">
        <v>100</v>
      </c>
      <c r="W7" s="167" t="s">
        <v>104</v>
      </c>
    </row>
    <row r="8" spans="2:23" ht="19.899999999999999" customHeight="1">
      <c r="B8" s="161" t="s">
        <v>105</v>
      </c>
      <c r="C8" s="162">
        <v>0.2</v>
      </c>
      <c r="D8" s="162">
        <v>0.5</v>
      </c>
      <c r="E8" s="162">
        <v>0.3</v>
      </c>
      <c r="F8" s="163">
        <f t="shared" si="0"/>
        <v>1</v>
      </c>
      <c r="H8" s="164">
        <v>50</v>
      </c>
      <c r="I8" s="164" t="s">
        <v>95</v>
      </c>
      <c r="J8" s="164">
        <v>51.99</v>
      </c>
      <c r="K8" s="165">
        <v>65</v>
      </c>
    </row>
    <row r="9" spans="2:23" ht="19.899999999999999" customHeight="1">
      <c r="B9" s="168" t="s">
        <v>106</v>
      </c>
      <c r="C9" s="169">
        <v>0.2</v>
      </c>
      <c r="D9" s="169">
        <v>0.6</v>
      </c>
      <c r="E9" s="169">
        <v>0.2</v>
      </c>
      <c r="F9" s="170">
        <f t="shared" si="0"/>
        <v>1</v>
      </c>
      <c r="H9" s="164">
        <v>52</v>
      </c>
      <c r="I9" s="164" t="s">
        <v>95</v>
      </c>
      <c r="J9" s="164">
        <v>53.99</v>
      </c>
      <c r="K9" s="165">
        <v>66</v>
      </c>
    </row>
    <row r="10" spans="2:23" ht="19.899999999999999" customHeight="1">
      <c r="B10" s="168" t="s">
        <v>107</v>
      </c>
      <c r="C10" s="169">
        <v>0.2</v>
      </c>
      <c r="D10" s="169">
        <v>0.6</v>
      </c>
      <c r="E10" s="169">
        <v>0.2</v>
      </c>
      <c r="F10" s="170">
        <f t="shared" si="0"/>
        <v>1</v>
      </c>
      <c r="H10" s="164">
        <v>54</v>
      </c>
      <c r="I10" s="164" t="s">
        <v>95</v>
      </c>
      <c r="J10" s="164">
        <v>55.99</v>
      </c>
      <c r="K10" s="165">
        <v>67</v>
      </c>
    </row>
    <row r="11" spans="2:23" ht="19.899999999999999" customHeight="1">
      <c r="B11" s="168" t="s">
        <v>108</v>
      </c>
      <c r="C11" s="169">
        <v>0.2</v>
      </c>
      <c r="D11" s="169">
        <v>0.5</v>
      </c>
      <c r="E11" s="169">
        <v>0.3</v>
      </c>
      <c r="F11" s="170">
        <f t="shared" si="0"/>
        <v>1</v>
      </c>
      <c r="H11" s="164">
        <v>56</v>
      </c>
      <c r="I11" s="164" t="s">
        <v>95</v>
      </c>
      <c r="J11" s="164">
        <v>57.99</v>
      </c>
      <c r="K11" s="165">
        <v>68</v>
      </c>
    </row>
    <row r="12" spans="2:23" ht="19.899999999999999" customHeight="1">
      <c r="H12" s="164">
        <v>58</v>
      </c>
      <c r="I12" s="164" t="s">
        <v>95</v>
      </c>
      <c r="J12" s="164">
        <v>59.99</v>
      </c>
      <c r="K12" s="165">
        <v>69</v>
      </c>
    </row>
    <row r="13" spans="2:23" ht="19.899999999999999" customHeight="1">
      <c r="H13" s="164">
        <v>60</v>
      </c>
      <c r="I13" s="164" t="s">
        <v>95</v>
      </c>
      <c r="J13" s="164">
        <v>61.99</v>
      </c>
      <c r="K13" s="165">
        <v>70</v>
      </c>
    </row>
    <row r="14" spans="2:23" ht="19.899999999999999" customHeight="1">
      <c r="H14" s="164">
        <v>62</v>
      </c>
      <c r="I14" s="164" t="s">
        <v>95</v>
      </c>
      <c r="J14" s="164">
        <v>63.99</v>
      </c>
      <c r="K14" s="165">
        <v>71</v>
      </c>
    </row>
    <row r="15" spans="2:23" ht="19.899999999999999" customHeight="1">
      <c r="H15" s="164">
        <v>64</v>
      </c>
      <c r="I15" s="164" t="s">
        <v>95</v>
      </c>
      <c r="J15" s="164">
        <v>65.989999999999995</v>
      </c>
      <c r="K15" s="165">
        <v>72</v>
      </c>
    </row>
    <row r="16" spans="2:23" ht="19.899999999999999" customHeight="1">
      <c r="H16" s="164">
        <v>66</v>
      </c>
      <c r="I16" s="164" t="s">
        <v>95</v>
      </c>
      <c r="J16" s="164">
        <v>67.989999999999995</v>
      </c>
      <c r="K16" s="165">
        <v>73</v>
      </c>
    </row>
    <row r="17" spans="8:11" ht="19.899999999999999" customHeight="1">
      <c r="H17" s="164">
        <v>68</v>
      </c>
      <c r="I17" s="164" t="s">
        <v>95</v>
      </c>
      <c r="J17" s="164">
        <v>69.989999999999995</v>
      </c>
      <c r="K17" s="165">
        <v>74</v>
      </c>
    </row>
    <row r="18" spans="8:11" ht="19.899999999999999" customHeight="1">
      <c r="H18" s="164">
        <v>70</v>
      </c>
      <c r="I18" s="164" t="s">
        <v>95</v>
      </c>
      <c r="J18" s="164">
        <v>72.989999999999995</v>
      </c>
      <c r="K18" s="165">
        <v>75</v>
      </c>
    </row>
    <row r="19" spans="8:11" ht="19.899999999999999" customHeight="1">
      <c r="H19" s="164">
        <v>73</v>
      </c>
      <c r="I19" s="164" t="s">
        <v>95</v>
      </c>
      <c r="J19" s="164">
        <v>74.989999999999995</v>
      </c>
      <c r="K19" s="165">
        <v>76</v>
      </c>
    </row>
    <row r="20" spans="8:11" ht="19.899999999999999" customHeight="1">
      <c r="H20" s="164">
        <v>75</v>
      </c>
      <c r="I20" s="164" t="s">
        <v>95</v>
      </c>
      <c r="J20" s="164">
        <v>75.989999999999995</v>
      </c>
      <c r="K20" s="165">
        <v>77</v>
      </c>
    </row>
    <row r="21" spans="8:11" ht="19.899999999999999" customHeight="1">
      <c r="H21" s="164">
        <v>76</v>
      </c>
      <c r="I21" s="164" t="s">
        <v>95</v>
      </c>
      <c r="J21" s="164">
        <v>76.989999999999995</v>
      </c>
      <c r="K21" s="165">
        <v>78</v>
      </c>
    </row>
    <row r="22" spans="8:11" ht="19.899999999999999" customHeight="1">
      <c r="H22" s="164">
        <v>77</v>
      </c>
      <c r="I22" s="164" t="s">
        <v>95</v>
      </c>
      <c r="J22" s="164">
        <v>77.989999999999995</v>
      </c>
      <c r="K22" s="165">
        <v>79</v>
      </c>
    </row>
    <row r="23" spans="8:11" ht="19.899999999999999" customHeight="1">
      <c r="H23" s="164">
        <v>78</v>
      </c>
      <c r="I23" s="164" t="s">
        <v>95</v>
      </c>
      <c r="J23" s="164">
        <v>78.989999999999995</v>
      </c>
      <c r="K23" s="165">
        <v>80</v>
      </c>
    </row>
    <row r="24" spans="8:11" ht="19.899999999999999" customHeight="1">
      <c r="H24" s="164">
        <v>79</v>
      </c>
      <c r="I24" s="164" t="s">
        <v>95</v>
      </c>
      <c r="J24" s="164">
        <v>79.989999999999995</v>
      </c>
      <c r="K24" s="165">
        <v>81</v>
      </c>
    </row>
    <row r="25" spans="8:11" ht="19.899999999999999" customHeight="1">
      <c r="H25" s="164">
        <v>80</v>
      </c>
      <c r="I25" s="164" t="s">
        <v>95</v>
      </c>
      <c r="J25" s="164">
        <v>80.989999999999995</v>
      </c>
      <c r="K25" s="165">
        <v>82</v>
      </c>
    </row>
    <row r="26" spans="8:11" ht="19.899999999999999" customHeight="1">
      <c r="H26" s="164">
        <v>81</v>
      </c>
      <c r="I26" s="164" t="s">
        <v>95</v>
      </c>
      <c r="J26" s="164">
        <v>81.99</v>
      </c>
      <c r="K26" s="165">
        <v>83</v>
      </c>
    </row>
    <row r="27" spans="8:11" ht="19.899999999999999" customHeight="1">
      <c r="H27" s="164">
        <v>82</v>
      </c>
      <c r="I27" s="164" t="s">
        <v>95</v>
      </c>
      <c r="J27" s="164">
        <v>82.99</v>
      </c>
      <c r="K27" s="165">
        <v>84</v>
      </c>
    </row>
    <row r="28" spans="8:11" ht="19.899999999999999" customHeight="1">
      <c r="H28" s="164">
        <v>83</v>
      </c>
      <c r="I28" s="164" t="s">
        <v>95</v>
      </c>
      <c r="J28" s="164">
        <v>83.99</v>
      </c>
      <c r="K28" s="165">
        <v>85</v>
      </c>
    </row>
    <row r="29" spans="8:11" ht="19.899999999999999" customHeight="1">
      <c r="H29" s="164">
        <v>84</v>
      </c>
      <c r="I29" s="164" t="s">
        <v>95</v>
      </c>
      <c r="J29" s="164">
        <v>84.99</v>
      </c>
      <c r="K29" s="165">
        <v>86</v>
      </c>
    </row>
    <row r="30" spans="8:11" ht="19.899999999999999" customHeight="1">
      <c r="H30" s="164">
        <v>85</v>
      </c>
      <c r="I30" s="164" t="s">
        <v>95</v>
      </c>
      <c r="J30" s="164">
        <v>85.99</v>
      </c>
      <c r="K30" s="165">
        <v>87</v>
      </c>
    </row>
    <row r="31" spans="8:11" ht="19.899999999999999" customHeight="1">
      <c r="H31" s="164">
        <v>86</v>
      </c>
      <c r="I31" s="164" t="s">
        <v>95</v>
      </c>
      <c r="J31" s="164">
        <v>86.99</v>
      </c>
      <c r="K31" s="165">
        <v>88</v>
      </c>
    </row>
    <row r="32" spans="8:11" ht="19.899999999999999" customHeight="1">
      <c r="H32" s="164">
        <v>87</v>
      </c>
      <c r="I32" s="164" t="s">
        <v>95</v>
      </c>
      <c r="J32" s="164">
        <v>87.99</v>
      </c>
      <c r="K32" s="165">
        <v>89</v>
      </c>
    </row>
    <row r="33" spans="8:11" ht="19.899999999999999" customHeight="1">
      <c r="H33" s="164">
        <v>88</v>
      </c>
      <c r="I33" s="164" t="s">
        <v>95</v>
      </c>
      <c r="J33" s="164">
        <v>88.99</v>
      </c>
      <c r="K33" s="165">
        <v>90</v>
      </c>
    </row>
    <row r="34" spans="8:11" ht="19.899999999999999" customHeight="1">
      <c r="H34" s="164">
        <v>89</v>
      </c>
      <c r="I34" s="164" t="s">
        <v>95</v>
      </c>
      <c r="J34" s="164">
        <v>89.99</v>
      </c>
      <c r="K34" s="165">
        <v>91</v>
      </c>
    </row>
    <row r="35" spans="8:11" ht="19.899999999999999" customHeight="1">
      <c r="H35" s="164">
        <v>90</v>
      </c>
      <c r="I35" s="164" t="s">
        <v>95</v>
      </c>
      <c r="J35" s="164">
        <v>90.99</v>
      </c>
      <c r="K35" s="165">
        <v>92</v>
      </c>
    </row>
    <row r="36" spans="8:11" ht="19.899999999999999" customHeight="1">
      <c r="H36" s="164">
        <v>91</v>
      </c>
      <c r="I36" s="164" t="s">
        <v>95</v>
      </c>
      <c r="J36" s="164">
        <v>91.99</v>
      </c>
      <c r="K36" s="165">
        <v>93</v>
      </c>
    </row>
    <row r="37" spans="8:11" ht="19.899999999999999" customHeight="1">
      <c r="H37" s="164">
        <v>92</v>
      </c>
      <c r="I37" s="164" t="s">
        <v>95</v>
      </c>
      <c r="J37" s="164">
        <v>92.99</v>
      </c>
      <c r="K37" s="165">
        <v>94</v>
      </c>
    </row>
    <row r="38" spans="8:11" ht="19.899999999999999" customHeight="1">
      <c r="H38" s="164">
        <v>93</v>
      </c>
      <c r="I38" s="164" t="s">
        <v>95</v>
      </c>
      <c r="J38" s="164">
        <v>93.99</v>
      </c>
      <c r="K38" s="165">
        <v>95</v>
      </c>
    </row>
    <row r="39" spans="8:11" ht="19.899999999999999" customHeight="1">
      <c r="H39" s="164">
        <v>94</v>
      </c>
      <c r="I39" s="164" t="s">
        <v>95</v>
      </c>
      <c r="J39" s="164">
        <v>94.99</v>
      </c>
      <c r="K39" s="165">
        <v>96</v>
      </c>
    </row>
    <row r="40" spans="8:11" ht="19.899999999999999" customHeight="1">
      <c r="H40" s="164">
        <v>95</v>
      </c>
      <c r="I40" s="164" t="s">
        <v>95</v>
      </c>
      <c r="J40" s="164">
        <v>95.99</v>
      </c>
      <c r="K40" s="165">
        <v>97</v>
      </c>
    </row>
    <row r="41" spans="8:11" ht="19.899999999999999" customHeight="1">
      <c r="H41" s="164">
        <v>96</v>
      </c>
      <c r="I41" s="164" t="s">
        <v>95</v>
      </c>
      <c r="J41" s="164">
        <v>97.49</v>
      </c>
      <c r="K41" s="165">
        <v>98</v>
      </c>
    </row>
    <row r="42" spans="8:11" ht="19.899999999999999" customHeight="1">
      <c r="H42" s="164">
        <v>97.5</v>
      </c>
      <c r="I42" s="164" t="s">
        <v>95</v>
      </c>
      <c r="J42" s="164">
        <v>99.49</v>
      </c>
      <c r="K42" s="165">
        <v>99</v>
      </c>
    </row>
    <row r="43" spans="8:11" ht="19.899999999999999" customHeight="1">
      <c r="H43" s="164">
        <v>99.5</v>
      </c>
      <c r="I43" s="164" t="s">
        <v>95</v>
      </c>
      <c r="J43" s="164">
        <v>100</v>
      </c>
      <c r="K43" s="165">
        <v>100</v>
      </c>
    </row>
  </sheetData>
  <mergeCells count="2">
    <mergeCell ref="H2:K2"/>
    <mergeCell ref="T2:W2"/>
  </mergeCells>
  <pageMargins left="0.7" right="0.7" top="0.75" bottom="0.75" header="0.3" footer="0.3"/>
  <pageSetup/>
  <drawing r:id="rId1"/>
  <tableParts count="1">
    <tablePart r:id="rId2"/>
  </tableParts>
</worksheet>
</file>

<file path=xl/worksheets/sheet9.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800-000000000000}">
  <sheetPr>
    <tabColor theme="1"/>
  </sheetPr>
  <dimension ref="A1:X42"/>
  <sheetViews>
    <sheetView topLeftCell="B1" workbookViewId="0">
      <selection activeCell="G2" sqref="G2:J42"/>
    </sheetView>
  </sheetViews>
  <sheetFormatPr defaultColWidth="9.140625" defaultRowHeight="12.75"/>
  <cols>
    <col min="1" max="1" width="50" style="171" customWidth="1"/>
    <col min="2" max="2" width="27.140625" style="171" customWidth="1"/>
    <col min="3" max="3" width="35" style="171" customWidth="1"/>
    <col min="4" max="4" width="34.140625" style="171" customWidth="1"/>
    <col min="5" max="6" width="9.140625" style="171" customWidth="1"/>
    <col min="7" max="7" width="9.85546875" style="172" customWidth="1"/>
    <col min="8" max="20" width="9.140625" style="171" customWidth="1"/>
    <col min="21" max="21" width="49.140625" style="171" customWidth="1"/>
    <col min="22" max="24" width="9.140625" style="173" customWidth="1"/>
    <col min="25" max="25" width="9.140625" style="171" customWidth="1"/>
    <col min="26" max="60" width="9.140625" style="171"/>
  </cols>
  <sheetData>
    <row r="1" spans="1:24" ht="25.9" customHeight="1">
      <c r="A1" s="174" t="s">
        <v>87</v>
      </c>
      <c r="B1" s="174" t="s">
        <v>109</v>
      </c>
      <c r="C1" s="174" t="s">
        <v>110</v>
      </c>
      <c r="D1" s="175" t="s">
        <v>111</v>
      </c>
      <c r="G1" s="423" t="s">
        <v>92</v>
      </c>
      <c r="H1" s="286"/>
      <c r="I1" s="286"/>
      <c r="J1" s="286"/>
    </row>
    <row r="2" spans="1:24">
      <c r="A2" s="171" t="s">
        <v>94</v>
      </c>
      <c r="B2" s="176">
        <v>0.3</v>
      </c>
      <c r="C2" s="176">
        <v>0.5</v>
      </c>
      <c r="D2" s="176">
        <v>0.2</v>
      </c>
      <c r="E2" s="177">
        <f>SUM(B2:D2)</f>
      </c>
      <c r="G2" s="164">
        <v>0</v>
      </c>
      <c r="H2" s="164" t="s">
        <v>95</v>
      </c>
      <c r="I2" s="164">
        <v>3.99</v>
      </c>
      <c r="J2" s="165">
        <v>60</v>
      </c>
    </row>
    <row r="3" spans="1:24">
      <c r="A3" s="171" t="s">
        <v>97</v>
      </c>
      <c r="B3" s="176">
        <v>0.4</v>
      </c>
      <c r="C3" s="176">
        <v>0.4</v>
      </c>
      <c r="D3" s="176">
        <v>0.2</v>
      </c>
      <c r="E3" s="177">
        <f>SUM(B3:D3)</f>
      </c>
      <c r="G3" s="164">
        <v>4</v>
      </c>
      <c r="H3" s="164" t="s">
        <v>95</v>
      </c>
      <c r="I3" s="164">
        <v>7.99</v>
      </c>
      <c r="J3" s="165">
        <v>61</v>
      </c>
    </row>
    <row r="4" spans="1:24">
      <c r="A4" s="171" t="s">
        <v>99</v>
      </c>
      <c r="B4" s="176">
        <v>0.2</v>
      </c>
      <c r="C4" s="176">
        <v>0.6</v>
      </c>
      <c r="D4" s="176">
        <v>0.2</v>
      </c>
      <c r="E4" s="177">
        <f>SUM(B4:D4)</f>
      </c>
      <c r="G4" s="164">
        <v>8</v>
      </c>
      <c r="H4" s="164" t="s">
        <v>95</v>
      </c>
      <c r="I4" s="164">
        <v>11.99</v>
      </c>
      <c r="J4" s="165">
        <v>62</v>
      </c>
    </row>
    <row r="5" spans="1:24">
      <c r="A5" s="171" t="s">
        <v>101</v>
      </c>
      <c r="G5" s="164">
        <v>12</v>
      </c>
      <c r="H5" s="164" t="s">
        <v>95</v>
      </c>
      <c r="I5" s="164">
        <v>15.99</v>
      </c>
      <c r="J5" s="165">
        <v>63</v>
      </c>
      <c r="V5" s="173" t="s">
        <v>112</v>
      </c>
      <c r="W5" s="173" t="s">
        <v>113</v>
      </c>
      <c r="X5" s="173" t="s">
        <v>114</v>
      </c>
    </row>
    <row r="6" spans="1:24">
      <c r="A6" s="171" t="s">
        <v>103</v>
      </c>
      <c r="G6" s="164">
        <v>16</v>
      </c>
      <c r="H6" s="164" t="s">
        <v>95</v>
      </c>
      <c r="I6" s="164">
        <v>19.989999999999998</v>
      </c>
      <c r="J6" s="165">
        <v>64</v>
      </c>
      <c r="U6" s="171" t="s">
        <v>94</v>
      </c>
      <c r="V6" s="178">
        <v>0.3</v>
      </c>
      <c r="W6" s="178">
        <v>0.5</v>
      </c>
      <c r="X6" s="178">
        <v>0.2</v>
      </c>
    </row>
    <row r="7" spans="1:24">
      <c r="A7" s="171" t="s">
        <v>115</v>
      </c>
      <c r="G7" s="164">
        <v>20</v>
      </c>
      <c r="H7" s="164" t="s">
        <v>95</v>
      </c>
      <c r="I7" s="164">
        <v>23.99</v>
      </c>
      <c r="J7" s="165">
        <v>65</v>
      </c>
      <c r="U7" s="171" t="s">
        <v>97</v>
      </c>
      <c r="V7" s="178">
        <v>0.3</v>
      </c>
      <c r="W7" s="178">
        <v>0.5</v>
      </c>
      <c r="X7" s="178">
        <v>0.2</v>
      </c>
    </row>
    <row r="8" spans="1:24">
      <c r="A8" s="171" t="s">
        <v>116</v>
      </c>
      <c r="G8" s="164">
        <v>24</v>
      </c>
      <c r="H8" s="164" t="s">
        <v>95</v>
      </c>
      <c r="I8" s="164">
        <v>27.99</v>
      </c>
      <c r="J8" s="165">
        <v>66</v>
      </c>
      <c r="U8" s="171" t="s">
        <v>99</v>
      </c>
      <c r="V8" s="178">
        <v>0.4</v>
      </c>
      <c r="W8" s="178">
        <v>0.4</v>
      </c>
      <c r="X8" s="178">
        <v>0.2</v>
      </c>
    </row>
    <row r="9" spans="1:24">
      <c r="A9" s="171" t="s">
        <v>117</v>
      </c>
      <c r="C9" s="171" t="s">
        <v>118</v>
      </c>
      <c r="G9" s="164">
        <v>28</v>
      </c>
      <c r="H9" s="164" t="s">
        <v>95</v>
      </c>
      <c r="I9" s="164">
        <v>31.99</v>
      </c>
      <c r="J9" s="165">
        <v>67</v>
      </c>
      <c r="U9" s="171" t="s">
        <v>101</v>
      </c>
      <c r="V9" s="178">
        <v>0.4</v>
      </c>
      <c r="W9" s="178">
        <v>0.4</v>
      </c>
      <c r="X9" s="178">
        <v>0.2</v>
      </c>
    </row>
    <row r="10" spans="1:24">
      <c r="C10" s="171" t="s">
        <v>119</v>
      </c>
      <c r="G10" s="164">
        <v>32</v>
      </c>
      <c r="H10" s="164" t="s">
        <v>95</v>
      </c>
      <c r="I10" s="164">
        <v>35.99</v>
      </c>
      <c r="J10" s="165">
        <v>68</v>
      </c>
      <c r="U10" s="171" t="s">
        <v>103</v>
      </c>
      <c r="V10" s="178">
        <v>0.3</v>
      </c>
      <c r="W10" s="178">
        <v>0.5</v>
      </c>
      <c r="X10" s="178">
        <v>0.2</v>
      </c>
    </row>
    <row r="11" spans="1:24">
      <c r="C11" s="171" t="s">
        <v>120</v>
      </c>
      <c r="G11" s="164">
        <v>36</v>
      </c>
      <c r="H11" s="164" t="s">
        <v>95</v>
      </c>
      <c r="I11" s="164">
        <v>39.99</v>
      </c>
      <c r="J11" s="165">
        <v>69</v>
      </c>
      <c r="U11" s="171" t="s">
        <v>115</v>
      </c>
      <c r="V11" s="178">
        <v>0.3</v>
      </c>
      <c r="W11" s="178">
        <v>0.5</v>
      </c>
      <c r="X11" s="178">
        <v>0.2</v>
      </c>
    </row>
    <row r="12" spans="1:24">
      <c r="C12" s="171" t="s">
        <v>121</v>
      </c>
      <c r="G12" s="164">
        <v>40</v>
      </c>
      <c r="H12" s="164" t="s">
        <v>95</v>
      </c>
      <c r="I12" s="164">
        <v>43.99</v>
      </c>
      <c r="J12" s="165">
        <v>70</v>
      </c>
      <c r="U12" s="171" t="s">
        <v>116</v>
      </c>
      <c r="V12" s="178">
        <v>0.2</v>
      </c>
      <c r="W12" s="178">
        <v>0.6</v>
      </c>
      <c r="X12" s="178">
        <v>0.2</v>
      </c>
    </row>
    <row r="13" spans="1:24">
      <c r="G13" s="164">
        <v>44</v>
      </c>
      <c r="H13" s="164" t="s">
        <v>95</v>
      </c>
      <c r="I13" s="164">
        <v>47.99</v>
      </c>
      <c r="J13" s="165">
        <v>71</v>
      </c>
      <c r="U13" s="171" t="s">
        <v>117</v>
      </c>
      <c r="V13" s="178">
        <v>0.3</v>
      </c>
      <c r="W13" s="178">
        <v>0.5</v>
      </c>
      <c r="X13" s="178">
        <v>0.2</v>
      </c>
    </row>
    <row r="14" spans="1:24">
      <c r="G14" s="164">
        <v>48</v>
      </c>
      <c r="H14" s="164" t="s">
        <v>95</v>
      </c>
      <c r="I14" s="164">
        <v>51.99</v>
      </c>
      <c r="J14" s="165">
        <v>72</v>
      </c>
    </row>
    <row r="15" spans="1:24">
      <c r="G15" s="164">
        <v>52</v>
      </c>
      <c r="H15" s="164" t="s">
        <v>95</v>
      </c>
      <c r="I15" s="164">
        <v>55.99</v>
      </c>
      <c r="J15" s="165">
        <v>73</v>
      </c>
      <c r="U15" s="171" t="str">
        <f>U6&amp;U7&amp;U8&amp;U9&amp;U10&amp;U11&amp;U12&amp;U13</f>
      </c>
    </row>
    <row r="16" spans="1:24">
      <c r="G16" s="164">
        <v>56</v>
      </c>
      <c r="H16" s="164" t="s">
        <v>95</v>
      </c>
      <c r="I16" s="164">
        <v>59.99</v>
      </c>
      <c r="J16" s="165">
        <v>74</v>
      </c>
      <c r="U16" s="171" t="s">
        <v>122</v>
      </c>
    </row>
    <row r="17" spans="7:10">
      <c r="G17" s="164">
        <v>60</v>
      </c>
      <c r="H17" s="164" t="s">
        <v>95</v>
      </c>
      <c r="I17" s="164">
        <v>61.59</v>
      </c>
      <c r="J17" s="165">
        <v>75</v>
      </c>
    </row>
    <row r="18" spans="7:10">
      <c r="G18" s="164">
        <v>61.6</v>
      </c>
      <c r="H18" s="164" t="s">
        <v>95</v>
      </c>
      <c r="I18" s="164">
        <v>63.19</v>
      </c>
      <c r="J18" s="165">
        <v>76</v>
      </c>
    </row>
    <row r="19" spans="7:10">
      <c r="G19" s="164">
        <v>63.2</v>
      </c>
      <c r="H19" s="164" t="s">
        <v>95</v>
      </c>
      <c r="I19" s="164">
        <v>64.790000000000006</v>
      </c>
      <c r="J19" s="165">
        <v>77</v>
      </c>
    </row>
    <row r="20" spans="7:10">
      <c r="G20" s="164">
        <v>64.8</v>
      </c>
      <c r="H20" s="164" t="s">
        <v>95</v>
      </c>
      <c r="I20" s="164">
        <v>66.39</v>
      </c>
      <c r="J20" s="165">
        <v>78</v>
      </c>
    </row>
    <row r="21" spans="7:10">
      <c r="G21" s="164">
        <v>66.400000000000006</v>
      </c>
      <c r="H21" s="164" t="s">
        <v>95</v>
      </c>
      <c r="I21" s="164">
        <v>67.990000000000009</v>
      </c>
      <c r="J21" s="165">
        <v>79</v>
      </c>
    </row>
    <row r="22" spans="7:10">
      <c r="G22" s="164">
        <v>68</v>
      </c>
      <c r="H22" s="164" t="s">
        <v>95</v>
      </c>
      <c r="I22" s="164">
        <v>69.59</v>
      </c>
      <c r="J22" s="165">
        <v>80</v>
      </c>
    </row>
    <row r="23" spans="7:10">
      <c r="G23" s="164">
        <v>69.599999999999994</v>
      </c>
      <c r="H23" s="164" t="s">
        <v>95</v>
      </c>
      <c r="I23" s="164">
        <v>71.19</v>
      </c>
      <c r="J23" s="165">
        <v>81</v>
      </c>
    </row>
    <row r="24" spans="7:10">
      <c r="G24" s="164">
        <v>71.2</v>
      </c>
      <c r="H24" s="164" t="s">
        <v>95</v>
      </c>
      <c r="I24" s="164">
        <v>72.790000000000006</v>
      </c>
      <c r="J24" s="165">
        <v>82</v>
      </c>
    </row>
    <row r="25" spans="7:10">
      <c r="G25" s="164">
        <v>72.8</v>
      </c>
      <c r="H25" s="164" t="s">
        <v>95</v>
      </c>
      <c r="I25" s="164">
        <v>74.39</v>
      </c>
      <c r="J25" s="165">
        <v>83</v>
      </c>
    </row>
    <row r="26" spans="7:10">
      <c r="G26" s="164">
        <v>74.400000000000006</v>
      </c>
      <c r="H26" s="164" t="s">
        <v>95</v>
      </c>
      <c r="I26" s="164">
        <v>75.990000000000009</v>
      </c>
      <c r="J26" s="165">
        <v>84</v>
      </c>
    </row>
    <row r="27" spans="7:10">
      <c r="G27" s="164">
        <v>76</v>
      </c>
      <c r="H27" s="164" t="s">
        <v>95</v>
      </c>
      <c r="I27" s="164">
        <v>77.59</v>
      </c>
      <c r="J27" s="165">
        <v>85</v>
      </c>
    </row>
    <row r="28" spans="7:10">
      <c r="G28" s="164">
        <v>77.599999999999994</v>
      </c>
      <c r="H28" s="164" t="s">
        <v>95</v>
      </c>
      <c r="I28" s="164">
        <v>79.19</v>
      </c>
      <c r="J28" s="165">
        <v>86</v>
      </c>
    </row>
    <row r="29" spans="7:10">
      <c r="G29" s="164">
        <v>79.2</v>
      </c>
      <c r="H29" s="164" t="s">
        <v>95</v>
      </c>
      <c r="I29" s="164">
        <v>80.790000000000006</v>
      </c>
      <c r="J29" s="165">
        <v>87</v>
      </c>
    </row>
    <row r="30" spans="7:10">
      <c r="G30" s="164">
        <v>80.8</v>
      </c>
      <c r="H30" s="164" t="s">
        <v>95</v>
      </c>
      <c r="I30" s="164">
        <v>82.39</v>
      </c>
      <c r="J30" s="165">
        <v>88</v>
      </c>
    </row>
    <row r="31" spans="7:10">
      <c r="G31" s="164">
        <v>82.4</v>
      </c>
      <c r="H31" s="164" t="s">
        <v>95</v>
      </c>
      <c r="I31" s="164">
        <v>83.990000000000009</v>
      </c>
      <c r="J31" s="165">
        <v>89</v>
      </c>
    </row>
    <row r="32" spans="7:10">
      <c r="G32" s="164">
        <v>84</v>
      </c>
      <c r="H32" s="164" t="s">
        <v>95</v>
      </c>
      <c r="I32" s="164">
        <v>85.59</v>
      </c>
      <c r="J32" s="165">
        <v>90</v>
      </c>
    </row>
    <row r="33" spans="7:10">
      <c r="G33" s="164">
        <v>85.6</v>
      </c>
      <c r="H33" s="164" t="s">
        <v>95</v>
      </c>
      <c r="I33" s="164">
        <v>87.19</v>
      </c>
      <c r="J33" s="165">
        <v>91</v>
      </c>
    </row>
    <row r="34" spans="7:10">
      <c r="G34" s="164">
        <v>87.2</v>
      </c>
      <c r="H34" s="164" t="s">
        <v>95</v>
      </c>
      <c r="I34" s="164">
        <v>88.79</v>
      </c>
      <c r="J34" s="165">
        <v>92</v>
      </c>
    </row>
    <row r="35" spans="7:10">
      <c r="G35" s="164">
        <v>88.8</v>
      </c>
      <c r="H35" s="164" t="s">
        <v>95</v>
      </c>
      <c r="I35" s="164">
        <v>90.39</v>
      </c>
      <c r="J35" s="165">
        <v>93</v>
      </c>
    </row>
    <row r="36" spans="7:10">
      <c r="G36" s="164">
        <v>90.4</v>
      </c>
      <c r="H36" s="164" t="s">
        <v>95</v>
      </c>
      <c r="I36" s="164">
        <v>91.990000000000009</v>
      </c>
      <c r="J36" s="165">
        <v>94</v>
      </c>
    </row>
    <row r="37" spans="7:10">
      <c r="G37" s="164">
        <v>92</v>
      </c>
      <c r="H37" s="164" t="s">
        <v>95</v>
      </c>
      <c r="I37" s="164">
        <v>93.59</v>
      </c>
      <c r="J37" s="165">
        <v>95</v>
      </c>
    </row>
    <row r="38" spans="7:10">
      <c r="G38" s="164">
        <v>93.6</v>
      </c>
      <c r="H38" s="164" t="s">
        <v>95</v>
      </c>
      <c r="I38" s="164">
        <v>95.19</v>
      </c>
      <c r="J38" s="165">
        <v>96</v>
      </c>
    </row>
    <row r="39" spans="7:10">
      <c r="G39" s="164">
        <v>95.2</v>
      </c>
      <c r="H39" s="164" t="s">
        <v>95</v>
      </c>
      <c r="I39" s="164">
        <v>96.79</v>
      </c>
      <c r="J39" s="165">
        <v>97</v>
      </c>
    </row>
    <row r="40" spans="7:10">
      <c r="G40" s="164">
        <v>96.8</v>
      </c>
      <c r="H40" s="164" t="s">
        <v>95</v>
      </c>
      <c r="I40" s="164">
        <v>98.39</v>
      </c>
      <c r="J40" s="165">
        <v>98</v>
      </c>
    </row>
    <row r="41" spans="7:10">
      <c r="G41" s="164">
        <v>98.4</v>
      </c>
      <c r="H41" s="164" t="s">
        <v>95</v>
      </c>
      <c r="I41" s="164">
        <v>99.990000000000009</v>
      </c>
      <c r="J41" s="165">
        <v>99</v>
      </c>
    </row>
    <row r="42" spans="7:10">
      <c r="G42" s="164">
        <v>100</v>
      </c>
      <c r="H42" s="164" t="s">
        <v>95</v>
      </c>
      <c r="I42" s="164"/>
      <c r="J42" s="165">
        <v>100</v>
      </c>
    </row>
  </sheetData>
  <mergeCells count="1">
    <mergeCell ref="G1:J1"/>
  </mergeCells>
  <pageMargins left="0.7" right="0.7" top="0.75" bottom="0.75" header="0.3" footer="0.3"/>
  <pageSetup/>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John Martin Taglucop</cp:lastModifiedBy>
  <cp:revision>1</cp:revision>
  <dcterms:created xsi:type="dcterms:W3CDTF">2015-06-02T20:29:55Z</dcterms:created>
  <dcterms:modified xsi:type="dcterms:W3CDTF">2026-06-23T08:56:56Z</dcterms:modified>
</cp:coreProperties>
</file>